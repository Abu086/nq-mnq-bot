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Q_Trades" sheetId="1" state="visible" r:id="rId1"/>
    <sheet name="MNQ_Trades" sheetId="2" state="visible" r:id="rId2"/>
    <sheet name="US_Stocks" sheetId="3" state="visible" r:id="rId3"/>
    <sheet name="Fee_Breakdown" sheetId="4" state="visible" r:id="rId4"/>
    <sheet name="Summary" sheetId="5" state="visible" r:id="rId5"/>
    <sheet name="NIFTY_BullCall" sheetId="6" state="visible" r:id="rId6"/>
    <sheet name="NIFTY_BearPut" sheetId="7" state="visible" r:id="rId7"/>
    <sheet name="NIFTY_Both" sheetId="8" state="visible" r:id="rId8"/>
    <sheet name="NIFTY_Smart" sheetId="9" state="visible" r:id="rId9"/>
    <sheet name="BANKNIFTY_BullCall" sheetId="10" state="visible" r:id="rId10"/>
    <sheet name="BANKNIFTY_BearPut" sheetId="11" state="visible" r:id="rId11"/>
    <sheet name="BANKNIFTY_Both" sheetId="12" state="visible" r:id="rId12"/>
    <sheet name="BANKNIFTY_Smart" sheetId="13" state="visible" r:id="rId13"/>
    <sheet name="Skipped_Day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3"/>
    </font>
    <font>
      <name val="Arial"/>
      <b val="1"/>
      <color rgb="00FFFFFF"/>
      <sz val="14"/>
    </font>
    <font>
      <name val="Arial"/>
      <b val="1"/>
      <color rgb="001F4E79"/>
      <sz val="11"/>
    </font>
    <font>
      <name val="Arial"/>
      <b val="1"/>
      <sz val="10"/>
    </font>
    <font>
      <name val="Arial"/>
      <sz val="10"/>
    </font>
  </fonts>
  <fills count="1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0D2137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1A5276"/>
      </patternFill>
    </fill>
    <fill>
      <patternFill patternType="solid">
        <fgColor rgb="00922B21"/>
      </patternFill>
    </fill>
    <fill>
      <patternFill patternType="solid">
        <fgColor rgb="001E8449"/>
      </patternFill>
    </fill>
    <fill>
      <patternFill patternType="solid">
        <fgColor rgb="006C3483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4" fillId="4" borderId="1" applyAlignment="1" pivotButton="0" quotePrefix="0" xfId="0">
      <alignment horizontal="left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10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8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15:28 ET</t>
        </is>
      </c>
      <c r="H3" s="16" t="n">
        <v>30863</v>
      </c>
      <c r="I3" s="16" t="n">
        <v>30850</v>
      </c>
      <c r="J3" s="16" t="n">
        <v>30875</v>
      </c>
      <c r="K3" s="16" t="n">
        <v>7</v>
      </c>
      <c r="L3" s="16" t="n">
        <v>121.65</v>
      </c>
      <c r="M3" s="16" t="n">
        <v>125.64</v>
      </c>
      <c r="N3" s="16" t="n">
        <v>903.35</v>
      </c>
      <c r="O3" s="16" t="n">
        <v>2648.45</v>
      </c>
      <c r="P3" s="16" t="n">
        <v>255.46</v>
      </c>
      <c r="Q3" s="16" t="n">
        <v>255.46</v>
      </c>
      <c r="R3" s="16" t="n">
        <v>27.93</v>
      </c>
      <c r="S3" s="16" t="n">
        <v>3.3</v>
      </c>
      <c r="T3" s="16" t="n">
        <v>16.52</v>
      </c>
      <c r="U3" s="16" t="n">
        <v>35</v>
      </c>
      <c r="V3" s="16" t="n">
        <v>0.28</v>
      </c>
      <c r="W3" s="16" t="n">
        <v>51.8</v>
      </c>
      <c r="X3" s="16" t="n">
        <v>-23.87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6" t="inlineStr">
        <is>
          <t>2026-06-17</t>
        </is>
      </c>
      <c r="B4" s="16" t="inlineStr">
        <is>
          <t>NQ</t>
        </is>
      </c>
      <c r="C4" s="16" t="inlineStr">
        <is>
          <t>Bull Call Spread</t>
        </is>
      </c>
      <c r="D4" s="16" t="inlineStr">
        <is>
          <t>2026-06-19</t>
        </is>
      </c>
      <c r="E4" s="16" t="n">
        <v>2</v>
      </c>
      <c r="F4" s="16" t="inlineStr">
        <is>
          <t>10:00 ET</t>
        </is>
      </c>
      <c r="G4" s="16" t="inlineStr">
        <is>
          <t>15:00 ET</t>
        </is>
      </c>
      <c r="H4" s="16" t="n">
        <v>30463.75</v>
      </c>
      <c r="I4" s="16" t="n">
        <v>30450</v>
      </c>
      <c r="J4" s="16" t="n">
        <v>30475</v>
      </c>
      <c r="K4" s="16" t="n">
        <v>6</v>
      </c>
      <c r="L4" s="16" t="n">
        <v>139.72</v>
      </c>
      <c r="M4" s="16" t="n">
        <v>144.35</v>
      </c>
      <c r="N4" s="16" t="n">
        <v>882.72</v>
      </c>
      <c r="O4" s="16" t="n">
        <v>2161.68</v>
      </c>
      <c r="P4" s="16" t="n">
        <v>251.5</v>
      </c>
      <c r="Q4" s="16" t="n">
        <v>251.5</v>
      </c>
      <c r="R4" s="16" t="n">
        <v>27.78</v>
      </c>
      <c r="S4" s="16" t="n">
        <v>3.3</v>
      </c>
      <c r="T4" s="16" t="n">
        <v>14.16</v>
      </c>
      <c r="U4" s="16" t="n">
        <v>30</v>
      </c>
      <c r="V4" s="16" t="n">
        <v>0.24</v>
      </c>
      <c r="W4" s="16" t="n">
        <v>44.4</v>
      </c>
      <c r="X4" s="16" t="n">
        <v>-16.62</v>
      </c>
      <c r="Y4" s="16" t="inlineStr">
        <is>
          <t>FLAT</t>
        </is>
      </c>
      <c r="Z4" s="16" t="n">
        <v>1000</v>
      </c>
      <c r="AA4" s="16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12:26 ET</t>
        </is>
      </c>
      <c r="H5" s="15" t="n">
        <v>30623.75</v>
      </c>
      <c r="I5" s="15" t="n">
        <v>30600</v>
      </c>
      <c r="J5" s="15" t="n">
        <v>30625</v>
      </c>
      <c r="K5" s="15" t="n">
        <v>6</v>
      </c>
      <c r="L5" s="15" t="n">
        <v>148</v>
      </c>
      <c r="M5" s="15" t="n">
        <v>103.6</v>
      </c>
      <c r="N5" s="15" t="n">
        <v>932.4</v>
      </c>
      <c r="O5" s="15" t="n">
        <v>2112</v>
      </c>
      <c r="P5" s="15" t="n">
        <v>266.4</v>
      </c>
      <c r="Q5" s="15" t="n">
        <v>266.4</v>
      </c>
      <c r="R5" s="15" t="n">
        <v>-266.4</v>
      </c>
      <c r="S5" s="15" t="n">
        <v>-30</v>
      </c>
      <c r="T5" s="15" t="n">
        <v>14.16</v>
      </c>
      <c r="U5" s="15" t="n">
        <v>30</v>
      </c>
      <c r="V5" s="15" t="n">
        <v>0.24</v>
      </c>
      <c r="W5" s="15" t="n">
        <v>44.4</v>
      </c>
      <c r="X5" s="15" t="n">
        <v>-310.8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NQ</t>
        </is>
      </c>
      <c r="C6" s="17" t="inlineStr">
        <is>
          <t>Bull Call Spread</t>
        </is>
      </c>
      <c r="D6" s="17" t="inlineStr">
        <is>
          <t>2026-06-19</t>
        </is>
      </c>
      <c r="E6" s="17" t="n">
        <v>1</v>
      </c>
      <c r="F6" s="17" t="inlineStr">
        <is>
          <t>10:00 ET</t>
        </is>
      </c>
      <c r="G6" s="17" t="inlineStr">
        <is>
          <t>11:07 ET</t>
        </is>
      </c>
      <c r="H6" s="17" t="n">
        <v>30542.25</v>
      </c>
      <c r="I6" s="17" t="n">
        <v>30525</v>
      </c>
      <c r="J6" s="17" t="n">
        <v>30550</v>
      </c>
      <c r="K6" s="17" t="n">
        <v>7</v>
      </c>
      <c r="L6" s="17" t="n">
        <v>117.73</v>
      </c>
      <c r="M6" s="17" t="n">
        <v>153.05</v>
      </c>
      <c r="N6" s="17" t="n">
        <v>875.91</v>
      </c>
      <c r="O6" s="17" t="n">
        <v>2675.89</v>
      </c>
      <c r="P6" s="17" t="n">
        <v>247.23</v>
      </c>
      <c r="Q6" s="17" t="n">
        <v>247.23</v>
      </c>
      <c r="R6" s="17" t="n">
        <v>247.24</v>
      </c>
      <c r="S6" s="17" t="n">
        <v>30</v>
      </c>
      <c r="T6" s="17" t="n">
        <v>16.52</v>
      </c>
      <c r="U6" s="17" t="n">
        <v>35</v>
      </c>
      <c r="V6" s="17" t="n">
        <v>0.28</v>
      </c>
      <c r="W6" s="17" t="n">
        <v>51.8</v>
      </c>
      <c r="X6" s="17" t="n">
        <v>195.44</v>
      </c>
      <c r="Y6" s="17" t="inlineStr">
        <is>
          <t>PROFIT</t>
        </is>
      </c>
      <c r="Z6" s="17" t="n">
        <v>1000</v>
      </c>
      <c r="AA6" s="17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15:16 ET</t>
        </is>
      </c>
      <c r="H7" s="16" t="n">
        <v>30506.5</v>
      </c>
      <c r="I7" s="16" t="n">
        <v>30500</v>
      </c>
      <c r="J7" s="16" t="n">
        <v>30525</v>
      </c>
      <c r="K7" s="16" t="n">
        <v>4</v>
      </c>
      <c r="L7" s="16" t="n">
        <v>226.7</v>
      </c>
      <c r="M7" s="16" t="n">
        <v>221.29</v>
      </c>
      <c r="N7" s="16" t="n">
        <v>936.4</v>
      </c>
      <c r="O7" s="16" t="n">
        <v>1093.2</v>
      </c>
      <c r="P7" s="16" t="n">
        <v>272.04</v>
      </c>
      <c r="Q7" s="16" t="n">
        <v>272.04</v>
      </c>
      <c r="R7" s="16" t="n">
        <v>-21.64</v>
      </c>
      <c r="S7" s="16" t="n">
        <v>-2.4</v>
      </c>
      <c r="T7" s="16" t="n">
        <v>9.44</v>
      </c>
      <c r="U7" s="16" t="n">
        <v>20</v>
      </c>
      <c r="V7" s="16" t="n">
        <v>0.16</v>
      </c>
      <c r="W7" s="16" t="n">
        <v>29.6</v>
      </c>
      <c r="X7" s="16" t="n">
        <v>-51.24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11:01 ET</t>
        </is>
      </c>
      <c r="H8" s="15" t="n">
        <v>30506.5</v>
      </c>
      <c r="I8" s="15" t="n">
        <v>30500</v>
      </c>
      <c r="J8" s="15" t="n">
        <v>30525</v>
      </c>
      <c r="K8" s="15" t="n">
        <v>4</v>
      </c>
      <c r="L8" s="15" t="n">
        <v>238.22</v>
      </c>
      <c r="M8" s="15" t="n">
        <v>166.75</v>
      </c>
      <c r="N8" s="15" t="n">
        <v>982.48</v>
      </c>
      <c r="O8" s="15" t="n">
        <v>1047.12</v>
      </c>
      <c r="P8" s="15" t="n">
        <v>285.86</v>
      </c>
      <c r="Q8" s="15" t="n">
        <v>285.86</v>
      </c>
      <c r="R8" s="15" t="n">
        <v>-285.88</v>
      </c>
      <c r="S8" s="15" t="n">
        <v>-30</v>
      </c>
      <c r="T8" s="15" t="n">
        <v>9.44</v>
      </c>
      <c r="U8" s="15" t="n">
        <v>20</v>
      </c>
      <c r="V8" s="15" t="n">
        <v>0.16</v>
      </c>
      <c r="W8" s="15" t="n">
        <v>29.6</v>
      </c>
      <c r="X8" s="15" t="n">
        <v>-315.48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7" t="inlineStr">
        <is>
          <t>2026-06-22</t>
        </is>
      </c>
      <c r="B9" s="17" t="inlineStr">
        <is>
          <t>NQ</t>
        </is>
      </c>
      <c r="C9" s="17" t="inlineStr">
        <is>
          <t>Bull Call Spread</t>
        </is>
      </c>
      <c r="D9" s="17" t="inlineStr">
        <is>
          <t>2026-07-17</t>
        </is>
      </c>
      <c r="E9" s="17" t="n">
        <v>25</v>
      </c>
      <c r="F9" s="17" t="inlineStr">
        <is>
          <t>10:00 ET</t>
        </is>
      </c>
      <c r="G9" s="17" t="inlineStr">
        <is>
          <t>12:16 ET</t>
        </is>
      </c>
      <c r="H9" s="17" t="n">
        <v>30627.75</v>
      </c>
      <c r="I9" s="17" t="n">
        <v>30625</v>
      </c>
      <c r="J9" s="17" t="n">
        <v>30650</v>
      </c>
      <c r="K9" s="17" t="n">
        <v>3</v>
      </c>
      <c r="L9" s="17" t="n">
        <v>267.2</v>
      </c>
      <c r="M9" s="17" t="n">
        <v>347.36</v>
      </c>
      <c r="N9" s="17" t="n">
        <v>823.8</v>
      </c>
      <c r="O9" s="17" t="n">
        <v>698.4</v>
      </c>
      <c r="P9" s="17" t="n">
        <v>240.48</v>
      </c>
      <c r="Q9" s="17" t="n">
        <v>240.48</v>
      </c>
      <c r="R9" s="17" t="n">
        <v>240.48</v>
      </c>
      <c r="S9" s="17" t="n">
        <v>30</v>
      </c>
      <c r="T9" s="17" t="n">
        <v>7.08</v>
      </c>
      <c r="U9" s="17" t="n">
        <v>15</v>
      </c>
      <c r="V9" s="17" t="n">
        <v>0.12</v>
      </c>
      <c r="W9" s="17" t="n">
        <v>22.2</v>
      </c>
      <c r="X9" s="17" t="n">
        <v>218.28</v>
      </c>
      <c r="Y9" s="17" t="inlineStr">
        <is>
          <t>PROFIT</t>
        </is>
      </c>
      <c r="Z9" s="17" t="n">
        <v>1000</v>
      </c>
      <c r="AA9" s="17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11:12 ET</t>
        </is>
      </c>
      <c r="H10" s="17" t="n">
        <v>30662.5</v>
      </c>
      <c r="I10" s="17" t="n">
        <v>30650</v>
      </c>
      <c r="J10" s="17" t="n">
        <v>30675</v>
      </c>
      <c r="K10" s="17" t="n">
        <v>4</v>
      </c>
      <c r="L10" s="17" t="n">
        <v>237.6</v>
      </c>
      <c r="M10" s="17" t="n">
        <v>308.88</v>
      </c>
      <c r="N10" s="17" t="n">
        <v>980</v>
      </c>
      <c r="O10" s="17" t="n">
        <v>1049.6</v>
      </c>
      <c r="P10" s="17" t="n">
        <v>285.12</v>
      </c>
      <c r="Q10" s="17" t="n">
        <v>285.12</v>
      </c>
      <c r="R10" s="17" t="n">
        <v>285.12</v>
      </c>
      <c r="S10" s="17" t="n">
        <v>30</v>
      </c>
      <c r="T10" s="17" t="n">
        <v>9.44</v>
      </c>
      <c r="U10" s="17" t="n">
        <v>20</v>
      </c>
      <c r="V10" s="17" t="n">
        <v>0.16</v>
      </c>
      <c r="W10" s="17" t="n">
        <v>29.6</v>
      </c>
      <c r="X10" s="17" t="n">
        <v>255.52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NQ</t>
        </is>
      </c>
      <c r="C11" s="17" t="inlineStr">
        <is>
          <t>Bull Call Spread</t>
        </is>
      </c>
      <c r="D11" s="17" t="inlineStr">
        <is>
          <t>2026-07-17</t>
        </is>
      </c>
      <c r="E11" s="17" t="n">
        <v>24</v>
      </c>
      <c r="F11" s="17" t="inlineStr">
        <is>
          <t>10:00 ET</t>
        </is>
      </c>
      <c r="G11" s="17" t="inlineStr">
        <is>
          <t>13:39 ET</t>
        </is>
      </c>
      <c r="H11" s="17" t="n">
        <v>29686</v>
      </c>
      <c r="I11" s="17" t="n">
        <v>29675</v>
      </c>
      <c r="J11" s="17" t="n">
        <v>29700</v>
      </c>
      <c r="K11" s="17" t="n">
        <v>3</v>
      </c>
      <c r="L11" s="17" t="n">
        <v>249.78</v>
      </c>
      <c r="M11" s="17" t="n">
        <v>324.71</v>
      </c>
      <c r="N11" s="17" t="n">
        <v>771.54</v>
      </c>
      <c r="O11" s="17" t="n">
        <v>750.66</v>
      </c>
      <c r="P11" s="17" t="n">
        <v>224.8</v>
      </c>
      <c r="Q11" s="17" t="n">
        <v>224.8</v>
      </c>
      <c r="R11" s="17" t="n">
        <v>224.79</v>
      </c>
      <c r="S11" s="17" t="n">
        <v>30</v>
      </c>
      <c r="T11" s="17" t="n">
        <v>7.08</v>
      </c>
      <c r="U11" s="17" t="n">
        <v>15</v>
      </c>
      <c r="V11" s="17" t="n">
        <v>0.12</v>
      </c>
      <c r="W11" s="17" t="n">
        <v>22.2</v>
      </c>
      <c r="X11" s="17" t="n">
        <v>202.59</v>
      </c>
      <c r="Y11" s="17" t="inlineStr">
        <is>
          <t>PROFIT</t>
        </is>
      </c>
      <c r="Z11" s="17" t="n">
        <v>1000</v>
      </c>
      <c r="AA11" s="17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NQ</t>
        </is>
      </c>
      <c r="C12" s="17" t="inlineStr">
        <is>
          <t>Bull Call Spread</t>
        </is>
      </c>
      <c r="D12" s="17" t="inlineStr">
        <is>
          <t>2026-07-17</t>
        </is>
      </c>
      <c r="E12" s="17" t="n">
        <v>24</v>
      </c>
      <c r="F12" s="17" t="inlineStr">
        <is>
          <t>10:00 ET</t>
        </is>
      </c>
      <c r="G12" s="17" t="inlineStr">
        <is>
          <t>11:47 ET</t>
        </is>
      </c>
      <c r="H12" s="17" t="n">
        <v>29732.5</v>
      </c>
      <c r="I12" s="17" t="n">
        <v>29725</v>
      </c>
      <c r="J12" s="17" t="n">
        <v>29750</v>
      </c>
      <c r="K12" s="17" t="n">
        <v>3</v>
      </c>
      <c r="L12" s="17" t="n">
        <v>254.03</v>
      </c>
      <c r="M12" s="17" t="n">
        <v>330.24</v>
      </c>
      <c r="N12" s="17" t="n">
        <v>784.29</v>
      </c>
      <c r="O12" s="17" t="n">
        <v>737.91</v>
      </c>
      <c r="P12" s="17" t="n">
        <v>228.63</v>
      </c>
      <c r="Q12" s="17" t="n">
        <v>228.63</v>
      </c>
      <c r="R12" s="17" t="n">
        <v>228.63</v>
      </c>
      <c r="S12" s="17" t="n">
        <v>30</v>
      </c>
      <c r="T12" s="17" t="n">
        <v>7.08</v>
      </c>
      <c r="U12" s="17" t="n">
        <v>15</v>
      </c>
      <c r="V12" s="17" t="n">
        <v>0.12</v>
      </c>
      <c r="W12" s="17" t="n">
        <v>22.2</v>
      </c>
      <c r="X12" s="17" t="n">
        <v>206.43</v>
      </c>
      <c r="Y12" s="17" t="inlineStr">
        <is>
          <t>PROFIT</t>
        </is>
      </c>
      <c r="Z12" s="17" t="n">
        <v>1000</v>
      </c>
      <c r="AA12" s="17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12:03 ET</t>
        </is>
      </c>
      <c r="H13" s="17" t="n">
        <v>29866.25</v>
      </c>
      <c r="I13" s="17" t="n">
        <v>29850</v>
      </c>
      <c r="J13" s="17" t="n">
        <v>29875</v>
      </c>
      <c r="K13" s="17" t="n">
        <v>3</v>
      </c>
      <c r="L13" s="17" t="n">
        <v>246.52</v>
      </c>
      <c r="M13" s="17" t="n">
        <v>320.48</v>
      </c>
      <c r="N13" s="17" t="n">
        <v>761.76</v>
      </c>
      <c r="O13" s="17" t="n">
        <v>760.4400000000001</v>
      </c>
      <c r="P13" s="17" t="n">
        <v>221.87</v>
      </c>
      <c r="Q13" s="17" t="n">
        <v>221.87</v>
      </c>
      <c r="R13" s="17" t="n">
        <v>221.88</v>
      </c>
      <c r="S13" s="17" t="n">
        <v>30</v>
      </c>
      <c r="T13" s="17" t="n">
        <v>7.08</v>
      </c>
      <c r="U13" s="17" t="n">
        <v>15</v>
      </c>
      <c r="V13" s="17" t="n">
        <v>0.12</v>
      </c>
      <c r="W13" s="17" t="n">
        <v>22.2</v>
      </c>
      <c r="X13" s="17" t="n">
        <v>199.68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7" t="inlineStr">
        <is>
          <t>2026-06-24</t>
        </is>
      </c>
      <c r="B14" s="17" t="inlineStr">
        <is>
          <t>NQ</t>
        </is>
      </c>
      <c r="C14" s="17" t="inlineStr">
        <is>
          <t>Bull Call Spread</t>
        </is>
      </c>
      <c r="D14" s="17" t="inlineStr">
        <is>
          <t>2026-07-17</t>
        </is>
      </c>
      <c r="E14" s="17" t="n">
        <v>23</v>
      </c>
      <c r="F14" s="17" t="inlineStr">
        <is>
          <t>10:00 ET</t>
        </is>
      </c>
      <c r="G14" s="17" t="inlineStr">
        <is>
          <t>13:10 ET</t>
        </is>
      </c>
      <c r="H14" s="17" t="n">
        <v>29838</v>
      </c>
      <c r="I14" s="17" t="n">
        <v>29825</v>
      </c>
      <c r="J14" s="17" t="n">
        <v>29850</v>
      </c>
      <c r="K14" s="17" t="n">
        <v>3</v>
      </c>
      <c r="L14" s="17" t="n">
        <v>268.69</v>
      </c>
      <c r="M14" s="17" t="n">
        <v>349.3</v>
      </c>
      <c r="N14" s="17" t="n">
        <v>828.27</v>
      </c>
      <c r="O14" s="17" t="n">
        <v>693.9299999999999</v>
      </c>
      <c r="P14" s="17" t="n">
        <v>241.82</v>
      </c>
      <c r="Q14" s="17" t="n">
        <v>241.82</v>
      </c>
      <c r="R14" s="17" t="n">
        <v>241.83</v>
      </c>
      <c r="S14" s="17" t="n">
        <v>30</v>
      </c>
      <c r="T14" s="17" t="n">
        <v>7.08</v>
      </c>
      <c r="U14" s="17" t="n">
        <v>15</v>
      </c>
      <c r="V14" s="17" t="n">
        <v>0.12</v>
      </c>
      <c r="W14" s="17" t="n">
        <v>22.2</v>
      </c>
      <c r="X14" s="17" t="n">
        <v>219.63</v>
      </c>
      <c r="Y14" s="17" t="inlineStr">
        <is>
          <t>PROFIT</t>
        </is>
      </c>
      <c r="Z14" s="17" t="n">
        <v>1000</v>
      </c>
      <c r="AA14" s="17" t="inlineStr">
        <is>
          <t>PAPER TRADING</t>
        </is>
      </c>
    </row>
    <row r="15">
      <c r="A15" s="17" t="inlineStr">
        <is>
          <t>2026-06-25</t>
        </is>
      </c>
      <c r="B15" s="17" t="inlineStr">
        <is>
          <t>NQ</t>
        </is>
      </c>
      <c r="C15" s="17" t="inlineStr">
        <is>
          <t>Bull Call Spread</t>
        </is>
      </c>
      <c r="D15" s="17" t="inlineStr">
        <is>
          <t>2026-07-17</t>
        </is>
      </c>
      <c r="E15" s="17" t="n">
        <v>22</v>
      </c>
      <c r="F15" s="17" t="inlineStr">
        <is>
          <t>10:00 ET</t>
        </is>
      </c>
      <c r="G15" s="17" t="inlineStr">
        <is>
          <t>13:51 ET</t>
        </is>
      </c>
      <c r="H15" s="17" t="n">
        <v>30137</v>
      </c>
      <c r="I15" s="17" t="n">
        <v>30125</v>
      </c>
      <c r="J15" s="17" t="n">
        <v>30150</v>
      </c>
      <c r="K15" s="17" t="n">
        <v>4</v>
      </c>
      <c r="L15" s="17" t="n">
        <v>215.94</v>
      </c>
      <c r="M15" s="17" t="n">
        <v>280.72</v>
      </c>
      <c r="N15" s="17" t="n">
        <v>893.36</v>
      </c>
      <c r="O15" s="17" t="n">
        <v>1136.24</v>
      </c>
      <c r="P15" s="17" t="n">
        <v>259.13</v>
      </c>
      <c r="Q15" s="17" t="n">
        <v>259.13</v>
      </c>
      <c r="R15" s="17" t="n">
        <v>259.12</v>
      </c>
      <c r="S15" s="17" t="n">
        <v>30</v>
      </c>
      <c r="T15" s="17" t="n">
        <v>9.44</v>
      </c>
      <c r="U15" s="17" t="n">
        <v>20</v>
      </c>
      <c r="V15" s="17" t="n">
        <v>0.16</v>
      </c>
      <c r="W15" s="17" t="n">
        <v>29.6</v>
      </c>
      <c r="X15" s="17" t="n">
        <v>229.52</v>
      </c>
      <c r="Y15" s="17" t="inlineStr">
        <is>
          <t>PROFIT</t>
        </is>
      </c>
      <c r="Z15" s="17" t="n">
        <v>1000</v>
      </c>
      <c r="AA15" s="17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11:51 ET</t>
        </is>
      </c>
      <c r="H16" s="17" t="n">
        <v>29766</v>
      </c>
      <c r="I16" s="17" t="n">
        <v>29750</v>
      </c>
      <c r="J16" s="17" t="n">
        <v>29775</v>
      </c>
      <c r="K16" s="17" t="n">
        <v>3</v>
      </c>
      <c r="L16" s="17" t="n">
        <v>273.87</v>
      </c>
      <c r="M16" s="17" t="n">
        <v>356.03</v>
      </c>
      <c r="N16" s="17" t="n">
        <v>843.8099999999999</v>
      </c>
      <c r="O16" s="17" t="n">
        <v>678.39</v>
      </c>
      <c r="P16" s="17" t="n">
        <v>246.48</v>
      </c>
      <c r="Q16" s="17" t="n">
        <v>246.48</v>
      </c>
      <c r="R16" s="17" t="n">
        <v>246.48</v>
      </c>
      <c r="S16" s="17" t="n">
        <v>30</v>
      </c>
      <c r="T16" s="17" t="n">
        <v>7.08</v>
      </c>
      <c r="U16" s="17" t="n">
        <v>15</v>
      </c>
      <c r="V16" s="17" t="n">
        <v>0.12</v>
      </c>
      <c r="W16" s="17" t="n">
        <v>22.2</v>
      </c>
      <c r="X16" s="17" t="n">
        <v>224.28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10:57 ET</t>
        </is>
      </c>
      <c r="H17" s="15" t="n">
        <v>29437.25</v>
      </c>
      <c r="I17" s="15" t="n">
        <v>29425</v>
      </c>
      <c r="J17" s="15" t="n">
        <v>29450</v>
      </c>
      <c r="K17" s="15" t="n">
        <v>4</v>
      </c>
      <c r="L17" s="15" t="n">
        <v>223.34</v>
      </c>
      <c r="M17" s="15" t="n">
        <v>156.34</v>
      </c>
      <c r="N17" s="15" t="n">
        <v>922.96</v>
      </c>
      <c r="O17" s="15" t="n">
        <v>1106.64</v>
      </c>
      <c r="P17" s="15" t="n">
        <v>268.01</v>
      </c>
      <c r="Q17" s="15" t="n">
        <v>268.01</v>
      </c>
      <c r="R17" s="15" t="n">
        <v>-268</v>
      </c>
      <c r="S17" s="15" t="n">
        <v>-30</v>
      </c>
      <c r="T17" s="15" t="n">
        <v>9.44</v>
      </c>
      <c r="U17" s="15" t="n">
        <v>20</v>
      </c>
      <c r="V17" s="15" t="n">
        <v>0.16</v>
      </c>
      <c r="W17" s="15" t="n">
        <v>29.6</v>
      </c>
      <c r="X17" s="15" t="n">
        <v>-297.6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5" t="inlineStr">
        <is>
          <t>2026-06-26</t>
        </is>
      </c>
      <c r="B18" s="15" t="inlineStr">
        <is>
          <t>NQ</t>
        </is>
      </c>
      <c r="C18" s="15" t="inlineStr">
        <is>
          <t>Bull Call Spread</t>
        </is>
      </c>
      <c r="D18" s="15" t="inlineStr">
        <is>
          <t>2026-07-17</t>
        </is>
      </c>
      <c r="E18" s="15" t="n">
        <v>21</v>
      </c>
      <c r="F18" s="15" t="inlineStr">
        <is>
          <t>10:00 ET</t>
        </is>
      </c>
      <c r="G18" s="15" t="inlineStr">
        <is>
          <t>10:32 ET</t>
        </is>
      </c>
      <c r="H18" s="15" t="n">
        <v>29317.5</v>
      </c>
      <c r="I18" s="15" t="n">
        <v>29300</v>
      </c>
      <c r="J18" s="15" t="n">
        <v>29325</v>
      </c>
      <c r="K18" s="15" t="n">
        <v>4</v>
      </c>
      <c r="L18" s="15" t="n">
        <v>237.74</v>
      </c>
      <c r="M18" s="15" t="n">
        <v>166.42</v>
      </c>
      <c r="N18" s="15" t="n">
        <v>980.5599999999999</v>
      </c>
      <c r="O18" s="15" t="n">
        <v>1049.04</v>
      </c>
      <c r="P18" s="15" t="n">
        <v>285.29</v>
      </c>
      <c r="Q18" s="15" t="n">
        <v>285.29</v>
      </c>
      <c r="R18" s="15" t="n">
        <v>-285.28</v>
      </c>
      <c r="S18" s="15" t="n">
        <v>-30</v>
      </c>
      <c r="T18" s="15" t="n">
        <v>9.44</v>
      </c>
      <c r="U18" s="15" t="n">
        <v>20</v>
      </c>
      <c r="V18" s="15" t="n">
        <v>0.16</v>
      </c>
      <c r="W18" s="15" t="n">
        <v>29.6</v>
      </c>
      <c r="X18" s="15" t="n">
        <v>-314.88</v>
      </c>
      <c r="Y18" s="15" t="inlineStr">
        <is>
          <t>STOP LOSS</t>
        </is>
      </c>
      <c r="Z18" s="15" t="n">
        <v>1000</v>
      </c>
      <c r="AA18" s="15" t="inlineStr">
        <is>
          <t>PAPER TRADING</t>
        </is>
      </c>
    </row>
    <row r="19">
      <c r="A19" s="15" t="inlineStr">
        <is>
          <t>2026-06-29</t>
        </is>
      </c>
      <c r="B19" s="15" t="inlineStr">
        <is>
          <t>NQ</t>
        </is>
      </c>
      <c r="C19" s="15" t="inlineStr">
        <is>
          <t>Bull Call Spread</t>
        </is>
      </c>
      <c r="D19" s="15" t="inlineStr">
        <is>
          <t>2026-07-17</t>
        </is>
      </c>
      <c r="E19" s="15" t="n">
        <v>18</v>
      </c>
      <c r="F19" s="15" t="inlineStr">
        <is>
          <t>10:00 ET</t>
        </is>
      </c>
      <c r="G19" s="15" t="inlineStr">
        <is>
          <t>10:46 ET</t>
        </is>
      </c>
      <c r="H19" s="15" t="n">
        <v>29856.25</v>
      </c>
      <c r="I19" s="15" t="n">
        <v>29850</v>
      </c>
      <c r="J19" s="15" t="n">
        <v>29875</v>
      </c>
      <c r="K19" s="15" t="n">
        <v>3</v>
      </c>
      <c r="L19" s="15" t="n">
        <v>251.24</v>
      </c>
      <c r="M19" s="15" t="n">
        <v>175.87</v>
      </c>
      <c r="N19" s="15" t="n">
        <v>775.92</v>
      </c>
      <c r="O19" s="15" t="n">
        <v>746.28</v>
      </c>
      <c r="P19" s="15" t="n">
        <v>226.12</v>
      </c>
      <c r="Q19" s="15" t="n">
        <v>226.12</v>
      </c>
      <c r="R19" s="15" t="n">
        <v>-226.11</v>
      </c>
      <c r="S19" s="15" t="n">
        <v>-30</v>
      </c>
      <c r="T19" s="15" t="n">
        <v>7.08</v>
      </c>
      <c r="U19" s="15" t="n">
        <v>15</v>
      </c>
      <c r="V19" s="15" t="n">
        <v>0.12</v>
      </c>
      <c r="W19" s="15" t="n">
        <v>22.2</v>
      </c>
      <c r="X19" s="15" t="n">
        <v>-248.31</v>
      </c>
      <c r="Y19" s="15" t="inlineStr">
        <is>
          <t>STOP LOSS</t>
        </is>
      </c>
      <c r="Z19" s="15" t="n">
        <v>1000</v>
      </c>
      <c r="AA19" s="15" t="inlineStr">
        <is>
          <t>PAPER TRADING</t>
        </is>
      </c>
    </row>
    <row r="20">
      <c r="A20" s="15" t="inlineStr">
        <is>
          <t>2026-06-29</t>
        </is>
      </c>
      <c r="B20" s="15" t="inlineStr">
        <is>
          <t>NQ</t>
        </is>
      </c>
      <c r="C20" s="15" t="inlineStr">
        <is>
          <t>Bull Call Spread</t>
        </is>
      </c>
      <c r="D20" s="15" t="inlineStr">
        <is>
          <t>2026-07-17</t>
        </is>
      </c>
      <c r="E20" s="15" t="n">
        <v>18</v>
      </c>
      <c r="F20" s="15" t="inlineStr">
        <is>
          <t>10:00 ET</t>
        </is>
      </c>
      <c r="G20" s="15" t="inlineStr">
        <is>
          <t>11:26 ET</t>
        </is>
      </c>
      <c r="H20" s="15" t="n">
        <v>30026.5</v>
      </c>
      <c r="I20" s="15" t="n">
        <v>30025</v>
      </c>
      <c r="J20" s="15" t="n">
        <v>30050</v>
      </c>
      <c r="K20" s="15" t="n">
        <v>4</v>
      </c>
      <c r="L20" s="15" t="n">
        <v>239.18</v>
      </c>
      <c r="M20" s="15" t="n">
        <v>167.43</v>
      </c>
      <c r="N20" s="15" t="n">
        <v>986.3200000000001</v>
      </c>
      <c r="O20" s="15" t="n">
        <v>1043.28</v>
      </c>
      <c r="P20" s="15" t="n">
        <v>287.02</v>
      </c>
      <c r="Q20" s="15" t="n">
        <v>287.02</v>
      </c>
      <c r="R20" s="15" t="n">
        <v>-287</v>
      </c>
      <c r="S20" s="15" t="n">
        <v>-30</v>
      </c>
      <c r="T20" s="15" t="n">
        <v>9.44</v>
      </c>
      <c r="U20" s="15" t="n">
        <v>20</v>
      </c>
      <c r="V20" s="15" t="n">
        <v>0.16</v>
      </c>
      <c r="W20" s="15" t="n">
        <v>29.6</v>
      </c>
      <c r="X20" s="15" t="n">
        <v>-316.6</v>
      </c>
      <c r="Y20" s="15" t="inlineStr">
        <is>
          <t>STOP LOSS</t>
        </is>
      </c>
      <c r="Z20" s="15" t="n">
        <v>1000</v>
      </c>
      <c r="AA20" s="15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13:44 ET</t>
        </is>
      </c>
      <c r="H21" s="17" t="n">
        <v>30154.75</v>
      </c>
      <c r="I21" s="17" t="n">
        <v>30150</v>
      </c>
      <c r="J21" s="17" t="n">
        <v>30175</v>
      </c>
      <c r="K21" s="17" t="n">
        <v>4</v>
      </c>
      <c r="L21" s="17" t="n">
        <v>229.86</v>
      </c>
      <c r="M21" s="17" t="n">
        <v>298.82</v>
      </c>
      <c r="N21" s="17" t="n">
        <v>949.04</v>
      </c>
      <c r="O21" s="17" t="n">
        <v>1080.56</v>
      </c>
      <c r="P21" s="17" t="n">
        <v>275.83</v>
      </c>
      <c r="Q21" s="17" t="n">
        <v>275.83</v>
      </c>
      <c r="R21" s="17" t="n">
        <v>275.84</v>
      </c>
      <c r="S21" s="17" t="n">
        <v>30</v>
      </c>
      <c r="T21" s="17" t="n">
        <v>9.44</v>
      </c>
      <c r="U21" s="17" t="n">
        <v>20</v>
      </c>
      <c r="V21" s="17" t="n">
        <v>0.16</v>
      </c>
      <c r="W21" s="17" t="n">
        <v>29.6</v>
      </c>
      <c r="X21" s="17" t="n">
        <v>246.24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11:09 ET</t>
        </is>
      </c>
      <c r="H22" s="17" t="n">
        <v>30503.25</v>
      </c>
      <c r="I22" s="17" t="n">
        <v>30500</v>
      </c>
      <c r="J22" s="17" t="n">
        <v>30525</v>
      </c>
      <c r="K22" s="17" t="n">
        <v>4</v>
      </c>
      <c r="L22" s="17" t="n">
        <v>215.87</v>
      </c>
      <c r="M22" s="17" t="n">
        <v>280.63</v>
      </c>
      <c r="N22" s="17" t="n">
        <v>893.08</v>
      </c>
      <c r="O22" s="17" t="n">
        <v>1136.52</v>
      </c>
      <c r="P22" s="17" t="n">
        <v>259.04</v>
      </c>
      <c r="Q22" s="17" t="n">
        <v>259.04</v>
      </c>
      <c r="R22" s="17" t="n">
        <v>259.04</v>
      </c>
      <c r="S22" s="17" t="n">
        <v>30</v>
      </c>
      <c r="T22" s="17" t="n">
        <v>9.44</v>
      </c>
      <c r="U22" s="17" t="n">
        <v>20</v>
      </c>
      <c r="V22" s="17" t="n">
        <v>0.16</v>
      </c>
      <c r="W22" s="17" t="n">
        <v>29.6</v>
      </c>
      <c r="X22" s="17" t="n">
        <v>229.44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5" t="inlineStr">
        <is>
          <t>2026-07-01</t>
        </is>
      </c>
      <c r="B23" s="15" t="inlineStr">
        <is>
          <t>NQ</t>
        </is>
      </c>
      <c r="C23" s="15" t="inlineStr">
        <is>
          <t>Bull Call Spread</t>
        </is>
      </c>
      <c r="D23" s="15" t="inlineStr">
        <is>
          <t>2026-07-17</t>
        </is>
      </c>
      <c r="E23" s="15" t="n">
        <v>16</v>
      </c>
      <c r="F23" s="15" t="inlineStr">
        <is>
          <t>10:00 ET</t>
        </is>
      </c>
      <c r="G23" s="15" t="inlineStr">
        <is>
          <t>11:14 ET</t>
        </is>
      </c>
      <c r="H23" s="15" t="n">
        <v>30226.25</v>
      </c>
      <c r="I23" s="15" t="n">
        <v>30225</v>
      </c>
      <c r="J23" s="15" t="n">
        <v>30250</v>
      </c>
      <c r="K23" s="15" t="n">
        <v>4</v>
      </c>
      <c r="L23" s="15" t="n">
        <v>219.93</v>
      </c>
      <c r="M23" s="15" t="n">
        <v>153.95</v>
      </c>
      <c r="N23" s="15" t="n">
        <v>909.3200000000001</v>
      </c>
      <c r="O23" s="15" t="n">
        <v>1120.28</v>
      </c>
      <c r="P23" s="15" t="n">
        <v>263.92</v>
      </c>
      <c r="Q23" s="15" t="n">
        <v>263.92</v>
      </c>
      <c r="R23" s="15" t="n">
        <v>-263.92</v>
      </c>
      <c r="S23" s="15" t="n">
        <v>-30</v>
      </c>
      <c r="T23" s="15" t="n">
        <v>9.44</v>
      </c>
      <c r="U23" s="15" t="n">
        <v>20</v>
      </c>
      <c r="V23" s="15" t="n">
        <v>0.16</v>
      </c>
      <c r="W23" s="15" t="n">
        <v>29.6</v>
      </c>
      <c r="X23" s="15" t="n">
        <v>-293.52</v>
      </c>
      <c r="Y23" s="15" t="inlineStr">
        <is>
          <t>STOP LOSS</t>
        </is>
      </c>
      <c r="Z23" s="15" t="n">
        <v>1000</v>
      </c>
      <c r="AA23" s="15" t="inlineStr">
        <is>
          <t>PAPER TRADING</t>
        </is>
      </c>
    </row>
    <row r="24">
      <c r="A24" s="17" t="inlineStr">
        <is>
          <t>2026-07-01</t>
        </is>
      </c>
      <c r="B24" s="17" t="inlineStr">
        <is>
          <t>NQ</t>
        </is>
      </c>
      <c r="C24" s="17" t="inlineStr">
        <is>
          <t>Bull Call Spread</t>
        </is>
      </c>
      <c r="D24" s="17" t="inlineStr">
        <is>
          <t>2026-07-17</t>
        </is>
      </c>
      <c r="E24" s="17" t="n">
        <v>16</v>
      </c>
      <c r="F24" s="17" t="inlineStr">
        <is>
          <t>10:00 ET</t>
        </is>
      </c>
      <c r="G24" s="17" t="inlineStr">
        <is>
          <t>12:12 ET</t>
        </is>
      </c>
      <c r="H24" s="17" t="n">
        <v>30035.25</v>
      </c>
      <c r="I24" s="17" t="n">
        <v>30025</v>
      </c>
      <c r="J24" s="17" t="n">
        <v>30050</v>
      </c>
      <c r="K24" s="17" t="n">
        <v>3</v>
      </c>
      <c r="L24" s="17" t="n">
        <v>270.94</v>
      </c>
      <c r="M24" s="17" t="n">
        <v>352.22</v>
      </c>
      <c r="N24" s="17" t="n">
        <v>835.02</v>
      </c>
      <c r="O24" s="17" t="n">
        <v>687.1799999999999</v>
      </c>
      <c r="P24" s="17" t="n">
        <v>243.85</v>
      </c>
      <c r="Q24" s="17" t="n">
        <v>243.85</v>
      </c>
      <c r="R24" s="17" t="n">
        <v>243.84</v>
      </c>
      <c r="S24" s="17" t="n">
        <v>30</v>
      </c>
      <c r="T24" s="17" t="n">
        <v>7.08</v>
      </c>
      <c r="U24" s="17" t="n">
        <v>15</v>
      </c>
      <c r="V24" s="17" t="n">
        <v>0.12</v>
      </c>
      <c r="W24" s="17" t="n">
        <v>22.2</v>
      </c>
      <c r="X24" s="17" t="n">
        <v>221.64</v>
      </c>
      <c r="Y24" s="17" t="inlineStr">
        <is>
          <t>PROFIT</t>
        </is>
      </c>
      <c r="Z24" s="17" t="n">
        <v>1000</v>
      </c>
      <c r="AA24" s="17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11:06 ET</t>
        </is>
      </c>
      <c r="H25" s="17" t="n">
        <v>30066</v>
      </c>
      <c r="I25" s="17" t="n">
        <v>30050</v>
      </c>
      <c r="J25" s="17" t="n">
        <v>30075</v>
      </c>
      <c r="K25" s="17" t="n">
        <v>4</v>
      </c>
      <c r="L25" s="17" t="n">
        <v>224.56</v>
      </c>
      <c r="M25" s="17" t="n">
        <v>291.93</v>
      </c>
      <c r="N25" s="17" t="n">
        <v>927.84</v>
      </c>
      <c r="O25" s="17" t="n">
        <v>1101.76</v>
      </c>
      <c r="P25" s="17" t="n">
        <v>269.47</v>
      </c>
      <c r="Q25" s="17" t="n">
        <v>269.47</v>
      </c>
      <c r="R25" s="17" t="n">
        <v>269.48</v>
      </c>
      <c r="S25" s="17" t="n">
        <v>30</v>
      </c>
      <c r="T25" s="17" t="n">
        <v>9.44</v>
      </c>
      <c r="U25" s="17" t="n">
        <v>20</v>
      </c>
      <c r="V25" s="17" t="n">
        <v>0.16</v>
      </c>
      <c r="W25" s="17" t="n">
        <v>29.6</v>
      </c>
      <c r="X25" s="17" t="n">
        <v>239.88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10:30 ET</t>
        </is>
      </c>
      <c r="H26" s="15" t="n">
        <v>29504.25</v>
      </c>
      <c r="I26" s="15" t="n">
        <v>29500</v>
      </c>
      <c r="J26" s="15" t="n">
        <v>29525</v>
      </c>
      <c r="K26" s="15" t="n">
        <v>4</v>
      </c>
      <c r="L26" s="15" t="n">
        <v>220.37</v>
      </c>
      <c r="M26" s="15" t="n">
        <v>154.26</v>
      </c>
      <c r="N26" s="15" t="n">
        <v>911.08</v>
      </c>
      <c r="O26" s="15" t="n">
        <v>1118.52</v>
      </c>
      <c r="P26" s="15" t="n">
        <v>264.44</v>
      </c>
      <c r="Q26" s="15" t="n">
        <v>264.44</v>
      </c>
      <c r="R26" s="15" t="n">
        <v>-264.44</v>
      </c>
      <c r="S26" s="15" t="n">
        <v>-30</v>
      </c>
      <c r="T26" s="15" t="n">
        <v>9.44</v>
      </c>
      <c r="U26" s="15" t="n">
        <v>20</v>
      </c>
      <c r="V26" s="15" t="n">
        <v>0.16</v>
      </c>
      <c r="W26" s="15" t="n">
        <v>29.6</v>
      </c>
      <c r="X26" s="15" t="n">
        <v>-294.04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10:37 ET</t>
        </is>
      </c>
      <c r="H27" s="15" t="n">
        <v>30060.5</v>
      </c>
      <c r="I27" s="15" t="n">
        <v>30050</v>
      </c>
      <c r="J27" s="15" t="n">
        <v>30075</v>
      </c>
      <c r="K27" s="15" t="n">
        <v>6</v>
      </c>
      <c r="L27" s="15" t="n">
        <v>157.92</v>
      </c>
      <c r="M27" s="15" t="n">
        <v>110.54</v>
      </c>
      <c r="N27" s="15" t="n">
        <v>991.92</v>
      </c>
      <c r="O27" s="15" t="n">
        <v>2052.48</v>
      </c>
      <c r="P27" s="15" t="n">
        <v>284.26</v>
      </c>
      <c r="Q27" s="15" t="n">
        <v>284.26</v>
      </c>
      <c r="R27" s="15" t="n">
        <v>-284.28</v>
      </c>
      <c r="S27" s="15" t="n">
        <v>-30</v>
      </c>
      <c r="T27" s="15" t="n">
        <v>14.16</v>
      </c>
      <c r="U27" s="15" t="n">
        <v>30</v>
      </c>
      <c r="V27" s="15" t="n">
        <v>0.24</v>
      </c>
      <c r="W27" s="15" t="n">
        <v>44.4</v>
      </c>
      <c r="X27" s="15" t="n">
        <v>-328.68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11:52 ET</t>
        </is>
      </c>
      <c r="H28" s="17" t="n">
        <v>29953</v>
      </c>
      <c r="I28" s="17" t="n">
        <v>29950</v>
      </c>
      <c r="J28" s="17" t="n">
        <v>29975</v>
      </c>
      <c r="K28" s="17" t="n">
        <v>5</v>
      </c>
      <c r="L28" s="17" t="n">
        <v>159.88</v>
      </c>
      <c r="M28" s="17" t="n">
        <v>207.84</v>
      </c>
      <c r="N28" s="17" t="n">
        <v>836.4</v>
      </c>
      <c r="O28" s="17" t="n">
        <v>1700.6</v>
      </c>
      <c r="P28" s="17" t="n">
        <v>239.82</v>
      </c>
      <c r="Q28" s="17" t="n">
        <v>239.82</v>
      </c>
      <c r="R28" s="17" t="n">
        <v>239.8</v>
      </c>
      <c r="S28" s="17" t="n">
        <v>30</v>
      </c>
      <c r="T28" s="17" t="n">
        <v>11.8</v>
      </c>
      <c r="U28" s="17" t="n">
        <v>25</v>
      </c>
      <c r="V28" s="17" t="n">
        <v>0.2</v>
      </c>
      <c r="W28" s="17" t="n">
        <v>37</v>
      </c>
      <c r="X28" s="17" t="n">
        <v>202.8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5" t="inlineStr">
        <is>
          <t>2026-07-07</t>
        </is>
      </c>
      <c r="B29" s="15" t="inlineStr">
        <is>
          <t>NQ</t>
        </is>
      </c>
      <c r="C29" s="15" t="inlineStr">
        <is>
          <t>Bull Call Spread</t>
        </is>
      </c>
      <c r="D29" s="15" t="inlineStr">
        <is>
          <t>2026-07-17</t>
        </is>
      </c>
      <c r="E29" s="15" t="n">
        <v>10</v>
      </c>
      <c r="F29" s="15" t="inlineStr">
        <is>
          <t>10:00 ET</t>
        </is>
      </c>
      <c r="G29" s="15" t="inlineStr">
        <is>
          <t>10:35 ET</t>
        </is>
      </c>
      <c r="H29" s="15" t="n">
        <v>29685.5</v>
      </c>
      <c r="I29" s="15" t="n">
        <v>29675</v>
      </c>
      <c r="J29" s="15" t="n">
        <v>29700</v>
      </c>
      <c r="K29" s="15" t="n">
        <v>5</v>
      </c>
      <c r="L29" s="15" t="n">
        <v>192.6</v>
      </c>
      <c r="M29" s="15" t="n">
        <v>134.82</v>
      </c>
      <c r="N29" s="15" t="n">
        <v>1000</v>
      </c>
      <c r="O29" s="15" t="n">
        <v>1537</v>
      </c>
      <c r="P29" s="15" t="n">
        <v>288.9</v>
      </c>
      <c r="Q29" s="15" t="n">
        <v>288.9</v>
      </c>
      <c r="R29" s="15" t="n">
        <v>-288.9</v>
      </c>
      <c r="S29" s="15" t="n">
        <v>-30</v>
      </c>
      <c r="T29" s="15" t="n">
        <v>11.8</v>
      </c>
      <c r="U29" s="15" t="n">
        <v>25</v>
      </c>
      <c r="V29" s="15" t="n">
        <v>0.2</v>
      </c>
      <c r="W29" s="15" t="n">
        <v>37</v>
      </c>
      <c r="X29" s="15" t="n">
        <v>-325.9</v>
      </c>
      <c r="Y29" s="15" t="inlineStr">
        <is>
          <t>STOP LOSS</t>
        </is>
      </c>
      <c r="Z29" s="15" t="n">
        <v>1000</v>
      </c>
      <c r="AA29" s="15" t="inlineStr">
        <is>
          <t>PAPER TRADING</t>
        </is>
      </c>
    </row>
    <row r="30">
      <c r="A30" s="17" t="inlineStr">
        <is>
          <t>2026-07-07</t>
        </is>
      </c>
      <c r="B30" s="17" t="inlineStr">
        <is>
          <t>NQ</t>
        </is>
      </c>
      <c r="C30" s="17" t="inlineStr">
        <is>
          <t>Bull Call Spread</t>
        </is>
      </c>
      <c r="D30" s="17" t="inlineStr">
        <is>
          <t>2026-07-17</t>
        </is>
      </c>
      <c r="E30" s="17" t="n">
        <v>10</v>
      </c>
      <c r="F30" s="17" t="inlineStr">
        <is>
          <t>10:00 ET</t>
        </is>
      </c>
      <c r="G30" s="17" t="inlineStr">
        <is>
          <t>12:04 ET</t>
        </is>
      </c>
      <c r="H30" s="17" t="n">
        <v>29407.25</v>
      </c>
      <c r="I30" s="17" t="n">
        <v>29400</v>
      </c>
      <c r="J30" s="17" t="n">
        <v>29425</v>
      </c>
      <c r="K30" s="17" t="n">
        <v>4</v>
      </c>
      <c r="L30" s="17" t="n">
        <v>196.4</v>
      </c>
      <c r="M30" s="17" t="n">
        <v>255.32</v>
      </c>
      <c r="N30" s="17" t="n">
        <v>815.2</v>
      </c>
      <c r="O30" s="17" t="n">
        <v>1214.4</v>
      </c>
      <c r="P30" s="17" t="n">
        <v>235.68</v>
      </c>
      <c r="Q30" s="17" t="n">
        <v>235.68</v>
      </c>
      <c r="R30" s="17" t="n">
        <v>235.68</v>
      </c>
      <c r="S30" s="17" t="n">
        <v>30</v>
      </c>
      <c r="T30" s="17" t="n">
        <v>9.44</v>
      </c>
      <c r="U30" s="17" t="n">
        <v>20</v>
      </c>
      <c r="V30" s="17" t="n">
        <v>0.16</v>
      </c>
      <c r="W30" s="17" t="n">
        <v>29.6</v>
      </c>
      <c r="X30" s="17" t="n">
        <v>206.08</v>
      </c>
      <c r="Y30" s="17" t="inlineStr">
        <is>
          <t>PROFIT</t>
        </is>
      </c>
      <c r="Z30" s="17" t="n">
        <v>1000</v>
      </c>
      <c r="AA30" s="17" t="inlineStr">
        <is>
          <t>PAPER TRADING</t>
        </is>
      </c>
    </row>
    <row r="31">
      <c r="A31" s="15" t="inlineStr">
        <is>
          <t>2026-07-08</t>
        </is>
      </c>
      <c r="B31" s="15" t="inlineStr">
        <is>
          <t>NQ</t>
        </is>
      </c>
      <c r="C31" s="15" t="inlineStr">
        <is>
          <t>Bull Call Spread</t>
        </is>
      </c>
      <c r="D31" s="15" t="inlineStr">
        <is>
          <t>2026-07-17</t>
        </is>
      </c>
      <c r="E31" s="15" t="n">
        <v>9</v>
      </c>
      <c r="F31" s="15" t="inlineStr">
        <is>
          <t>10:00 ET</t>
        </is>
      </c>
      <c r="G31" s="15" t="inlineStr">
        <is>
          <t>10:15 ET</t>
        </is>
      </c>
      <c r="H31" s="15" t="n">
        <v>29001.75</v>
      </c>
      <c r="I31" s="15" t="n">
        <v>29000</v>
      </c>
      <c r="J31" s="15" t="n">
        <v>29025</v>
      </c>
      <c r="K31" s="15" t="n">
        <v>5</v>
      </c>
      <c r="L31" s="15" t="n">
        <v>164.82</v>
      </c>
      <c r="M31" s="15" t="n">
        <v>115.37</v>
      </c>
      <c r="N31" s="15" t="n">
        <v>861.1</v>
      </c>
      <c r="O31" s="15" t="n">
        <v>1675.9</v>
      </c>
      <c r="P31" s="15" t="n">
        <v>247.23</v>
      </c>
      <c r="Q31" s="15" t="n">
        <v>247.23</v>
      </c>
      <c r="R31" s="15" t="n">
        <v>-247.25</v>
      </c>
      <c r="S31" s="15" t="n">
        <v>-30</v>
      </c>
      <c r="T31" s="15" t="n">
        <v>11.8</v>
      </c>
      <c r="U31" s="15" t="n">
        <v>25</v>
      </c>
      <c r="V31" s="15" t="n">
        <v>0.2</v>
      </c>
      <c r="W31" s="15" t="n">
        <v>37</v>
      </c>
      <c r="X31" s="15" t="n">
        <v>-284.25</v>
      </c>
      <c r="Y31" s="15" t="inlineStr">
        <is>
          <t>STOP LOSS</t>
        </is>
      </c>
      <c r="Z31" s="15" t="n">
        <v>1000</v>
      </c>
      <c r="AA31" s="15" t="inlineStr">
        <is>
          <t>PAPER TRADING</t>
        </is>
      </c>
    </row>
    <row r="32">
      <c r="A32" s="16" t="inlineStr">
        <is>
          <t>2026-07-08</t>
        </is>
      </c>
      <c r="B32" s="16" t="inlineStr">
        <is>
          <t>NQ</t>
        </is>
      </c>
      <c r="C32" s="16" t="inlineStr">
        <is>
          <t>Bull Call Spread</t>
        </is>
      </c>
      <c r="D32" s="16" t="inlineStr">
        <is>
          <t>2026-07-17</t>
        </is>
      </c>
      <c r="E32" s="16" t="n">
        <v>9</v>
      </c>
      <c r="F32" s="16" t="inlineStr">
        <is>
          <t>10:00 ET</t>
        </is>
      </c>
      <c r="G32" s="16" t="inlineStr">
        <is>
          <t>15:10 ET</t>
        </is>
      </c>
      <c r="H32" s="16" t="n">
        <v>29393.5</v>
      </c>
      <c r="I32" s="16" t="n">
        <v>29375</v>
      </c>
      <c r="J32" s="16" t="n">
        <v>29400</v>
      </c>
      <c r="K32" s="16" t="n">
        <v>4</v>
      </c>
      <c r="L32" s="16" t="n">
        <v>201.96</v>
      </c>
      <c r="M32" s="16" t="n">
        <v>194.73</v>
      </c>
      <c r="N32" s="16" t="n">
        <v>837.4400000000001</v>
      </c>
      <c r="O32" s="16" t="n">
        <v>1192.16</v>
      </c>
      <c r="P32" s="16" t="n">
        <v>242.35</v>
      </c>
      <c r="Q32" s="16" t="n">
        <v>242.35</v>
      </c>
      <c r="R32" s="16" t="n">
        <v>-28.92</v>
      </c>
      <c r="S32" s="16" t="n">
        <v>-3.6</v>
      </c>
      <c r="T32" s="16" t="n">
        <v>9.44</v>
      </c>
      <c r="U32" s="16" t="n">
        <v>20</v>
      </c>
      <c r="V32" s="16" t="n">
        <v>0.16</v>
      </c>
      <c r="W32" s="16" t="n">
        <v>29.6</v>
      </c>
      <c r="X32" s="16" t="n">
        <v>-58.52</v>
      </c>
      <c r="Y32" s="16" t="inlineStr">
        <is>
          <t>FLAT</t>
        </is>
      </c>
      <c r="Z32" s="16" t="n">
        <v>1000</v>
      </c>
      <c r="AA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10:30 ET</t>
        </is>
      </c>
      <c r="H33" s="17" t="n">
        <v>29837.5</v>
      </c>
      <c r="I33" s="17" t="n">
        <v>29825</v>
      </c>
      <c r="J33" s="17" t="n">
        <v>29850</v>
      </c>
      <c r="K33" s="17" t="n">
        <v>4</v>
      </c>
      <c r="L33" s="17" t="n">
        <v>208.74</v>
      </c>
      <c r="M33" s="17" t="n">
        <v>271.36</v>
      </c>
      <c r="N33" s="17" t="n">
        <v>864.5599999999999</v>
      </c>
      <c r="O33" s="17" t="n">
        <v>1165.04</v>
      </c>
      <c r="P33" s="17" t="n">
        <v>250.49</v>
      </c>
      <c r="Q33" s="17" t="n">
        <v>250.49</v>
      </c>
      <c r="R33" s="17" t="n">
        <v>250.48</v>
      </c>
      <c r="S33" s="17" t="n">
        <v>30</v>
      </c>
      <c r="T33" s="17" t="n">
        <v>9.44</v>
      </c>
      <c r="U33" s="17" t="n">
        <v>20</v>
      </c>
      <c r="V33" s="17" t="n">
        <v>0.16</v>
      </c>
      <c r="W33" s="17" t="n">
        <v>29.6</v>
      </c>
      <c r="X33" s="17" t="n">
        <v>220.88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12:20 ET</t>
        </is>
      </c>
      <c r="H34" s="17" t="n">
        <v>29922</v>
      </c>
      <c r="I34" s="17" t="n">
        <v>29900</v>
      </c>
      <c r="J34" s="17" t="n">
        <v>29925</v>
      </c>
      <c r="K34" s="17" t="n">
        <v>5</v>
      </c>
      <c r="L34" s="17" t="n">
        <v>186.17</v>
      </c>
      <c r="M34" s="17" t="n">
        <v>242.02</v>
      </c>
      <c r="N34" s="17" t="n">
        <v>967.85</v>
      </c>
      <c r="O34" s="17" t="n">
        <v>1569.15</v>
      </c>
      <c r="P34" s="17" t="n">
        <v>279.25</v>
      </c>
      <c r="Q34" s="17" t="n">
        <v>279.25</v>
      </c>
      <c r="R34" s="17" t="n">
        <v>279.25</v>
      </c>
      <c r="S34" s="17" t="n">
        <v>30</v>
      </c>
      <c r="T34" s="17" t="n">
        <v>11.8</v>
      </c>
      <c r="U34" s="17" t="n">
        <v>25</v>
      </c>
      <c r="V34" s="17" t="n">
        <v>0.2</v>
      </c>
      <c r="W34" s="17" t="n">
        <v>37</v>
      </c>
      <c r="X34" s="17" t="n">
        <v>242.25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11:08 ET</t>
        </is>
      </c>
      <c r="H35" s="17" t="n">
        <v>29855.25</v>
      </c>
      <c r="I35" s="17" t="n">
        <v>29850</v>
      </c>
      <c r="J35" s="17" t="n">
        <v>29875</v>
      </c>
      <c r="K35" s="17" t="n">
        <v>5</v>
      </c>
      <c r="L35" s="17" t="n">
        <v>188.12</v>
      </c>
      <c r="M35" s="17" t="n">
        <v>244.56</v>
      </c>
      <c r="N35" s="17" t="n">
        <v>977.6</v>
      </c>
      <c r="O35" s="17" t="n">
        <v>1559.4</v>
      </c>
      <c r="P35" s="17" t="n">
        <v>282.18</v>
      </c>
      <c r="Q35" s="17" t="n">
        <v>282.18</v>
      </c>
      <c r="R35" s="17" t="n">
        <v>282.2</v>
      </c>
      <c r="S35" s="17" t="n">
        <v>30</v>
      </c>
      <c r="T35" s="17" t="n">
        <v>11.8</v>
      </c>
      <c r="U35" s="17" t="n">
        <v>25</v>
      </c>
      <c r="V35" s="17" t="n">
        <v>0.2</v>
      </c>
      <c r="W35" s="17" t="n">
        <v>37</v>
      </c>
      <c r="X35" s="17" t="n">
        <v>245.2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7" t="inlineStr">
        <is>
          <t>2026-07-10</t>
        </is>
      </c>
      <c r="B36" s="17" t="inlineStr">
        <is>
          <t>NQ</t>
        </is>
      </c>
      <c r="C36" s="17" t="inlineStr">
        <is>
          <t>Bull Call Spread</t>
        </is>
      </c>
      <c r="D36" s="17" t="inlineStr">
        <is>
          <t>2026-07-17</t>
        </is>
      </c>
      <c r="E36" s="17" t="n">
        <v>7</v>
      </c>
      <c r="F36" s="17" t="inlineStr">
        <is>
          <t>10:00 ET</t>
        </is>
      </c>
      <c r="G36" s="17" t="inlineStr">
        <is>
          <t>12:53 ET</t>
        </is>
      </c>
      <c r="H36" s="17" t="n">
        <v>30043.75</v>
      </c>
      <c r="I36" s="17" t="n">
        <v>30025</v>
      </c>
      <c r="J36" s="17" t="n">
        <v>30050</v>
      </c>
      <c r="K36" s="17" t="n">
        <v>5</v>
      </c>
      <c r="L36" s="17" t="n">
        <v>186.13</v>
      </c>
      <c r="M36" s="17" t="n">
        <v>241.97</v>
      </c>
      <c r="N36" s="17" t="n">
        <v>967.65</v>
      </c>
      <c r="O36" s="17" t="n">
        <v>1569.35</v>
      </c>
      <c r="P36" s="17" t="n">
        <v>279.19</v>
      </c>
      <c r="Q36" s="17" t="n">
        <v>279.19</v>
      </c>
      <c r="R36" s="17" t="n">
        <v>279.2</v>
      </c>
      <c r="S36" s="17" t="n">
        <v>30</v>
      </c>
      <c r="T36" s="17" t="n">
        <v>11.8</v>
      </c>
      <c r="U36" s="17" t="n">
        <v>25</v>
      </c>
      <c r="V36" s="17" t="n">
        <v>0.2</v>
      </c>
      <c r="W36" s="17" t="n">
        <v>37</v>
      </c>
      <c r="X36" s="17" t="n">
        <v>242.2</v>
      </c>
      <c r="Y36" s="17" t="inlineStr">
        <is>
          <t>PROFIT</t>
        </is>
      </c>
      <c r="Z36" s="17" t="n">
        <v>1000</v>
      </c>
      <c r="AA36" s="17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11:47 ET</t>
        </is>
      </c>
      <c r="H37" s="17" t="n">
        <v>29671.75</v>
      </c>
      <c r="I37" s="17" t="n">
        <v>29650</v>
      </c>
      <c r="J37" s="17" t="n">
        <v>29675</v>
      </c>
      <c r="K37" s="17" t="n">
        <v>6</v>
      </c>
      <c r="L37" s="17" t="n">
        <v>139.54</v>
      </c>
      <c r="M37" s="17" t="n">
        <v>181.4</v>
      </c>
      <c r="N37" s="17" t="n">
        <v>881.64</v>
      </c>
      <c r="O37" s="17" t="n">
        <v>2162.76</v>
      </c>
      <c r="P37" s="17" t="n">
        <v>251.17</v>
      </c>
      <c r="Q37" s="17" t="n">
        <v>251.17</v>
      </c>
      <c r="R37" s="17" t="n">
        <v>251.16</v>
      </c>
      <c r="S37" s="17" t="n">
        <v>30</v>
      </c>
      <c r="T37" s="17" t="n">
        <v>14.16</v>
      </c>
      <c r="U37" s="17" t="n">
        <v>30</v>
      </c>
      <c r="V37" s="17" t="n">
        <v>0.24</v>
      </c>
      <c r="W37" s="17" t="n">
        <v>44.4</v>
      </c>
      <c r="X37" s="17" t="n">
        <v>206.76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7" t="inlineStr">
        <is>
          <t>2026-07-13</t>
        </is>
      </c>
      <c r="B38" s="17" t="inlineStr">
        <is>
          <t>NQ</t>
        </is>
      </c>
      <c r="C38" s="17" t="inlineStr">
        <is>
          <t>Bull Call Spread</t>
        </is>
      </c>
      <c r="D38" s="17" t="inlineStr">
        <is>
          <t>2026-07-17</t>
        </is>
      </c>
      <c r="E38" s="17" t="n">
        <v>4</v>
      </c>
      <c r="F38" s="17" t="inlineStr">
        <is>
          <t>10:00 ET</t>
        </is>
      </c>
      <c r="G38" s="17" t="inlineStr">
        <is>
          <t>13:27 ET</t>
        </is>
      </c>
      <c r="H38" s="17" t="n">
        <v>29515</v>
      </c>
      <c r="I38" s="17" t="n">
        <v>29500</v>
      </c>
      <c r="J38" s="17" t="n">
        <v>29525</v>
      </c>
      <c r="K38" s="17" t="n">
        <v>8</v>
      </c>
      <c r="L38" s="17" t="n">
        <v>106.01</v>
      </c>
      <c r="M38" s="17" t="n">
        <v>137.81</v>
      </c>
      <c r="N38" s="17" t="n">
        <v>907.28</v>
      </c>
      <c r="O38" s="17" t="n">
        <v>3151.92</v>
      </c>
      <c r="P38" s="17" t="n">
        <v>254.42</v>
      </c>
      <c r="Q38" s="17" t="n">
        <v>254.42</v>
      </c>
      <c r="R38" s="17" t="n">
        <v>254.4</v>
      </c>
      <c r="S38" s="17" t="n">
        <v>30</v>
      </c>
      <c r="T38" s="17" t="n">
        <v>18.88</v>
      </c>
      <c r="U38" s="17" t="n">
        <v>40</v>
      </c>
      <c r="V38" s="17" t="n">
        <v>0.32</v>
      </c>
      <c r="W38" s="17" t="n">
        <v>59.2</v>
      </c>
      <c r="X38" s="17" t="n">
        <v>195.2</v>
      </c>
      <c r="Y38" s="17" t="inlineStr">
        <is>
          <t>PROFIT</t>
        </is>
      </c>
      <c r="Z38" s="17" t="n">
        <v>1000</v>
      </c>
      <c r="AA38" s="17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10:29 ET</t>
        </is>
      </c>
      <c r="H39" s="15" t="n">
        <v>29594.75</v>
      </c>
      <c r="I39" s="15" t="n">
        <v>29575</v>
      </c>
      <c r="J39" s="15" t="n">
        <v>29600</v>
      </c>
      <c r="K39" s="15" t="n">
        <v>8</v>
      </c>
      <c r="L39" s="15" t="n">
        <v>116.32</v>
      </c>
      <c r="M39" s="15" t="n">
        <v>81.42</v>
      </c>
      <c r="N39" s="15" t="n">
        <v>989.76</v>
      </c>
      <c r="O39" s="15" t="n">
        <v>3069.44</v>
      </c>
      <c r="P39" s="15" t="n">
        <v>279.17</v>
      </c>
      <c r="Q39" s="15" t="n">
        <v>279.17</v>
      </c>
      <c r="R39" s="15" t="n">
        <v>-279.2</v>
      </c>
      <c r="S39" s="15" t="n">
        <v>-30</v>
      </c>
      <c r="T39" s="15" t="n">
        <v>18.88</v>
      </c>
      <c r="U39" s="15" t="n">
        <v>40</v>
      </c>
      <c r="V39" s="15" t="n">
        <v>0.32</v>
      </c>
      <c r="W39" s="15" t="n">
        <v>59.2</v>
      </c>
      <c r="X39" s="15" t="n">
        <v>-338.4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12:12 ET</t>
        </is>
      </c>
      <c r="H40" s="17" t="n">
        <v>29856.75</v>
      </c>
      <c r="I40" s="17" t="n">
        <v>29850</v>
      </c>
      <c r="J40" s="17" t="n">
        <v>29875</v>
      </c>
      <c r="K40" s="17" t="n">
        <v>8</v>
      </c>
      <c r="L40" s="17" t="n">
        <v>115.62</v>
      </c>
      <c r="M40" s="17" t="n">
        <v>150.31</v>
      </c>
      <c r="N40" s="17" t="n">
        <v>984.16</v>
      </c>
      <c r="O40" s="17" t="n">
        <v>3075.04</v>
      </c>
      <c r="P40" s="17" t="n">
        <v>277.49</v>
      </c>
      <c r="Q40" s="17" t="n">
        <v>277.49</v>
      </c>
      <c r="R40" s="17" t="n">
        <v>277.52</v>
      </c>
      <c r="S40" s="17" t="n">
        <v>30</v>
      </c>
      <c r="T40" s="17" t="n">
        <v>18.88</v>
      </c>
      <c r="U40" s="17" t="n">
        <v>40</v>
      </c>
      <c r="V40" s="17" t="n">
        <v>0.32</v>
      </c>
      <c r="W40" s="17" t="n">
        <v>59.2</v>
      </c>
      <c r="X40" s="17" t="n">
        <v>218.32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NQ</t>
        </is>
      </c>
      <c r="C41" s="17" t="inlineStr">
        <is>
          <t>Bull Call Spread</t>
        </is>
      </c>
      <c r="D41" s="17" t="inlineStr">
        <is>
          <t>2026-07-17</t>
        </is>
      </c>
      <c r="E41" s="17" t="n">
        <v>2</v>
      </c>
      <c r="F41" s="17" t="inlineStr">
        <is>
          <t>10:00 ET</t>
        </is>
      </c>
      <c r="G41" s="17" t="inlineStr">
        <is>
          <t>12:11 ET</t>
        </is>
      </c>
      <c r="H41" s="17" t="n">
        <v>29997</v>
      </c>
      <c r="I41" s="17" t="n">
        <v>29975</v>
      </c>
      <c r="J41" s="17" t="n">
        <v>30000</v>
      </c>
      <c r="K41" s="17" t="n">
        <v>6</v>
      </c>
      <c r="L41" s="17" t="n">
        <v>149.96</v>
      </c>
      <c r="M41" s="17" t="n">
        <v>194.95</v>
      </c>
      <c r="N41" s="17" t="n">
        <v>944.16</v>
      </c>
      <c r="O41" s="17" t="n">
        <v>2100.24</v>
      </c>
      <c r="P41" s="17" t="n">
        <v>269.93</v>
      </c>
      <c r="Q41" s="17" t="n">
        <v>269.93</v>
      </c>
      <c r="R41" s="17" t="n">
        <v>269.94</v>
      </c>
      <c r="S41" s="17" t="n">
        <v>30</v>
      </c>
      <c r="T41" s="17" t="n">
        <v>14.16</v>
      </c>
      <c r="U41" s="17" t="n">
        <v>30</v>
      </c>
      <c r="V41" s="17" t="n">
        <v>0.24</v>
      </c>
      <c r="W41" s="17" t="n">
        <v>44.4</v>
      </c>
      <c r="X41" s="17" t="n">
        <v>225.54</v>
      </c>
      <c r="Y41" s="17" t="inlineStr">
        <is>
          <t>PROFIT</t>
        </is>
      </c>
      <c r="Z41" s="17" t="n">
        <v>1000</v>
      </c>
      <c r="AA41" s="17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12:35 ET</t>
        </is>
      </c>
      <c r="H42" s="17" t="n">
        <v>29575.25</v>
      </c>
      <c r="I42" s="17" t="n">
        <v>29575</v>
      </c>
      <c r="J42" s="17" t="n">
        <v>29600</v>
      </c>
      <c r="K42" s="17" t="n">
        <v>8</v>
      </c>
      <c r="L42" s="17" t="n">
        <v>116.8</v>
      </c>
      <c r="M42" s="17" t="n">
        <v>151.84</v>
      </c>
      <c r="N42" s="17" t="n">
        <v>993.6</v>
      </c>
      <c r="O42" s="17" t="n">
        <v>3065.6</v>
      </c>
      <c r="P42" s="17" t="n">
        <v>280.32</v>
      </c>
      <c r="Q42" s="17" t="n">
        <v>280.32</v>
      </c>
      <c r="R42" s="17" t="n">
        <v>280.32</v>
      </c>
      <c r="S42" s="17" t="n">
        <v>30</v>
      </c>
      <c r="T42" s="17" t="n">
        <v>18.88</v>
      </c>
      <c r="U42" s="17" t="n">
        <v>40</v>
      </c>
      <c r="V42" s="17" t="n">
        <v>0.32</v>
      </c>
      <c r="W42" s="17" t="n">
        <v>59.2</v>
      </c>
      <c r="X42" s="17" t="n">
        <v>221.12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5" t="inlineStr">
        <is>
          <t>2026-07-16</t>
        </is>
      </c>
      <c r="B43" s="15" t="inlineStr">
        <is>
          <t>NQ</t>
        </is>
      </c>
      <c r="C43" s="15" t="inlineStr">
        <is>
          <t>Bull Call Spread</t>
        </is>
      </c>
      <c r="D43" s="15" t="inlineStr">
        <is>
          <t>2026-07-17</t>
        </is>
      </c>
      <c r="E43" s="15" t="n">
        <v>1</v>
      </c>
      <c r="F43" s="15" t="inlineStr">
        <is>
          <t>10:00 ET</t>
        </is>
      </c>
      <c r="G43" s="15" t="inlineStr">
        <is>
          <t>11:56 ET</t>
        </is>
      </c>
      <c r="H43" s="15" t="n">
        <v>29698.5</v>
      </c>
      <c r="I43" s="15" t="n">
        <v>29675</v>
      </c>
      <c r="J43" s="15" t="n">
        <v>29700</v>
      </c>
      <c r="K43" s="15" t="n">
        <v>7</v>
      </c>
      <c r="L43" s="15" t="n">
        <v>119.9</v>
      </c>
      <c r="M43" s="15" t="n">
        <v>83.93000000000001</v>
      </c>
      <c r="N43" s="15" t="n">
        <v>891.1</v>
      </c>
      <c r="O43" s="15" t="n">
        <v>2660.7</v>
      </c>
      <c r="P43" s="15" t="n">
        <v>251.79</v>
      </c>
      <c r="Q43" s="15" t="n">
        <v>251.79</v>
      </c>
      <c r="R43" s="15" t="n">
        <v>-251.79</v>
      </c>
      <c r="S43" s="15" t="n">
        <v>-30</v>
      </c>
      <c r="T43" s="15" t="n">
        <v>16.52</v>
      </c>
      <c r="U43" s="15" t="n">
        <v>35</v>
      </c>
      <c r="V43" s="15" t="n">
        <v>0.28</v>
      </c>
      <c r="W43" s="15" t="n">
        <v>51.8</v>
      </c>
      <c r="X43" s="15" t="n">
        <v>-303.59</v>
      </c>
      <c r="Y43" s="15" t="inlineStr">
        <is>
          <t>STOP LOSS</t>
        </is>
      </c>
      <c r="Z43" s="15" t="n">
        <v>1000</v>
      </c>
      <c r="AA43" s="15" t="inlineStr">
        <is>
          <t>PAPER TRADING</t>
        </is>
      </c>
    </row>
    <row r="44">
      <c r="A44" s="17" t="inlineStr">
        <is>
          <t>2026-07-16</t>
        </is>
      </c>
      <c r="B44" s="17" t="inlineStr">
        <is>
          <t>NQ</t>
        </is>
      </c>
      <c r="C44" s="17" t="inlineStr">
        <is>
          <t>Bull Call Spread</t>
        </is>
      </c>
      <c r="D44" s="17" t="inlineStr">
        <is>
          <t>2026-07-17</t>
        </is>
      </c>
      <c r="E44" s="17" t="n">
        <v>1</v>
      </c>
      <c r="F44" s="17" t="inlineStr">
        <is>
          <t>10:00 ET</t>
        </is>
      </c>
      <c r="G44" s="17" t="inlineStr">
        <is>
          <t>13:59 ET</t>
        </is>
      </c>
      <c r="H44" s="17" t="n">
        <v>29435</v>
      </c>
      <c r="I44" s="17" t="n">
        <v>29425</v>
      </c>
      <c r="J44" s="17" t="n">
        <v>29450</v>
      </c>
      <c r="K44" s="17" t="n">
        <v>6</v>
      </c>
      <c r="L44" s="17" t="n">
        <v>147.73</v>
      </c>
      <c r="M44" s="17" t="n">
        <v>192.05</v>
      </c>
      <c r="N44" s="17" t="n">
        <v>930.78</v>
      </c>
      <c r="O44" s="17" t="n">
        <v>2113.62</v>
      </c>
      <c r="P44" s="17" t="n">
        <v>265.91</v>
      </c>
      <c r="Q44" s="17" t="n">
        <v>265.91</v>
      </c>
      <c r="R44" s="17" t="n">
        <v>265.92</v>
      </c>
      <c r="S44" s="17" t="n">
        <v>30</v>
      </c>
      <c r="T44" s="17" t="n">
        <v>14.16</v>
      </c>
      <c r="U44" s="17" t="n">
        <v>30</v>
      </c>
      <c r="V44" s="17" t="n">
        <v>0.24</v>
      </c>
      <c r="W44" s="17" t="n">
        <v>44.4</v>
      </c>
      <c r="X44" s="17" t="n">
        <v>221.52</v>
      </c>
      <c r="Y44" s="17" t="inlineStr">
        <is>
          <t>PROFIT</t>
        </is>
      </c>
      <c r="Z44" s="17" t="n">
        <v>1000</v>
      </c>
      <c r="AA44" s="17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NQ</t>
        </is>
      </c>
      <c r="C45" s="16" t="inlineStr">
        <is>
          <t>Bull Call Spread</t>
        </is>
      </c>
      <c r="D45" s="16" t="inlineStr">
        <is>
          <t>2026-08-21</t>
        </is>
      </c>
      <c r="E45" s="16" t="n">
        <v>35</v>
      </c>
      <c r="F45" s="16" t="inlineStr">
        <is>
          <t>10:00 ET</t>
        </is>
      </c>
      <c r="G45" s="16" t="inlineStr">
        <is>
          <t>15:47 ET</t>
        </is>
      </c>
      <c r="H45" s="16" t="n">
        <v>28739.75</v>
      </c>
      <c r="I45" s="16" t="n">
        <v>28725</v>
      </c>
      <c r="J45" s="16" t="n">
        <v>28750</v>
      </c>
      <c r="K45" s="16" t="n">
        <v>4</v>
      </c>
      <c r="L45" s="16" t="n">
        <v>222.31</v>
      </c>
      <c r="M45" s="16" t="n">
        <v>232.82</v>
      </c>
      <c r="N45" s="16" t="n">
        <v>918.84</v>
      </c>
      <c r="O45" s="16" t="n">
        <v>1110.76</v>
      </c>
      <c r="P45" s="16" t="n">
        <v>266.77</v>
      </c>
      <c r="Q45" s="16" t="n">
        <v>266.77</v>
      </c>
      <c r="R45" s="16" t="n">
        <v>42.04</v>
      </c>
      <c r="S45" s="16" t="n">
        <v>4.7</v>
      </c>
      <c r="T45" s="16" t="n">
        <v>9.44</v>
      </c>
      <c r="U45" s="16" t="n">
        <v>20</v>
      </c>
      <c r="V45" s="16" t="n">
        <v>0.16</v>
      </c>
      <c r="W45" s="16" t="n">
        <v>29.6</v>
      </c>
      <c r="X45" s="16" t="n">
        <v>12.44</v>
      </c>
      <c r="Y45" s="16" t="inlineStr">
        <is>
          <t>FLAT</t>
        </is>
      </c>
      <c r="Z45" s="16" t="n">
        <v>1000</v>
      </c>
      <c r="AA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NQ</t>
        </is>
      </c>
      <c r="C46" s="17" t="inlineStr">
        <is>
          <t>Bull Call Spread</t>
        </is>
      </c>
      <c r="D46" s="17" t="inlineStr">
        <is>
          <t>2026-08-21</t>
        </is>
      </c>
      <c r="E46" s="17" t="n">
        <v>35</v>
      </c>
      <c r="F46" s="17" t="inlineStr">
        <is>
          <t>10:00 ET</t>
        </is>
      </c>
      <c r="G46" s="17" t="inlineStr">
        <is>
          <t>13:47 ET</t>
        </is>
      </c>
      <c r="H46" s="17" t="n">
        <v>28698.25</v>
      </c>
      <c r="I46" s="17" t="n">
        <v>28675</v>
      </c>
      <c r="J46" s="17" t="n">
        <v>28700</v>
      </c>
      <c r="K46" s="17" t="n">
        <v>4</v>
      </c>
      <c r="L46" s="17" t="n">
        <v>214.06</v>
      </c>
      <c r="M46" s="17" t="n">
        <v>278.28</v>
      </c>
      <c r="N46" s="17" t="n">
        <v>885.84</v>
      </c>
      <c r="O46" s="17" t="n">
        <v>1143.76</v>
      </c>
      <c r="P46" s="17" t="n">
        <v>256.87</v>
      </c>
      <c r="Q46" s="17" t="n">
        <v>256.87</v>
      </c>
      <c r="R46" s="17" t="n">
        <v>256.88</v>
      </c>
      <c r="S46" s="17" t="n">
        <v>30</v>
      </c>
      <c r="T46" s="17" t="n">
        <v>9.44</v>
      </c>
      <c r="U46" s="17" t="n">
        <v>20</v>
      </c>
      <c r="V46" s="17" t="n">
        <v>0.16</v>
      </c>
      <c r="W46" s="17" t="n">
        <v>29.6</v>
      </c>
      <c r="X46" s="17" t="n">
        <v>227.28</v>
      </c>
      <c r="Y46" s="17" t="inlineStr">
        <is>
          <t>PROFIT</t>
        </is>
      </c>
      <c r="Z46" s="17" t="n">
        <v>1000</v>
      </c>
      <c r="AA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16:26 ET</t>
        </is>
      </c>
      <c r="H47" s="16" t="n">
        <v>28777.25</v>
      </c>
      <c r="I47" s="16" t="n">
        <v>28775</v>
      </c>
      <c r="J47" s="16" t="n">
        <v>28800</v>
      </c>
      <c r="K47" s="16" t="n">
        <v>4</v>
      </c>
      <c r="L47" s="16" t="n">
        <v>215.09</v>
      </c>
      <c r="M47" s="16" t="n">
        <v>217.14</v>
      </c>
      <c r="N47" s="16" t="n">
        <v>889.96</v>
      </c>
      <c r="O47" s="16" t="n">
        <v>1139.64</v>
      </c>
      <c r="P47" s="16" t="n">
        <v>258.11</v>
      </c>
      <c r="Q47" s="16" t="n">
        <v>258.11</v>
      </c>
      <c r="R47" s="16" t="n">
        <v>8.199999999999999</v>
      </c>
      <c r="S47" s="16" t="n">
        <v>1</v>
      </c>
      <c r="T47" s="16" t="n">
        <v>9.44</v>
      </c>
      <c r="U47" s="16" t="n">
        <v>20</v>
      </c>
      <c r="V47" s="16" t="n">
        <v>0.16</v>
      </c>
      <c r="W47" s="16" t="n">
        <v>29.6</v>
      </c>
      <c r="X47" s="16" t="n">
        <v>-21.4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NQ</t>
        </is>
      </c>
      <c r="C48" s="16" t="inlineStr">
        <is>
          <t>Bull Call Spread</t>
        </is>
      </c>
      <c r="D48" s="16" t="inlineStr">
        <is>
          <t>2026-08-21</t>
        </is>
      </c>
      <c r="E48" s="16" t="n">
        <v>32</v>
      </c>
      <c r="F48" s="16" t="inlineStr">
        <is>
          <t>10:00 ET</t>
        </is>
      </c>
      <c r="G48" s="16" t="inlineStr">
        <is>
          <t>16:02 ET</t>
        </is>
      </c>
      <c r="H48" s="16" t="n">
        <v>29008.5</v>
      </c>
      <c r="I48" s="16" t="n">
        <v>29000</v>
      </c>
      <c r="J48" s="16" t="n">
        <v>29025</v>
      </c>
      <c r="K48" s="16" t="n">
        <v>4</v>
      </c>
      <c r="L48" s="16" t="n">
        <v>236.33</v>
      </c>
      <c r="M48" s="16" t="n">
        <v>245.03</v>
      </c>
      <c r="N48" s="16" t="n">
        <v>974.92</v>
      </c>
      <c r="O48" s="16" t="n">
        <v>1054.68</v>
      </c>
      <c r="P48" s="16" t="n">
        <v>283.6</v>
      </c>
      <c r="Q48" s="16" t="n">
        <v>283.6</v>
      </c>
      <c r="R48" s="16" t="n">
        <v>34.8</v>
      </c>
      <c r="S48" s="16" t="n">
        <v>3.7</v>
      </c>
      <c r="T48" s="16" t="n">
        <v>9.44</v>
      </c>
      <c r="U48" s="16" t="n">
        <v>20</v>
      </c>
      <c r="V48" s="16" t="n">
        <v>0.16</v>
      </c>
      <c r="W48" s="16" t="n">
        <v>29.6</v>
      </c>
      <c r="X48" s="16" t="n">
        <v>5.2</v>
      </c>
      <c r="Y48" s="16" t="inlineStr">
        <is>
          <t>FLAT</t>
        </is>
      </c>
      <c r="Z48" s="16" t="n">
        <v>1000</v>
      </c>
      <c r="AA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NQ</t>
        </is>
      </c>
      <c r="C49" s="17" t="inlineStr">
        <is>
          <t>Bull Call Spread</t>
        </is>
      </c>
      <c r="D49" s="17" t="inlineStr">
        <is>
          <t>2026-08-21</t>
        </is>
      </c>
      <c r="E49" s="17" t="n">
        <v>31</v>
      </c>
      <c r="F49" s="17" t="inlineStr">
        <is>
          <t>10:00 ET</t>
        </is>
      </c>
      <c r="G49" s="17" t="inlineStr">
        <is>
          <t>10:49 ET</t>
        </is>
      </c>
      <c r="H49" s="17" t="n">
        <v>29112.25</v>
      </c>
      <c r="I49" s="17" t="n">
        <v>29100</v>
      </c>
      <c r="J49" s="17" t="n">
        <v>29125</v>
      </c>
      <c r="K49" s="17" t="n">
        <v>4</v>
      </c>
      <c r="L49" s="17" t="n">
        <v>207.18</v>
      </c>
      <c r="M49" s="17" t="n">
        <v>269.33</v>
      </c>
      <c r="N49" s="17" t="n">
        <v>858.3200000000001</v>
      </c>
      <c r="O49" s="17" t="n">
        <v>1171.28</v>
      </c>
      <c r="P49" s="17" t="n">
        <v>248.62</v>
      </c>
      <c r="Q49" s="17" t="n">
        <v>248.62</v>
      </c>
      <c r="R49" s="17" t="n">
        <v>248.6</v>
      </c>
      <c r="S49" s="17" t="n">
        <v>30</v>
      </c>
      <c r="T49" s="17" t="n">
        <v>9.44</v>
      </c>
      <c r="U49" s="17" t="n">
        <v>20</v>
      </c>
      <c r="V49" s="17" t="n">
        <v>0.16</v>
      </c>
      <c r="W49" s="17" t="n">
        <v>29.6</v>
      </c>
      <c r="X49" s="17" t="n">
        <v>219</v>
      </c>
      <c r="Y49" s="17" t="inlineStr">
        <is>
          <t>PROFIT</t>
        </is>
      </c>
      <c r="Z49" s="17" t="n">
        <v>1000</v>
      </c>
      <c r="AA49" s="17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12:25 ET</t>
        </is>
      </c>
      <c r="H50" s="17" t="n">
        <v>29292.25</v>
      </c>
      <c r="I50" s="17" t="n">
        <v>29275</v>
      </c>
      <c r="J50" s="17" t="n">
        <v>29300</v>
      </c>
      <c r="K50" s="17" t="n">
        <v>3</v>
      </c>
      <c r="L50" s="17" t="n">
        <v>250.08</v>
      </c>
      <c r="M50" s="17" t="n">
        <v>325.1</v>
      </c>
      <c r="N50" s="17" t="n">
        <v>772.4400000000001</v>
      </c>
      <c r="O50" s="17" t="n">
        <v>749.76</v>
      </c>
      <c r="P50" s="17" t="n">
        <v>225.07</v>
      </c>
      <c r="Q50" s="17" t="n">
        <v>225.07</v>
      </c>
      <c r="R50" s="17" t="n">
        <v>225.06</v>
      </c>
      <c r="S50" s="17" t="n">
        <v>30</v>
      </c>
      <c r="T50" s="17" t="n">
        <v>7.08</v>
      </c>
      <c r="U50" s="17" t="n">
        <v>15</v>
      </c>
      <c r="V50" s="17" t="n">
        <v>0.12</v>
      </c>
      <c r="W50" s="17" t="n">
        <v>22.2</v>
      </c>
      <c r="X50" s="17" t="n">
        <v>202.86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12:36 ET</t>
        </is>
      </c>
      <c r="H51" s="15" t="n">
        <v>29132.75</v>
      </c>
      <c r="I51" s="15" t="n">
        <v>29125</v>
      </c>
      <c r="J51" s="15" t="n">
        <v>29150</v>
      </c>
      <c r="K51" s="15" t="n">
        <v>4</v>
      </c>
      <c r="L51" s="15" t="n">
        <v>235.62</v>
      </c>
      <c r="M51" s="15" t="n">
        <v>164.93</v>
      </c>
      <c r="N51" s="15" t="n">
        <v>972.08</v>
      </c>
      <c r="O51" s="15" t="n">
        <v>1057.52</v>
      </c>
      <c r="P51" s="15" t="n">
        <v>282.74</v>
      </c>
      <c r="Q51" s="15" t="n">
        <v>282.74</v>
      </c>
      <c r="R51" s="15" t="n">
        <v>-282.76</v>
      </c>
      <c r="S51" s="15" t="n">
        <v>-30</v>
      </c>
      <c r="T51" s="15" t="n">
        <v>9.44</v>
      </c>
      <c r="U51" s="15" t="n">
        <v>20</v>
      </c>
      <c r="V51" s="15" t="n">
        <v>0.16</v>
      </c>
      <c r="W51" s="15" t="n">
        <v>29.6</v>
      </c>
      <c r="X51" s="15" t="n">
        <v>-312.36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11:25 ET</t>
        </is>
      </c>
      <c r="H52" s="17" t="n">
        <v>29323</v>
      </c>
      <c r="I52" s="17" t="n">
        <v>29300</v>
      </c>
      <c r="J52" s="17" t="n">
        <v>29325</v>
      </c>
      <c r="K52" s="17" t="n">
        <v>4</v>
      </c>
      <c r="L52" s="17" t="n">
        <v>213.72</v>
      </c>
      <c r="M52" s="17" t="n">
        <v>277.84</v>
      </c>
      <c r="N52" s="17" t="n">
        <v>884.48</v>
      </c>
      <c r="O52" s="17" t="n">
        <v>1145.12</v>
      </c>
      <c r="P52" s="17" t="n">
        <v>256.46</v>
      </c>
      <c r="Q52" s="17" t="n">
        <v>256.46</v>
      </c>
      <c r="R52" s="17" t="n">
        <v>256.48</v>
      </c>
      <c r="S52" s="17" t="n">
        <v>30</v>
      </c>
      <c r="T52" s="17" t="n">
        <v>9.44</v>
      </c>
      <c r="U52" s="17" t="n">
        <v>20</v>
      </c>
      <c r="V52" s="17" t="n">
        <v>0.16</v>
      </c>
      <c r="W52" s="17" t="n">
        <v>29.6</v>
      </c>
      <c r="X52" s="17" t="n">
        <v>226.88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NQ</t>
        </is>
      </c>
      <c r="C53" s="15" t="inlineStr">
        <is>
          <t>Bull Call Spread</t>
        </is>
      </c>
      <c r="D53" s="15" t="inlineStr">
        <is>
          <t>2026-08-21</t>
        </is>
      </c>
      <c r="E53" s="15" t="n">
        <v>29</v>
      </c>
      <c r="F53" s="15" t="inlineStr">
        <is>
          <t>10:00 ET</t>
        </is>
      </c>
      <c r="G53" s="15" t="inlineStr">
        <is>
          <t>11:34 ET</t>
        </is>
      </c>
      <c r="H53" s="15" t="n">
        <v>29089.25</v>
      </c>
      <c r="I53" s="15" t="n">
        <v>29075</v>
      </c>
      <c r="J53" s="15" t="n">
        <v>29100</v>
      </c>
      <c r="K53" s="15" t="n">
        <v>4</v>
      </c>
      <c r="L53" s="15" t="n">
        <v>226.52</v>
      </c>
      <c r="M53" s="15" t="n">
        <v>158.56</v>
      </c>
      <c r="N53" s="15" t="n">
        <v>935.6799999999999</v>
      </c>
      <c r="O53" s="15" t="n">
        <v>1093.92</v>
      </c>
      <c r="P53" s="15" t="n">
        <v>271.82</v>
      </c>
      <c r="Q53" s="15" t="n">
        <v>271.82</v>
      </c>
      <c r="R53" s="15" t="n">
        <v>-271.84</v>
      </c>
      <c r="S53" s="15" t="n">
        <v>-30</v>
      </c>
      <c r="T53" s="15" t="n">
        <v>9.44</v>
      </c>
      <c r="U53" s="15" t="n">
        <v>20</v>
      </c>
      <c r="V53" s="15" t="n">
        <v>0.16</v>
      </c>
      <c r="W53" s="15" t="n">
        <v>29.6</v>
      </c>
      <c r="X53" s="15" t="n">
        <v>-301.44</v>
      </c>
      <c r="Y53" s="15" t="inlineStr">
        <is>
          <t>STOP LOSS</t>
        </is>
      </c>
      <c r="Z53" s="15" t="n">
        <v>1000</v>
      </c>
      <c r="AA53" s="15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13:56 ET</t>
        </is>
      </c>
      <c r="H54" s="17" t="n">
        <v>28512</v>
      </c>
      <c r="I54" s="17" t="n">
        <v>28500</v>
      </c>
      <c r="J54" s="17" t="n">
        <v>28525</v>
      </c>
      <c r="K54" s="17" t="n">
        <v>4</v>
      </c>
      <c r="L54" s="17" t="n">
        <v>210.9</v>
      </c>
      <c r="M54" s="17" t="n">
        <v>274.17</v>
      </c>
      <c r="N54" s="17" t="n">
        <v>873.2</v>
      </c>
      <c r="O54" s="17" t="n">
        <v>1156.4</v>
      </c>
      <c r="P54" s="17" t="n">
        <v>253.08</v>
      </c>
      <c r="Q54" s="17" t="n">
        <v>253.08</v>
      </c>
      <c r="R54" s="17" t="n">
        <v>253.08</v>
      </c>
      <c r="S54" s="17" t="n">
        <v>30</v>
      </c>
      <c r="T54" s="17" t="n">
        <v>9.44</v>
      </c>
      <c r="U54" s="17" t="n">
        <v>20</v>
      </c>
      <c r="V54" s="17" t="n">
        <v>0.16</v>
      </c>
      <c r="W54" s="17" t="n">
        <v>29.6</v>
      </c>
      <c r="X54" s="17" t="n">
        <v>223.48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NQ</t>
        </is>
      </c>
      <c r="C55" s="17" t="inlineStr">
        <is>
          <t>Bull Call Spread</t>
        </is>
      </c>
      <c r="D55" s="17" t="inlineStr">
        <is>
          <t>2026-08-21</t>
        </is>
      </c>
      <c r="E55" s="17" t="n">
        <v>28</v>
      </c>
      <c r="F55" s="17" t="inlineStr">
        <is>
          <t>10:00 ET</t>
        </is>
      </c>
      <c r="G55" s="17" t="inlineStr">
        <is>
          <t>11:33 ET</t>
        </is>
      </c>
      <c r="H55" s="17" t="n">
        <v>28526.25</v>
      </c>
      <c r="I55" s="17" t="n">
        <v>28525</v>
      </c>
      <c r="J55" s="17" t="n">
        <v>28550</v>
      </c>
      <c r="K55" s="17" t="n">
        <v>4</v>
      </c>
      <c r="L55" s="17" t="n">
        <v>234.25</v>
      </c>
      <c r="M55" s="17" t="n">
        <v>304.53</v>
      </c>
      <c r="N55" s="17" t="n">
        <v>966.6</v>
      </c>
      <c r="O55" s="17" t="n">
        <v>1063</v>
      </c>
      <c r="P55" s="17" t="n">
        <v>281.1</v>
      </c>
      <c r="Q55" s="17" t="n">
        <v>281.1</v>
      </c>
      <c r="R55" s="17" t="n">
        <v>281.12</v>
      </c>
      <c r="S55" s="17" t="n">
        <v>30</v>
      </c>
      <c r="T55" s="17" t="n">
        <v>9.44</v>
      </c>
      <c r="U55" s="17" t="n">
        <v>20</v>
      </c>
      <c r="V55" s="17" t="n">
        <v>0.16</v>
      </c>
      <c r="W55" s="17" t="n">
        <v>29.6</v>
      </c>
      <c r="X55" s="17" t="n">
        <v>251.52</v>
      </c>
      <c r="Y55" s="17" t="inlineStr">
        <is>
          <t>PROFIT</t>
        </is>
      </c>
      <c r="Z55" s="17" t="n">
        <v>1000</v>
      </c>
      <c r="AA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NQ</t>
        </is>
      </c>
      <c r="C56" s="16" t="inlineStr">
        <is>
          <t>Bull Call Spread</t>
        </is>
      </c>
      <c r="D56" s="16" t="inlineStr">
        <is>
          <t>2026-08-21</t>
        </is>
      </c>
      <c r="E56" s="16" t="n">
        <v>28</v>
      </c>
      <c r="F56" s="16" t="inlineStr">
        <is>
          <t>10:00 ET</t>
        </is>
      </c>
      <c r="G56" s="16" t="inlineStr">
        <is>
          <t>16:04 ET</t>
        </is>
      </c>
      <c r="H56" s="16" t="n">
        <v>28493</v>
      </c>
      <c r="I56" s="16" t="n">
        <v>28475</v>
      </c>
      <c r="J56" s="16" t="n">
        <v>28500</v>
      </c>
      <c r="K56" s="16" t="n">
        <v>3</v>
      </c>
      <c r="L56" s="16" t="n">
        <v>244.01</v>
      </c>
      <c r="M56" s="16" t="n">
        <v>233.87</v>
      </c>
      <c r="N56" s="16" t="n">
        <v>754.23</v>
      </c>
      <c r="O56" s="16" t="n">
        <v>767.97</v>
      </c>
      <c r="P56" s="16" t="n">
        <v>219.61</v>
      </c>
      <c r="Q56" s="16" t="n">
        <v>219.61</v>
      </c>
      <c r="R56" s="16" t="n">
        <v>-30.42</v>
      </c>
      <c r="S56" s="16" t="n">
        <v>-4.2</v>
      </c>
      <c r="T56" s="16" t="n">
        <v>7.08</v>
      </c>
      <c r="U56" s="16" t="n">
        <v>15</v>
      </c>
      <c r="V56" s="16" t="n">
        <v>0.12</v>
      </c>
      <c r="W56" s="16" t="n">
        <v>22.2</v>
      </c>
      <c r="X56" s="16" t="n">
        <v>-52.62</v>
      </c>
      <c r="Y56" s="16" t="inlineStr">
        <is>
          <t>FLAT</t>
        </is>
      </c>
      <c r="Z56" s="16" t="n">
        <v>1000</v>
      </c>
      <c r="AA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10:44 ET</t>
        </is>
      </c>
      <c r="H57" s="17" t="n">
        <v>28703.75</v>
      </c>
      <c r="I57" s="17" t="n">
        <v>28700</v>
      </c>
      <c r="J57" s="17" t="n">
        <v>28725</v>
      </c>
      <c r="K57" s="17" t="n">
        <v>4</v>
      </c>
      <c r="L57" s="17" t="n">
        <v>202.87</v>
      </c>
      <c r="M57" s="17" t="n">
        <v>263.73</v>
      </c>
      <c r="N57" s="17" t="n">
        <v>841.08</v>
      </c>
      <c r="O57" s="17" t="n">
        <v>1188.52</v>
      </c>
      <c r="P57" s="17" t="n">
        <v>243.44</v>
      </c>
      <c r="Q57" s="17" t="n">
        <v>243.44</v>
      </c>
      <c r="R57" s="17" t="n">
        <v>243.44</v>
      </c>
      <c r="S57" s="17" t="n">
        <v>30</v>
      </c>
      <c r="T57" s="17" t="n">
        <v>9.44</v>
      </c>
      <c r="U57" s="17" t="n">
        <v>20</v>
      </c>
      <c r="V57" s="17" t="n">
        <v>0.16</v>
      </c>
      <c r="W57" s="17" t="n">
        <v>29.6</v>
      </c>
      <c r="X57" s="17" t="n">
        <v>213.84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NQ</t>
        </is>
      </c>
      <c r="C58" s="17" t="inlineStr">
        <is>
          <t>Bull Call Spread</t>
        </is>
      </c>
      <c r="D58" s="17" t="inlineStr">
        <is>
          <t>2026-08-21</t>
        </is>
      </c>
      <c r="E58" s="17" t="n">
        <v>25</v>
      </c>
      <c r="F58" s="17" t="inlineStr">
        <is>
          <t>10:00 ET</t>
        </is>
      </c>
      <c r="G58" s="17" t="inlineStr">
        <is>
          <t>12:08 ET</t>
        </is>
      </c>
      <c r="H58" s="17" t="n">
        <v>28092.5</v>
      </c>
      <c r="I58" s="17" t="n">
        <v>28075</v>
      </c>
      <c r="J58" s="17" t="n">
        <v>28100</v>
      </c>
      <c r="K58" s="17" t="n">
        <v>3</v>
      </c>
      <c r="L58" s="17" t="n">
        <v>243.13</v>
      </c>
      <c r="M58" s="17" t="n">
        <v>316.07</v>
      </c>
      <c r="N58" s="17" t="n">
        <v>751.59</v>
      </c>
      <c r="O58" s="17" t="n">
        <v>770.61</v>
      </c>
      <c r="P58" s="17" t="n">
        <v>218.82</v>
      </c>
      <c r="Q58" s="17" t="n">
        <v>218.82</v>
      </c>
      <c r="R58" s="17" t="n">
        <v>218.82</v>
      </c>
      <c r="S58" s="17" t="n">
        <v>30</v>
      </c>
      <c r="T58" s="17" t="n">
        <v>7.08</v>
      </c>
      <c r="U58" s="17" t="n">
        <v>15</v>
      </c>
      <c r="V58" s="17" t="n">
        <v>0.12</v>
      </c>
      <c r="W58" s="17" t="n">
        <v>22.2</v>
      </c>
      <c r="X58" s="17" t="n">
        <v>196.62</v>
      </c>
      <c r="Y58" s="17" t="inlineStr">
        <is>
          <t>PROFIT</t>
        </is>
      </c>
      <c r="Z58" s="17" t="n">
        <v>1000</v>
      </c>
      <c r="AA58" s="17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11:59 ET</t>
        </is>
      </c>
      <c r="H59" s="17" t="n">
        <v>27855.5</v>
      </c>
      <c r="I59" s="17" t="n">
        <v>27850</v>
      </c>
      <c r="J59" s="17" t="n">
        <v>27875</v>
      </c>
      <c r="K59" s="17" t="n">
        <v>4</v>
      </c>
      <c r="L59" s="17" t="n">
        <v>217.3</v>
      </c>
      <c r="M59" s="17" t="n">
        <v>282.49</v>
      </c>
      <c r="N59" s="17" t="n">
        <v>898.8</v>
      </c>
      <c r="O59" s="17" t="n">
        <v>1130.8</v>
      </c>
      <c r="P59" s="17" t="n">
        <v>260.76</v>
      </c>
      <c r="Q59" s="17" t="n">
        <v>260.76</v>
      </c>
      <c r="R59" s="17" t="n">
        <v>260.76</v>
      </c>
      <c r="S59" s="17" t="n">
        <v>30</v>
      </c>
      <c r="T59" s="17" t="n">
        <v>9.44</v>
      </c>
      <c r="U59" s="17" t="n">
        <v>20</v>
      </c>
      <c r="V59" s="17" t="n">
        <v>0.16</v>
      </c>
      <c r="W59" s="17" t="n">
        <v>29.6</v>
      </c>
      <c r="X59" s="17" t="n">
        <v>231.16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NQ</t>
        </is>
      </c>
      <c r="C60" s="15" t="inlineStr">
        <is>
          <t>Bull Call Spread</t>
        </is>
      </c>
      <c r="D60" s="15" t="inlineStr">
        <is>
          <t>2026-08-21</t>
        </is>
      </c>
      <c r="E60" s="15" t="n">
        <v>24</v>
      </c>
      <c r="F60" s="15" t="inlineStr">
        <is>
          <t>10:00 ET</t>
        </is>
      </c>
      <c r="G60" s="15" t="inlineStr">
        <is>
          <t>11:06 ET</t>
        </is>
      </c>
      <c r="H60" s="15" t="n">
        <v>28046</v>
      </c>
      <c r="I60" s="15" t="n">
        <v>28025</v>
      </c>
      <c r="J60" s="15" t="n">
        <v>28050</v>
      </c>
      <c r="K60" s="15" t="n">
        <v>3</v>
      </c>
      <c r="L60" s="15" t="n">
        <v>274.87</v>
      </c>
      <c r="M60" s="15" t="n">
        <v>192.41</v>
      </c>
      <c r="N60" s="15" t="n">
        <v>846.8099999999999</v>
      </c>
      <c r="O60" s="15" t="n">
        <v>675.39</v>
      </c>
      <c r="P60" s="15" t="n">
        <v>247.38</v>
      </c>
      <c r="Q60" s="15" t="n">
        <v>247.38</v>
      </c>
      <c r="R60" s="15" t="n">
        <v>-247.38</v>
      </c>
      <c r="S60" s="15" t="n">
        <v>-30</v>
      </c>
      <c r="T60" s="15" t="n">
        <v>7.08</v>
      </c>
      <c r="U60" s="15" t="n">
        <v>15</v>
      </c>
      <c r="V60" s="15" t="n">
        <v>0.12</v>
      </c>
      <c r="W60" s="15" t="n">
        <v>22.2</v>
      </c>
      <c r="X60" s="15" t="n">
        <v>-269.58</v>
      </c>
      <c r="Y60" s="15" t="inlineStr">
        <is>
          <t>STOP LOSS</t>
        </is>
      </c>
      <c r="Z60" s="15" t="n">
        <v>1000</v>
      </c>
      <c r="AA60" s="15" t="inlineStr">
        <is>
          <t>PAPER TRADING</t>
        </is>
      </c>
    </row>
    <row r="61">
      <c r="A61" s="16" t="inlineStr">
        <is>
          <t>2026-07-29</t>
        </is>
      </c>
      <c r="B61" s="16" t="inlineStr">
        <is>
          <t>NQ</t>
        </is>
      </c>
      <c r="C61" s="16" t="inlineStr">
        <is>
          <t>Bull Call Spread</t>
        </is>
      </c>
      <c r="D61" s="16" t="inlineStr">
        <is>
          <t>2026-08-21</t>
        </is>
      </c>
      <c r="E61" s="16" t="n">
        <v>23</v>
      </c>
      <c r="F61" s="16" t="inlineStr">
        <is>
          <t>10:00 ET</t>
        </is>
      </c>
      <c r="G61" s="16" t="inlineStr">
        <is>
          <t>15:45 ET</t>
        </is>
      </c>
      <c r="H61" s="16" t="n">
        <v>27746</v>
      </c>
      <c r="I61" s="16" t="n">
        <v>27725</v>
      </c>
      <c r="J61" s="16" t="n">
        <v>27750</v>
      </c>
      <c r="K61" s="16" t="n">
        <v>4</v>
      </c>
      <c r="L61" s="16" t="n">
        <v>219.94</v>
      </c>
      <c r="M61" s="16" t="n">
        <v>229.9</v>
      </c>
      <c r="N61" s="16" t="n">
        <v>909.36</v>
      </c>
      <c r="O61" s="16" t="n">
        <v>1120.24</v>
      </c>
      <c r="P61" s="16" t="n">
        <v>263.93</v>
      </c>
      <c r="Q61" s="16" t="n">
        <v>263.93</v>
      </c>
      <c r="R61" s="16" t="n">
        <v>39.84</v>
      </c>
      <c r="S61" s="16" t="n">
        <v>4.5</v>
      </c>
      <c r="T61" s="16" t="n">
        <v>9.44</v>
      </c>
      <c r="U61" s="16" t="n">
        <v>20</v>
      </c>
      <c r="V61" s="16" t="n">
        <v>0.16</v>
      </c>
      <c r="W61" s="16" t="n">
        <v>29.6</v>
      </c>
      <c r="X61" s="16" t="n">
        <v>10.24</v>
      </c>
      <c r="Y61" s="16" t="inlineStr">
        <is>
          <t>FLAT</t>
        </is>
      </c>
      <c r="Z61" s="16" t="n">
        <v>1000</v>
      </c>
      <c r="AA61" s="16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12:13 ET</t>
        </is>
      </c>
      <c r="H62" s="17" t="n">
        <v>27575.25</v>
      </c>
      <c r="I62" s="17" t="n">
        <v>27575</v>
      </c>
      <c r="J62" s="17" t="n">
        <v>27600</v>
      </c>
      <c r="K62" s="17" t="n">
        <v>4</v>
      </c>
      <c r="L62" s="17" t="n">
        <v>234.45</v>
      </c>
      <c r="M62" s="17" t="n">
        <v>304.78</v>
      </c>
      <c r="N62" s="17" t="n">
        <v>967.4</v>
      </c>
      <c r="O62" s="17" t="n">
        <v>1062.2</v>
      </c>
      <c r="P62" s="17" t="n">
        <v>281.34</v>
      </c>
      <c r="Q62" s="17" t="n">
        <v>281.34</v>
      </c>
      <c r="R62" s="17" t="n">
        <v>281.32</v>
      </c>
      <c r="S62" s="17" t="n">
        <v>30</v>
      </c>
      <c r="T62" s="17" t="n">
        <v>9.44</v>
      </c>
      <c r="U62" s="17" t="n">
        <v>20</v>
      </c>
      <c r="V62" s="17" t="n">
        <v>0.16</v>
      </c>
      <c r="W62" s="17" t="n">
        <v>29.6</v>
      </c>
      <c r="X62" s="17" t="n">
        <v>251.72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NQ</t>
        </is>
      </c>
      <c r="C63" s="17" t="inlineStr">
        <is>
          <t>Bull Call Spread</t>
        </is>
      </c>
      <c r="D63" s="17" t="inlineStr">
        <is>
          <t>2026-08-21</t>
        </is>
      </c>
      <c r="E63" s="17" t="n">
        <v>22</v>
      </c>
      <c r="F63" s="17" t="inlineStr">
        <is>
          <t>10:00 ET</t>
        </is>
      </c>
      <c r="G63" s="17" t="inlineStr">
        <is>
          <t>13:12 ET</t>
        </is>
      </c>
      <c r="H63" s="17" t="n">
        <v>27480.75</v>
      </c>
      <c r="I63" s="17" t="n">
        <v>27475</v>
      </c>
      <c r="J63" s="17" t="n">
        <v>27500</v>
      </c>
      <c r="K63" s="17" t="n">
        <v>4</v>
      </c>
      <c r="L63" s="17" t="n">
        <v>229.31</v>
      </c>
      <c r="M63" s="17" t="n">
        <v>298.1</v>
      </c>
      <c r="N63" s="17" t="n">
        <v>946.84</v>
      </c>
      <c r="O63" s="17" t="n">
        <v>1082.76</v>
      </c>
      <c r="P63" s="17" t="n">
        <v>275.17</v>
      </c>
      <c r="Q63" s="17" t="n">
        <v>275.17</v>
      </c>
      <c r="R63" s="17" t="n">
        <v>275.16</v>
      </c>
      <c r="S63" s="17" t="n">
        <v>30</v>
      </c>
      <c r="T63" s="17" t="n">
        <v>9.44</v>
      </c>
      <c r="U63" s="17" t="n">
        <v>20</v>
      </c>
      <c r="V63" s="17" t="n">
        <v>0.16</v>
      </c>
      <c r="W63" s="17" t="n">
        <v>29.6</v>
      </c>
      <c r="X63" s="17" t="n">
        <v>245.56</v>
      </c>
      <c r="Y63" s="17" t="inlineStr">
        <is>
          <t>PROFIT</t>
        </is>
      </c>
      <c r="Z63" s="17" t="n">
        <v>1000</v>
      </c>
      <c r="AA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NQ</t>
        </is>
      </c>
      <c r="C64" s="17" t="inlineStr">
        <is>
          <t>Bull Call Spread</t>
        </is>
      </c>
      <c r="D64" s="17" t="inlineStr">
        <is>
          <t>2026-08-21</t>
        </is>
      </c>
      <c r="E64" s="17" t="n">
        <v>22</v>
      </c>
      <c r="F64" s="17" t="inlineStr">
        <is>
          <t>10:00 ET</t>
        </is>
      </c>
      <c r="G64" s="17" t="inlineStr">
        <is>
          <t>11:34 ET</t>
        </is>
      </c>
      <c r="H64" s="17" t="n">
        <v>28080.5</v>
      </c>
      <c r="I64" s="17" t="n">
        <v>28075</v>
      </c>
      <c r="J64" s="17" t="n">
        <v>28100</v>
      </c>
      <c r="K64" s="17" t="n">
        <v>3</v>
      </c>
      <c r="L64" s="17" t="n">
        <v>262.01</v>
      </c>
      <c r="M64" s="17" t="n">
        <v>340.61</v>
      </c>
      <c r="N64" s="17" t="n">
        <v>808.23</v>
      </c>
      <c r="O64" s="17" t="n">
        <v>713.97</v>
      </c>
      <c r="P64" s="17" t="n">
        <v>235.81</v>
      </c>
      <c r="Q64" s="17" t="n">
        <v>235.81</v>
      </c>
      <c r="R64" s="17" t="n">
        <v>235.8</v>
      </c>
      <c r="S64" s="17" t="n">
        <v>30</v>
      </c>
      <c r="T64" s="17" t="n">
        <v>7.08</v>
      </c>
      <c r="U64" s="17" t="n">
        <v>15</v>
      </c>
      <c r="V64" s="17" t="n">
        <v>0.12</v>
      </c>
      <c r="W64" s="17" t="n">
        <v>22.2</v>
      </c>
      <c r="X64" s="17" t="n">
        <v>213.6</v>
      </c>
      <c r="Y64" s="17" t="inlineStr">
        <is>
          <t>PROFIT</t>
        </is>
      </c>
      <c r="Z64" s="17" t="n">
        <v>1000</v>
      </c>
      <c r="AA64" s="17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12:12 ET</t>
        </is>
      </c>
      <c r="H65" s="17" t="n">
        <v>28588.5</v>
      </c>
      <c r="I65" s="17" t="n">
        <v>28575</v>
      </c>
      <c r="J65" s="17" t="n">
        <v>28600</v>
      </c>
      <c r="K65" s="17" t="n">
        <v>3</v>
      </c>
      <c r="L65" s="17" t="n">
        <v>263.83</v>
      </c>
      <c r="M65" s="17" t="n">
        <v>342.98</v>
      </c>
      <c r="N65" s="17" t="n">
        <v>813.6900000000001</v>
      </c>
      <c r="O65" s="17" t="n">
        <v>708.51</v>
      </c>
      <c r="P65" s="17" t="n">
        <v>237.45</v>
      </c>
      <c r="Q65" s="17" t="n">
        <v>237.45</v>
      </c>
      <c r="R65" s="17" t="n">
        <v>237.45</v>
      </c>
      <c r="S65" s="17" t="n">
        <v>30</v>
      </c>
      <c r="T65" s="17" t="n">
        <v>7.08</v>
      </c>
      <c r="U65" s="17" t="n">
        <v>15</v>
      </c>
      <c r="V65" s="17" t="n">
        <v>0.12</v>
      </c>
      <c r="W65" s="17" t="n">
        <v>22.2</v>
      </c>
      <c r="X65" s="17" t="n">
        <v>215.25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6" t="inlineStr">
        <is>
          <t>2026-07-31</t>
        </is>
      </c>
      <c r="B66" s="16" t="inlineStr">
        <is>
          <t>NQ</t>
        </is>
      </c>
      <c r="C66" s="16" t="inlineStr">
        <is>
          <t>Bull Call Spread</t>
        </is>
      </c>
      <c r="D66" s="16" t="inlineStr">
        <is>
          <t>2026-08-21</t>
        </is>
      </c>
      <c r="E66" s="16" t="n">
        <v>21</v>
      </c>
      <c r="F66" s="16" t="inlineStr">
        <is>
          <t>10:00 ET</t>
        </is>
      </c>
      <c r="G66" s="16" t="inlineStr">
        <is>
          <t>15:00 ET</t>
        </is>
      </c>
      <c r="H66" s="16" t="n">
        <v>28230.5</v>
      </c>
      <c r="I66" s="16" t="n">
        <v>28225</v>
      </c>
      <c r="J66" s="16" t="n">
        <v>28250</v>
      </c>
      <c r="K66" s="16" t="n">
        <v>3</v>
      </c>
      <c r="L66" s="16" t="n">
        <v>252.83</v>
      </c>
      <c r="M66" s="16" t="n">
        <v>255.23</v>
      </c>
      <c r="N66" s="16" t="n">
        <v>780.6900000000001</v>
      </c>
      <c r="O66" s="16" t="n">
        <v>741.51</v>
      </c>
      <c r="P66" s="16" t="n">
        <v>227.55</v>
      </c>
      <c r="Q66" s="16" t="n">
        <v>227.55</v>
      </c>
      <c r="R66" s="16" t="n">
        <v>7.2</v>
      </c>
      <c r="S66" s="16" t="n">
        <v>0.9</v>
      </c>
      <c r="T66" s="16" t="n">
        <v>7.08</v>
      </c>
      <c r="U66" s="16" t="n">
        <v>15</v>
      </c>
      <c r="V66" s="16" t="n">
        <v>0.12</v>
      </c>
      <c r="W66" s="16" t="n">
        <v>22.2</v>
      </c>
      <c r="X66" s="16" t="n">
        <v>-15</v>
      </c>
      <c r="Y66" s="16" t="inlineStr">
        <is>
          <t>FLAT</t>
        </is>
      </c>
      <c r="Z66" s="16" t="n">
        <v>1000</v>
      </c>
      <c r="AA66" s="16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NQ</t>
        </is>
      </c>
      <c r="C67" s="17" t="inlineStr">
        <is>
          <t>Bull Call Spread</t>
        </is>
      </c>
      <c r="D67" s="17" t="inlineStr">
        <is>
          <t>2026-08-21</t>
        </is>
      </c>
      <c r="E67" s="17" t="n">
        <v>18</v>
      </c>
      <c r="F67" s="17" t="inlineStr">
        <is>
          <t>10:00 ET</t>
        </is>
      </c>
      <c r="G67" s="17" t="inlineStr">
        <is>
          <t>13:38 ET</t>
        </is>
      </c>
      <c r="H67" s="17" t="n">
        <v>28626</v>
      </c>
      <c r="I67" s="17" t="n">
        <v>28625</v>
      </c>
      <c r="J67" s="17" t="n">
        <v>28650</v>
      </c>
      <c r="K67" s="17" t="n">
        <v>4</v>
      </c>
      <c r="L67" s="17" t="n">
        <v>241.61</v>
      </c>
      <c r="M67" s="17" t="n">
        <v>314.09</v>
      </c>
      <c r="N67" s="17" t="n">
        <v>996.04</v>
      </c>
      <c r="O67" s="17" t="n">
        <v>1033.56</v>
      </c>
      <c r="P67" s="17" t="n">
        <v>289.93</v>
      </c>
      <c r="Q67" s="17" t="n">
        <v>289.93</v>
      </c>
      <c r="R67" s="17" t="n">
        <v>289.92</v>
      </c>
      <c r="S67" s="17" t="n">
        <v>30</v>
      </c>
      <c r="T67" s="17" t="n">
        <v>9.44</v>
      </c>
      <c r="U67" s="17" t="n">
        <v>20</v>
      </c>
      <c r="V67" s="17" t="n">
        <v>0.16</v>
      </c>
      <c r="W67" s="17" t="n">
        <v>29.6</v>
      </c>
      <c r="X67" s="17" t="n">
        <v>260.32</v>
      </c>
      <c r="Y67" s="17" t="inlineStr">
        <is>
          <t>PROFIT</t>
        </is>
      </c>
      <c r="Z67" s="17" t="n">
        <v>1000</v>
      </c>
      <c r="AA67" s="17" t="inlineStr">
        <is>
          <t>PAPER TRADING</t>
        </is>
      </c>
    </row>
    <row r="68">
      <c r="A68" s="17" t="inlineStr">
        <is>
          <t>2026-08-03</t>
        </is>
      </c>
      <c r="B68" s="17" t="inlineStr">
        <is>
          <t>NQ</t>
        </is>
      </c>
      <c r="C68" s="17" t="inlineStr">
        <is>
          <t>Bull Call Spread</t>
        </is>
      </c>
      <c r="D68" s="17" t="inlineStr">
        <is>
          <t>2026-08-21</t>
        </is>
      </c>
      <c r="E68" s="17" t="n">
        <v>18</v>
      </c>
      <c r="F68" s="17" t="inlineStr">
        <is>
          <t>10:00 ET</t>
        </is>
      </c>
      <c r="G68" s="17" t="inlineStr">
        <is>
          <t>11:51 ET</t>
        </is>
      </c>
      <c r="H68" s="17" t="n">
        <v>28809.25</v>
      </c>
      <c r="I68" s="17" t="n">
        <v>28800</v>
      </c>
      <c r="J68" s="17" t="n">
        <v>28825</v>
      </c>
      <c r="K68" s="17" t="n">
        <v>3</v>
      </c>
      <c r="L68" s="17" t="n">
        <v>246.99</v>
      </c>
      <c r="M68" s="17" t="n">
        <v>321.09</v>
      </c>
      <c r="N68" s="17" t="n">
        <v>763.17</v>
      </c>
      <c r="O68" s="17" t="n">
        <v>759.03</v>
      </c>
      <c r="P68" s="17" t="n">
        <v>222.29</v>
      </c>
      <c r="Q68" s="17" t="n">
        <v>222.29</v>
      </c>
      <c r="R68" s="17" t="n">
        <v>222.3</v>
      </c>
      <c r="S68" s="17" t="n">
        <v>30</v>
      </c>
      <c r="T68" s="17" t="n">
        <v>7.08</v>
      </c>
      <c r="U68" s="17" t="n">
        <v>15</v>
      </c>
      <c r="V68" s="17" t="n">
        <v>0.12</v>
      </c>
      <c r="W68" s="17" t="n">
        <v>22.2</v>
      </c>
      <c r="X68" s="17" t="n">
        <v>200.1</v>
      </c>
      <c r="Y68" s="17" t="inlineStr">
        <is>
          <t>PROFIT</t>
        </is>
      </c>
      <c r="Z68" s="17" t="n">
        <v>1000</v>
      </c>
      <c r="AA68" s="17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NQ</t>
        </is>
      </c>
      <c r="C69" s="15" t="inlineStr">
        <is>
          <t>Bull Call Spread</t>
        </is>
      </c>
      <c r="D69" s="15" t="inlineStr">
        <is>
          <t>2026-08-21</t>
        </is>
      </c>
      <c r="E69" s="15" t="n">
        <v>17</v>
      </c>
      <c r="F69" s="15" t="inlineStr">
        <is>
          <t>10:00 ET</t>
        </is>
      </c>
      <c r="G69" s="15" t="inlineStr">
        <is>
          <t>11:22 ET</t>
        </is>
      </c>
      <c r="H69" s="15" t="n">
        <v>29071.5</v>
      </c>
      <c r="I69" s="15" t="n">
        <v>29050</v>
      </c>
      <c r="J69" s="15" t="n">
        <v>29075</v>
      </c>
      <c r="K69" s="15" t="n">
        <v>3</v>
      </c>
      <c r="L69" s="15" t="n">
        <v>251.58</v>
      </c>
      <c r="M69" s="15" t="n">
        <v>176.11</v>
      </c>
      <c r="N69" s="15" t="n">
        <v>776.9400000000001</v>
      </c>
      <c r="O69" s="15" t="n">
        <v>745.26</v>
      </c>
      <c r="P69" s="15" t="n">
        <v>226.42</v>
      </c>
      <c r="Q69" s="15" t="n">
        <v>226.42</v>
      </c>
      <c r="R69" s="15" t="n">
        <v>-226.41</v>
      </c>
      <c r="S69" s="15" t="n">
        <v>-30</v>
      </c>
      <c r="T69" s="15" t="n">
        <v>7.08</v>
      </c>
      <c r="U69" s="15" t="n">
        <v>15</v>
      </c>
      <c r="V69" s="15" t="n">
        <v>0.12</v>
      </c>
      <c r="W69" s="15" t="n">
        <v>22.2</v>
      </c>
      <c r="X69" s="15" t="n">
        <v>-248.61</v>
      </c>
      <c r="Y69" s="15" t="inlineStr">
        <is>
          <t>STOP LOSS</t>
        </is>
      </c>
      <c r="Z69" s="15" t="n">
        <v>1000</v>
      </c>
      <c r="AA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NQ</t>
        </is>
      </c>
      <c r="C70" s="15" t="inlineStr">
        <is>
          <t>Bull Call Spread</t>
        </is>
      </c>
      <c r="D70" s="15" t="inlineStr">
        <is>
          <t>2026-08-21</t>
        </is>
      </c>
      <c r="E70" s="15" t="n">
        <v>17</v>
      </c>
      <c r="F70" s="15" t="inlineStr">
        <is>
          <t>10:00 ET</t>
        </is>
      </c>
      <c r="G70" s="15" t="inlineStr">
        <is>
          <t>11:20 ET</t>
        </is>
      </c>
      <c r="H70" s="15" t="n">
        <v>29679.5</v>
      </c>
      <c r="I70" s="15" t="n">
        <v>29675</v>
      </c>
      <c r="J70" s="15" t="n">
        <v>29700</v>
      </c>
      <c r="K70" s="15" t="n">
        <v>4</v>
      </c>
      <c r="L70" s="15" t="n">
        <v>232.25</v>
      </c>
      <c r="M70" s="15" t="n">
        <v>162.57</v>
      </c>
      <c r="N70" s="15" t="n">
        <v>958.6</v>
      </c>
      <c r="O70" s="15" t="n">
        <v>1071</v>
      </c>
      <c r="P70" s="15" t="n">
        <v>278.7</v>
      </c>
      <c r="Q70" s="15" t="n">
        <v>278.7</v>
      </c>
      <c r="R70" s="15" t="n">
        <v>-278.72</v>
      </c>
      <c r="S70" s="15" t="n">
        <v>-30</v>
      </c>
      <c r="T70" s="15" t="n">
        <v>9.44</v>
      </c>
      <c r="U70" s="15" t="n">
        <v>20</v>
      </c>
      <c r="V70" s="15" t="n">
        <v>0.16</v>
      </c>
      <c r="W70" s="15" t="n">
        <v>29.6</v>
      </c>
      <c r="X70" s="15" t="n">
        <v>-308.32</v>
      </c>
      <c r="Y70" s="15" t="inlineStr">
        <is>
          <t>STOP LOSS</t>
        </is>
      </c>
      <c r="Z70" s="15" t="n">
        <v>1000</v>
      </c>
      <c r="AA70" s="15" t="inlineStr">
        <is>
          <t>PAPER TRADING</t>
        </is>
      </c>
    </row>
    <row r="71">
      <c r="A71" s="15" t="inlineStr">
        <is>
          <t>2026-08-05</t>
        </is>
      </c>
      <c r="B71" s="15" t="inlineStr">
        <is>
          <t>NQ</t>
        </is>
      </c>
      <c r="C71" s="15" t="inlineStr">
        <is>
          <t>Bull Call Spread</t>
        </is>
      </c>
      <c r="D71" s="15" t="inlineStr">
        <is>
          <t>2026-08-21</t>
        </is>
      </c>
      <c r="E71" s="15" t="n">
        <v>16</v>
      </c>
      <c r="F71" s="15" t="inlineStr">
        <is>
          <t>10:00 ET</t>
        </is>
      </c>
      <c r="G71" s="15" t="inlineStr">
        <is>
          <t>10:51 ET</t>
        </is>
      </c>
      <c r="H71" s="15" t="n">
        <v>29965.75</v>
      </c>
      <c r="I71" s="15" t="n">
        <v>29950</v>
      </c>
      <c r="J71" s="15" t="n">
        <v>29975</v>
      </c>
      <c r="K71" s="15" t="n">
        <v>3</v>
      </c>
      <c r="L71" s="15" t="n">
        <v>263.36</v>
      </c>
      <c r="M71" s="15" t="n">
        <v>184.35</v>
      </c>
      <c r="N71" s="15" t="n">
        <v>812.28</v>
      </c>
      <c r="O71" s="15" t="n">
        <v>709.92</v>
      </c>
      <c r="P71" s="15" t="n">
        <v>237.02</v>
      </c>
      <c r="Q71" s="15" t="n">
        <v>237.02</v>
      </c>
      <c r="R71" s="15" t="n">
        <v>-237.03</v>
      </c>
      <c r="S71" s="15" t="n">
        <v>-30</v>
      </c>
      <c r="T71" s="15" t="n">
        <v>7.08</v>
      </c>
      <c r="U71" s="15" t="n">
        <v>15</v>
      </c>
      <c r="V71" s="15" t="n">
        <v>0.12</v>
      </c>
      <c r="W71" s="15" t="n">
        <v>22.2</v>
      </c>
      <c r="X71" s="15" t="n">
        <v>-259.23</v>
      </c>
      <c r="Y71" s="15" t="inlineStr">
        <is>
          <t>STOP LOSS</t>
        </is>
      </c>
      <c r="Z71" s="15" t="n">
        <v>1000</v>
      </c>
      <c r="AA71" s="15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NQ</t>
        </is>
      </c>
      <c r="C72" s="17" t="inlineStr">
        <is>
          <t>Bull Call Spread</t>
        </is>
      </c>
      <c r="D72" s="17" t="inlineStr">
        <is>
          <t>2026-08-21</t>
        </is>
      </c>
      <c r="E72" s="17" t="n">
        <v>16</v>
      </c>
      <c r="F72" s="17" t="inlineStr">
        <is>
          <t>10:00 ET</t>
        </is>
      </c>
      <c r="G72" s="17" t="inlineStr">
        <is>
          <t>11:38 ET</t>
        </is>
      </c>
      <c r="H72" s="17" t="n">
        <v>29799.75</v>
      </c>
      <c r="I72" s="17" t="n">
        <v>29775</v>
      </c>
      <c r="J72" s="17" t="n">
        <v>29800</v>
      </c>
      <c r="K72" s="17" t="n">
        <v>3</v>
      </c>
      <c r="L72" s="17" t="n">
        <v>256.89</v>
      </c>
      <c r="M72" s="17" t="n">
        <v>333.96</v>
      </c>
      <c r="N72" s="17" t="n">
        <v>792.87</v>
      </c>
      <c r="O72" s="17" t="n">
        <v>729.33</v>
      </c>
      <c r="P72" s="17" t="n">
        <v>231.2</v>
      </c>
      <c r="Q72" s="17" t="n">
        <v>231.2</v>
      </c>
      <c r="R72" s="17" t="n">
        <v>231.21</v>
      </c>
      <c r="S72" s="17" t="n">
        <v>30</v>
      </c>
      <c r="T72" s="17" t="n">
        <v>7.08</v>
      </c>
      <c r="U72" s="17" t="n">
        <v>15</v>
      </c>
      <c r="V72" s="17" t="n">
        <v>0.12</v>
      </c>
      <c r="W72" s="17" t="n">
        <v>22.2</v>
      </c>
      <c r="X72" s="17" t="n">
        <v>209.01</v>
      </c>
      <c r="Y72" s="17" t="inlineStr">
        <is>
          <t>PROFIT</t>
        </is>
      </c>
      <c r="Z72" s="17" t="n">
        <v>1000</v>
      </c>
      <c r="AA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11:43 ET</t>
        </is>
      </c>
      <c r="H73" s="17" t="n">
        <v>29540.25</v>
      </c>
      <c r="I73" s="17" t="n">
        <v>29525</v>
      </c>
      <c r="J73" s="17" t="n">
        <v>29550</v>
      </c>
      <c r="K73" s="17" t="n">
        <v>4</v>
      </c>
      <c r="L73" s="17" t="n">
        <v>215.93</v>
      </c>
      <c r="M73" s="17" t="n">
        <v>280.71</v>
      </c>
      <c r="N73" s="17" t="n">
        <v>893.3200000000001</v>
      </c>
      <c r="O73" s="17" t="n">
        <v>1136.28</v>
      </c>
      <c r="P73" s="17" t="n">
        <v>259.12</v>
      </c>
      <c r="Q73" s="17" t="n">
        <v>259.12</v>
      </c>
      <c r="R73" s="17" t="n">
        <v>259.12</v>
      </c>
      <c r="S73" s="17" t="n">
        <v>30</v>
      </c>
      <c r="T73" s="17" t="n">
        <v>9.44</v>
      </c>
      <c r="U73" s="17" t="n">
        <v>20</v>
      </c>
      <c r="V73" s="17" t="n">
        <v>0.16</v>
      </c>
      <c r="W73" s="17" t="n">
        <v>29.6</v>
      </c>
      <c r="X73" s="17" t="n">
        <v>229.52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NQ</t>
        </is>
      </c>
      <c r="C74" s="17" t="inlineStr">
        <is>
          <t>Bull Call Spread</t>
        </is>
      </c>
      <c r="D74" s="17" t="inlineStr">
        <is>
          <t>2026-08-21</t>
        </is>
      </c>
      <c r="E74" s="17" t="n">
        <v>14</v>
      </c>
      <c r="F74" s="17" t="inlineStr">
        <is>
          <t>10:00 ET</t>
        </is>
      </c>
      <c r="G74" s="17" t="inlineStr">
        <is>
          <t>11:06 ET</t>
        </is>
      </c>
      <c r="H74" s="17" t="n">
        <v>29539.25</v>
      </c>
      <c r="I74" s="17" t="n">
        <v>29525</v>
      </c>
      <c r="J74" s="17" t="n">
        <v>29550</v>
      </c>
      <c r="K74" s="17" t="n">
        <v>5</v>
      </c>
      <c r="L74" s="17" t="n">
        <v>172.1</v>
      </c>
      <c r="M74" s="17" t="n">
        <v>223.73</v>
      </c>
      <c r="N74" s="17" t="n">
        <v>897.5</v>
      </c>
      <c r="O74" s="17" t="n">
        <v>1639.5</v>
      </c>
      <c r="P74" s="17" t="n">
        <v>258.15</v>
      </c>
      <c r="Q74" s="17" t="n">
        <v>258.15</v>
      </c>
      <c r="R74" s="17" t="n">
        <v>258.15</v>
      </c>
      <c r="S74" s="17" t="n">
        <v>30</v>
      </c>
      <c r="T74" s="17" t="n">
        <v>11.8</v>
      </c>
      <c r="U74" s="17" t="n">
        <v>25</v>
      </c>
      <c r="V74" s="17" t="n">
        <v>0.2</v>
      </c>
      <c r="W74" s="17" t="n">
        <v>37</v>
      </c>
      <c r="X74" s="17" t="n">
        <v>221.15</v>
      </c>
      <c r="Y74" s="17" t="inlineStr">
        <is>
          <t>PROFIT</t>
        </is>
      </c>
      <c r="Z74" s="17" t="n">
        <v>1000</v>
      </c>
      <c r="AA74" s="17" t="inlineStr">
        <is>
          <t>PAPER TRADING</t>
        </is>
      </c>
    </row>
    <row r="75">
      <c r="A75" s="17" t="inlineStr">
        <is>
          <t>2026-08-07</t>
        </is>
      </c>
      <c r="B75" s="17" t="inlineStr">
        <is>
          <t>NQ</t>
        </is>
      </c>
      <c r="C75" s="17" t="inlineStr">
        <is>
          <t>Bull Call Spread</t>
        </is>
      </c>
      <c r="D75" s="17" t="inlineStr">
        <is>
          <t>2026-08-21</t>
        </is>
      </c>
      <c r="E75" s="17" t="n">
        <v>14</v>
      </c>
      <c r="F75" s="17" t="inlineStr">
        <is>
          <t>10:00 ET</t>
        </is>
      </c>
      <c r="G75" s="17" t="inlineStr">
        <is>
          <t>11:53 ET</t>
        </is>
      </c>
      <c r="H75" s="17" t="n">
        <v>29696.75</v>
      </c>
      <c r="I75" s="17" t="n">
        <v>29675</v>
      </c>
      <c r="J75" s="17" t="n">
        <v>29700</v>
      </c>
      <c r="K75" s="17" t="n">
        <v>5</v>
      </c>
      <c r="L75" s="17" t="n">
        <v>175.97</v>
      </c>
      <c r="M75" s="17" t="n">
        <v>228.76</v>
      </c>
      <c r="N75" s="17" t="n">
        <v>916.85</v>
      </c>
      <c r="O75" s="17" t="n">
        <v>1620.15</v>
      </c>
      <c r="P75" s="17" t="n">
        <v>263.95</v>
      </c>
      <c r="Q75" s="17" t="n">
        <v>263.95</v>
      </c>
      <c r="R75" s="17" t="n">
        <v>263.95</v>
      </c>
      <c r="S75" s="17" t="n">
        <v>30</v>
      </c>
      <c r="T75" s="17" t="n">
        <v>11.8</v>
      </c>
      <c r="U75" s="17" t="n">
        <v>25</v>
      </c>
      <c r="V75" s="17" t="n">
        <v>0.2</v>
      </c>
      <c r="W75" s="17" t="n">
        <v>37</v>
      </c>
      <c r="X75" s="17" t="n">
        <v>226.95</v>
      </c>
      <c r="Y75" s="17" t="inlineStr">
        <is>
          <t>PROFIT</t>
        </is>
      </c>
      <c r="Z75" s="17" t="n">
        <v>1000</v>
      </c>
      <c r="AA75" s="17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NQ</t>
        </is>
      </c>
      <c r="C76" s="16" t="inlineStr">
        <is>
          <t>Bull Call Spread</t>
        </is>
      </c>
      <c r="D76" s="16" t="inlineStr">
        <is>
          <t>2026-08-21</t>
        </is>
      </c>
      <c r="E76" s="16" t="n">
        <v>11</v>
      </c>
      <c r="F76" s="16" t="inlineStr">
        <is>
          <t>10:00 ET</t>
        </is>
      </c>
      <c r="G76" s="16" t="inlineStr">
        <is>
          <t>15:48 ET</t>
        </is>
      </c>
      <c r="H76" s="16" t="n">
        <v>29883.25</v>
      </c>
      <c r="I76" s="16" t="n">
        <v>29875</v>
      </c>
      <c r="J76" s="16" t="n">
        <v>29900</v>
      </c>
      <c r="K76" s="16" t="n">
        <v>4</v>
      </c>
      <c r="L76" s="16" t="n">
        <v>216.16</v>
      </c>
      <c r="M76" s="16" t="n">
        <v>217.85</v>
      </c>
      <c r="N76" s="16" t="n">
        <v>894.24</v>
      </c>
      <c r="O76" s="16" t="n">
        <v>1135.36</v>
      </c>
      <c r="P76" s="16" t="n">
        <v>259.39</v>
      </c>
      <c r="Q76" s="16" t="n">
        <v>259.39</v>
      </c>
      <c r="R76" s="16" t="n">
        <v>6.76</v>
      </c>
      <c r="S76" s="16" t="n">
        <v>0.8</v>
      </c>
      <c r="T76" s="16" t="n">
        <v>9.44</v>
      </c>
      <c r="U76" s="16" t="n">
        <v>20</v>
      </c>
      <c r="V76" s="16" t="n">
        <v>0.16</v>
      </c>
      <c r="W76" s="16" t="n">
        <v>29.6</v>
      </c>
      <c r="X76" s="16" t="n">
        <v>-22.84</v>
      </c>
      <c r="Y76" s="16" t="inlineStr">
        <is>
          <t>FLAT</t>
        </is>
      </c>
      <c r="Z76" s="16" t="n">
        <v>1000</v>
      </c>
      <c r="AA76" s="16" t="inlineStr">
        <is>
          <t>PAPER TRADING</t>
        </is>
      </c>
    </row>
    <row r="77">
      <c r="A77" s="17" t="inlineStr">
        <is>
          <t>2026-08-10</t>
        </is>
      </c>
      <c r="B77" s="17" t="inlineStr">
        <is>
          <t>NQ</t>
        </is>
      </c>
      <c r="C77" s="17" t="inlineStr">
        <is>
          <t>Bull Call Spread</t>
        </is>
      </c>
      <c r="D77" s="17" t="inlineStr">
        <is>
          <t>2026-08-21</t>
        </is>
      </c>
      <c r="E77" s="17" t="n">
        <v>11</v>
      </c>
      <c r="F77" s="17" t="inlineStr">
        <is>
          <t>10:00 ET</t>
        </is>
      </c>
      <c r="G77" s="17" t="inlineStr">
        <is>
          <t>12:20 ET</t>
        </is>
      </c>
      <c r="H77" s="17" t="n">
        <v>29875</v>
      </c>
      <c r="I77" s="17" t="n">
        <v>29875</v>
      </c>
      <c r="J77" s="17" t="n">
        <v>29900</v>
      </c>
      <c r="K77" s="17" t="n">
        <v>4</v>
      </c>
      <c r="L77" s="17" t="n">
        <v>193.31</v>
      </c>
      <c r="M77" s="17" t="n">
        <v>251.3</v>
      </c>
      <c r="N77" s="17" t="n">
        <v>802.84</v>
      </c>
      <c r="O77" s="17" t="n">
        <v>1226.76</v>
      </c>
      <c r="P77" s="17" t="n">
        <v>231.97</v>
      </c>
      <c r="Q77" s="17" t="n">
        <v>231.97</v>
      </c>
      <c r="R77" s="17" t="n">
        <v>231.96</v>
      </c>
      <c r="S77" s="17" t="n">
        <v>30</v>
      </c>
      <c r="T77" s="17" t="n">
        <v>9.44</v>
      </c>
      <c r="U77" s="17" t="n">
        <v>20</v>
      </c>
      <c r="V77" s="17" t="n">
        <v>0.16</v>
      </c>
      <c r="W77" s="17" t="n">
        <v>29.6</v>
      </c>
      <c r="X77" s="17" t="n">
        <v>202.36</v>
      </c>
      <c r="Y77" s="17" t="inlineStr">
        <is>
          <t>PROFIT</t>
        </is>
      </c>
      <c r="Z77" s="17" t="n">
        <v>1000</v>
      </c>
      <c r="AA77" s="17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NQ</t>
        </is>
      </c>
      <c r="C78" s="15" t="inlineStr">
        <is>
          <t>Bull Call Spread</t>
        </is>
      </c>
      <c r="D78" s="15" t="inlineStr">
        <is>
          <t>2026-08-21</t>
        </is>
      </c>
      <c r="E78" s="15" t="n">
        <v>10</v>
      </c>
      <c r="F78" s="15" t="inlineStr">
        <is>
          <t>10:00 ET</t>
        </is>
      </c>
      <c r="G78" s="15" t="inlineStr">
        <is>
          <t>12:16 ET</t>
        </is>
      </c>
      <c r="H78" s="15" t="n">
        <v>29837.75</v>
      </c>
      <c r="I78" s="15" t="n">
        <v>29825</v>
      </c>
      <c r="J78" s="15" t="n">
        <v>29850</v>
      </c>
      <c r="K78" s="15" t="n">
        <v>5</v>
      </c>
      <c r="L78" s="15" t="n">
        <v>175.81</v>
      </c>
      <c r="M78" s="15" t="n">
        <v>123.07</v>
      </c>
      <c r="N78" s="15" t="n">
        <v>916.05</v>
      </c>
      <c r="O78" s="15" t="n">
        <v>1620.95</v>
      </c>
      <c r="P78" s="15" t="n">
        <v>263.71</v>
      </c>
      <c r="Q78" s="15" t="n">
        <v>263.71</v>
      </c>
      <c r="R78" s="15" t="n">
        <v>-263.7</v>
      </c>
      <c r="S78" s="15" t="n">
        <v>-30</v>
      </c>
      <c r="T78" s="15" t="n">
        <v>11.8</v>
      </c>
      <c r="U78" s="15" t="n">
        <v>25</v>
      </c>
      <c r="V78" s="15" t="n">
        <v>0.2</v>
      </c>
      <c r="W78" s="15" t="n">
        <v>37</v>
      </c>
      <c r="X78" s="15" t="n">
        <v>-300.7</v>
      </c>
      <c r="Y78" s="15" t="inlineStr">
        <is>
          <t>STOP LOSS</t>
        </is>
      </c>
      <c r="Z78" s="15" t="n">
        <v>1000</v>
      </c>
      <c r="AA78" s="15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NQ</t>
        </is>
      </c>
      <c r="C79" s="17" t="inlineStr">
        <is>
          <t>Bull Call Spread</t>
        </is>
      </c>
      <c r="D79" s="17" t="inlineStr">
        <is>
          <t>2026-08-21</t>
        </is>
      </c>
      <c r="E79" s="17" t="n">
        <v>10</v>
      </c>
      <c r="F79" s="17" t="inlineStr">
        <is>
          <t>10:00 ET</t>
        </is>
      </c>
      <c r="G79" s="17" t="inlineStr">
        <is>
          <t>13:11 ET</t>
        </is>
      </c>
      <c r="H79" s="17" t="n">
        <v>29743.5</v>
      </c>
      <c r="I79" s="17" t="n">
        <v>29725</v>
      </c>
      <c r="J79" s="17" t="n">
        <v>29750</v>
      </c>
      <c r="K79" s="17" t="n">
        <v>6</v>
      </c>
      <c r="L79" s="17" t="n">
        <v>154.6</v>
      </c>
      <c r="M79" s="17" t="n">
        <v>200.98</v>
      </c>
      <c r="N79" s="17" t="n">
        <v>972</v>
      </c>
      <c r="O79" s="17" t="n">
        <v>2072.4</v>
      </c>
      <c r="P79" s="17" t="n">
        <v>278.28</v>
      </c>
      <c r="Q79" s="17" t="n">
        <v>278.28</v>
      </c>
      <c r="R79" s="17" t="n">
        <v>278.28</v>
      </c>
      <c r="S79" s="17" t="n">
        <v>30</v>
      </c>
      <c r="T79" s="17" t="n">
        <v>14.16</v>
      </c>
      <c r="U79" s="17" t="n">
        <v>30</v>
      </c>
      <c r="V79" s="17" t="n">
        <v>0.24</v>
      </c>
      <c r="W79" s="17" t="n">
        <v>44.4</v>
      </c>
      <c r="X79" s="17" t="n">
        <v>233.88</v>
      </c>
      <c r="Y79" s="17" t="inlineStr">
        <is>
          <t>PROFIT</t>
        </is>
      </c>
      <c r="Z79" s="17" t="n">
        <v>1000</v>
      </c>
      <c r="AA79" s="17" t="inlineStr">
        <is>
          <t>PAPER TRADING</t>
        </is>
      </c>
    </row>
    <row r="80">
      <c r="A80" s="17" t="inlineStr">
        <is>
          <t>2026-08-12</t>
        </is>
      </c>
      <c r="B80" s="17" t="inlineStr">
        <is>
          <t>NQ</t>
        </is>
      </c>
      <c r="C80" s="17" t="inlineStr">
        <is>
          <t>Bull Call Spread</t>
        </is>
      </c>
      <c r="D80" s="17" t="inlineStr">
        <is>
          <t>2026-08-21</t>
        </is>
      </c>
      <c r="E80" s="17" t="n">
        <v>9</v>
      </c>
      <c r="F80" s="17" t="inlineStr">
        <is>
          <t>10:00 ET</t>
        </is>
      </c>
      <c r="G80" s="17" t="inlineStr">
        <is>
          <t>12:49 ET</t>
        </is>
      </c>
      <c r="H80" s="17" t="n">
        <v>29693.75</v>
      </c>
      <c r="I80" s="17" t="n">
        <v>29675</v>
      </c>
      <c r="J80" s="17" t="n">
        <v>29700</v>
      </c>
      <c r="K80" s="17" t="n">
        <v>4</v>
      </c>
      <c r="L80" s="17" t="n">
        <v>213.31</v>
      </c>
      <c r="M80" s="17" t="n">
        <v>277.3</v>
      </c>
      <c r="N80" s="17" t="n">
        <v>882.84</v>
      </c>
      <c r="O80" s="17" t="n">
        <v>1146.76</v>
      </c>
      <c r="P80" s="17" t="n">
        <v>255.97</v>
      </c>
      <c r="Q80" s="17" t="n">
        <v>255.97</v>
      </c>
      <c r="R80" s="17" t="n">
        <v>255.96</v>
      </c>
      <c r="S80" s="17" t="n">
        <v>30</v>
      </c>
      <c r="T80" s="17" t="n">
        <v>9.44</v>
      </c>
      <c r="U80" s="17" t="n">
        <v>20</v>
      </c>
      <c r="V80" s="17" t="n">
        <v>0.16</v>
      </c>
      <c r="W80" s="17" t="n">
        <v>29.6</v>
      </c>
      <c r="X80" s="17" t="n">
        <v>226.36</v>
      </c>
      <c r="Y80" s="17" t="inlineStr">
        <is>
          <t>PROFIT</t>
        </is>
      </c>
      <c r="Z80" s="17" t="n">
        <v>1000</v>
      </c>
      <c r="AA80" s="17" t="inlineStr">
        <is>
          <t>PAPER TRADING</t>
        </is>
      </c>
    </row>
    <row r="81">
      <c r="A81" s="16" t="inlineStr">
        <is>
          <t>2026-08-12</t>
        </is>
      </c>
      <c r="B81" s="16" t="inlineStr">
        <is>
          <t>NQ</t>
        </is>
      </c>
      <c r="C81" s="16" t="inlineStr">
        <is>
          <t>Bull Call Spread</t>
        </is>
      </c>
      <c r="D81" s="16" t="inlineStr">
        <is>
          <t>2026-08-21</t>
        </is>
      </c>
      <c r="E81" s="16" t="n">
        <v>9</v>
      </c>
      <c r="F81" s="16" t="inlineStr">
        <is>
          <t>10:00 ET</t>
        </is>
      </c>
      <c r="G81" s="16" t="inlineStr">
        <is>
          <t>15:37 ET</t>
        </is>
      </c>
      <c r="H81" s="16" t="n">
        <v>29921.5</v>
      </c>
      <c r="I81" s="16" t="n">
        <v>29900</v>
      </c>
      <c r="J81" s="16" t="n">
        <v>29925</v>
      </c>
      <c r="K81" s="16" t="n">
        <v>4</v>
      </c>
      <c r="L81" s="16" t="n">
        <v>211.4</v>
      </c>
      <c r="M81" s="16" t="n">
        <v>206.03</v>
      </c>
      <c r="N81" s="16" t="n">
        <v>875.2</v>
      </c>
      <c r="O81" s="16" t="n">
        <v>1154.4</v>
      </c>
      <c r="P81" s="16" t="n">
        <v>253.68</v>
      </c>
      <c r="Q81" s="16" t="n">
        <v>253.68</v>
      </c>
      <c r="R81" s="16" t="n">
        <v>-21.48</v>
      </c>
      <c r="S81" s="16" t="n">
        <v>-2.5</v>
      </c>
      <c r="T81" s="16" t="n">
        <v>9.44</v>
      </c>
      <c r="U81" s="16" t="n">
        <v>20</v>
      </c>
      <c r="V81" s="16" t="n">
        <v>0.16</v>
      </c>
      <c r="W81" s="16" t="n">
        <v>29.6</v>
      </c>
      <c r="X81" s="16" t="n">
        <v>-51.08</v>
      </c>
      <c r="Y81" s="16" t="inlineStr">
        <is>
          <t>FLAT</t>
        </is>
      </c>
      <c r="Z81" s="16" t="n">
        <v>1000</v>
      </c>
      <c r="AA81" s="16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NQ</t>
        </is>
      </c>
      <c r="C82" s="17" t="inlineStr">
        <is>
          <t>Bull Call Spread</t>
        </is>
      </c>
      <c r="D82" s="17" t="inlineStr">
        <is>
          <t>2026-08-21</t>
        </is>
      </c>
      <c r="E82" s="17" t="n">
        <v>8</v>
      </c>
      <c r="F82" s="17" t="inlineStr">
        <is>
          <t>10:00 ET</t>
        </is>
      </c>
      <c r="G82" s="17" t="inlineStr">
        <is>
          <t>13:28 ET</t>
        </is>
      </c>
      <c r="H82" s="17" t="n">
        <v>29908.25</v>
      </c>
      <c r="I82" s="17" t="n">
        <v>29900</v>
      </c>
      <c r="J82" s="17" t="n">
        <v>29925</v>
      </c>
      <c r="K82" s="17" t="n">
        <v>4</v>
      </c>
      <c r="L82" s="17" t="n">
        <v>208.51</v>
      </c>
      <c r="M82" s="17" t="n">
        <v>271.06</v>
      </c>
      <c r="N82" s="17" t="n">
        <v>863.64</v>
      </c>
      <c r="O82" s="17" t="n">
        <v>1165.96</v>
      </c>
      <c r="P82" s="17" t="n">
        <v>250.21</v>
      </c>
      <c r="Q82" s="17" t="n">
        <v>250.21</v>
      </c>
      <c r="R82" s="17" t="n">
        <v>250.2</v>
      </c>
      <c r="S82" s="17" t="n">
        <v>30</v>
      </c>
      <c r="T82" s="17" t="n">
        <v>9.44</v>
      </c>
      <c r="U82" s="17" t="n">
        <v>20</v>
      </c>
      <c r="V82" s="17" t="n">
        <v>0.16</v>
      </c>
      <c r="W82" s="17" t="n">
        <v>29.6</v>
      </c>
      <c r="X82" s="17" t="n">
        <v>220.6</v>
      </c>
      <c r="Y82" s="17" t="inlineStr">
        <is>
          <t>PROFIT</t>
        </is>
      </c>
      <c r="Z82" s="17" t="n">
        <v>1000</v>
      </c>
      <c r="AA82" s="17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8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MNQ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MNQ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16:20 ET</t>
        </is>
      </c>
      <c r="H3" s="16" t="n">
        <v>30863.75</v>
      </c>
      <c r="I3" s="16" t="n">
        <v>30850</v>
      </c>
      <c r="J3" s="16" t="n">
        <v>30875</v>
      </c>
      <c r="K3" s="16" t="n">
        <v>78</v>
      </c>
      <c r="L3" s="16" t="n">
        <v>11.14</v>
      </c>
      <c r="M3" s="16" t="n">
        <v>11.18</v>
      </c>
      <c r="N3" s="16" t="n">
        <v>996.84</v>
      </c>
      <c r="O3" s="16" t="n">
        <v>3031.08</v>
      </c>
      <c r="P3" s="16" t="n">
        <v>260.68</v>
      </c>
      <c r="Q3" s="16" t="n">
        <v>260.68</v>
      </c>
      <c r="R3" s="16" t="n">
        <v>3.12</v>
      </c>
      <c r="S3" s="16" t="n">
        <v>0.4</v>
      </c>
      <c r="T3" s="16" t="n">
        <v>46.8</v>
      </c>
      <c r="U3" s="16" t="n">
        <v>78</v>
      </c>
      <c r="V3" s="16" t="n">
        <v>3.12</v>
      </c>
      <c r="W3" s="16" t="n">
        <v>127.92</v>
      </c>
      <c r="X3" s="16" t="n">
        <v>-124.8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5" t="inlineStr">
        <is>
          <t>2026-06-17</t>
        </is>
      </c>
      <c r="B4" s="15" t="inlineStr">
        <is>
          <t>MNQ</t>
        </is>
      </c>
      <c r="C4" s="15" t="inlineStr">
        <is>
          <t>Bull Call Spread</t>
        </is>
      </c>
      <c r="D4" s="15" t="inlineStr">
        <is>
          <t>2026-06-19</t>
        </is>
      </c>
      <c r="E4" s="15" t="n">
        <v>2</v>
      </c>
      <c r="F4" s="15" t="inlineStr">
        <is>
          <t>10:00 ET</t>
        </is>
      </c>
      <c r="G4" s="15" t="inlineStr">
        <is>
          <t>11:01 ET</t>
        </is>
      </c>
      <c r="H4" s="15" t="n">
        <v>30463.75</v>
      </c>
      <c r="I4" s="15" t="n">
        <v>30450</v>
      </c>
      <c r="J4" s="15" t="n">
        <v>30475</v>
      </c>
      <c r="K4" s="15" t="n">
        <v>60</v>
      </c>
      <c r="L4" s="15" t="n">
        <v>14.8</v>
      </c>
      <c r="M4" s="15" t="n">
        <v>10.36</v>
      </c>
      <c r="N4" s="15" t="n">
        <v>986.4</v>
      </c>
      <c r="O4" s="15" t="n">
        <v>2112</v>
      </c>
      <c r="P4" s="15" t="n">
        <v>266.4</v>
      </c>
      <c r="Q4" s="15" t="n">
        <v>266.4</v>
      </c>
      <c r="R4" s="15" t="n">
        <v>-266.4</v>
      </c>
      <c r="S4" s="15" t="n">
        <v>-30</v>
      </c>
      <c r="T4" s="15" t="n">
        <v>36</v>
      </c>
      <c r="U4" s="15" t="n">
        <v>60</v>
      </c>
      <c r="V4" s="15" t="n">
        <v>2.4</v>
      </c>
      <c r="W4" s="15" t="n">
        <v>98.40000000000001</v>
      </c>
      <c r="X4" s="15" t="n">
        <v>-364.8</v>
      </c>
      <c r="Y4" s="15" t="inlineStr">
        <is>
          <t>STOP LOSS</t>
        </is>
      </c>
      <c r="Z4" s="15" t="n">
        <v>1000</v>
      </c>
      <c r="AA4" s="15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MNQ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10:58 ET</t>
        </is>
      </c>
      <c r="H5" s="15" t="n">
        <v>30623.5</v>
      </c>
      <c r="I5" s="15" t="n">
        <v>30600</v>
      </c>
      <c r="J5" s="15" t="n">
        <v>30625</v>
      </c>
      <c r="K5" s="15" t="n">
        <v>63</v>
      </c>
      <c r="L5" s="15" t="n">
        <v>14.18</v>
      </c>
      <c r="M5" s="15" t="n">
        <v>9.93</v>
      </c>
      <c r="N5" s="15" t="n">
        <v>996.66</v>
      </c>
      <c r="O5" s="15" t="n">
        <v>2256.66</v>
      </c>
      <c r="P5" s="15" t="n">
        <v>268</v>
      </c>
      <c r="Q5" s="15" t="n">
        <v>268</v>
      </c>
      <c r="R5" s="15" t="n">
        <v>-267.75</v>
      </c>
      <c r="S5" s="15" t="n">
        <v>-30</v>
      </c>
      <c r="T5" s="15" t="n">
        <v>37.8</v>
      </c>
      <c r="U5" s="15" t="n">
        <v>63</v>
      </c>
      <c r="V5" s="15" t="n">
        <v>2.52</v>
      </c>
      <c r="W5" s="15" t="n">
        <v>103.32</v>
      </c>
      <c r="X5" s="15" t="n">
        <v>-371.07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MNQ</t>
        </is>
      </c>
      <c r="C6" s="15" t="inlineStr">
        <is>
          <t>Bull Call Spread</t>
        </is>
      </c>
      <c r="D6" s="15" t="inlineStr">
        <is>
          <t>2026-06-19</t>
        </is>
      </c>
      <c r="E6" s="15" t="n">
        <v>1</v>
      </c>
      <c r="F6" s="15" t="inlineStr">
        <is>
          <t>10:00 ET</t>
        </is>
      </c>
      <c r="G6" s="15" t="inlineStr">
        <is>
          <t>12:56 ET</t>
        </is>
      </c>
      <c r="H6" s="15" t="n">
        <v>30546.5</v>
      </c>
      <c r="I6" s="15" t="n">
        <v>30525</v>
      </c>
      <c r="J6" s="15" t="n">
        <v>30550</v>
      </c>
      <c r="K6" s="15" t="n">
        <v>77</v>
      </c>
      <c r="L6" s="15" t="n">
        <v>11.2</v>
      </c>
      <c r="M6" s="15" t="n">
        <v>7.84</v>
      </c>
      <c r="N6" s="15" t="n">
        <v>988.6799999999999</v>
      </c>
      <c r="O6" s="15" t="n">
        <v>2987.6</v>
      </c>
      <c r="P6" s="15" t="n">
        <v>258.72</v>
      </c>
      <c r="Q6" s="15" t="n">
        <v>258.72</v>
      </c>
      <c r="R6" s="15" t="n">
        <v>-258.72</v>
      </c>
      <c r="S6" s="15" t="n">
        <v>-30</v>
      </c>
      <c r="T6" s="15" t="n">
        <v>46.2</v>
      </c>
      <c r="U6" s="15" t="n">
        <v>77</v>
      </c>
      <c r="V6" s="15" t="n">
        <v>3.08</v>
      </c>
      <c r="W6" s="15" t="n">
        <v>126.28</v>
      </c>
      <c r="X6" s="15" t="n">
        <v>-385</v>
      </c>
      <c r="Y6" s="15" t="inlineStr">
        <is>
          <t>STOP LOSS</t>
        </is>
      </c>
      <c r="Z6" s="15" t="n">
        <v>1000</v>
      </c>
      <c r="AA6" s="15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MNQ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15:28 ET</t>
        </is>
      </c>
      <c r="H7" s="16" t="n">
        <v>30508</v>
      </c>
      <c r="I7" s="16" t="n">
        <v>30500</v>
      </c>
      <c r="J7" s="16" t="n">
        <v>30525</v>
      </c>
      <c r="K7" s="16" t="n">
        <v>40</v>
      </c>
      <c r="L7" s="16" t="n">
        <v>23.2</v>
      </c>
      <c r="M7" s="16" t="n">
        <v>22.86</v>
      </c>
      <c r="N7" s="16" t="n">
        <v>993.6</v>
      </c>
      <c r="O7" s="16" t="n">
        <v>1072</v>
      </c>
      <c r="P7" s="16" t="n">
        <v>278.4</v>
      </c>
      <c r="Q7" s="16" t="n">
        <v>278.4</v>
      </c>
      <c r="R7" s="16" t="n">
        <v>-13.6</v>
      </c>
      <c r="S7" s="16" t="n">
        <v>-1.5</v>
      </c>
      <c r="T7" s="16" t="n">
        <v>24</v>
      </c>
      <c r="U7" s="16" t="n">
        <v>40</v>
      </c>
      <c r="V7" s="16" t="n">
        <v>1.6</v>
      </c>
      <c r="W7" s="16" t="n">
        <v>65.59999999999999</v>
      </c>
      <c r="X7" s="16" t="n">
        <v>-79.2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MNQ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11:06 ET</t>
        </is>
      </c>
      <c r="H8" s="15" t="n">
        <v>30508</v>
      </c>
      <c r="I8" s="15" t="n">
        <v>30500</v>
      </c>
      <c r="J8" s="15" t="n">
        <v>30525</v>
      </c>
      <c r="K8" s="15" t="n">
        <v>45</v>
      </c>
      <c r="L8" s="15" t="n">
        <v>20.1</v>
      </c>
      <c r="M8" s="15" t="n">
        <v>14.07</v>
      </c>
      <c r="N8" s="15" t="n">
        <v>978.3</v>
      </c>
      <c r="O8" s="15" t="n">
        <v>1345.5</v>
      </c>
      <c r="P8" s="15" t="n">
        <v>271.35</v>
      </c>
      <c r="Q8" s="15" t="n">
        <v>271.35</v>
      </c>
      <c r="R8" s="15" t="n">
        <v>-271.35</v>
      </c>
      <c r="S8" s="15" t="n">
        <v>-30</v>
      </c>
      <c r="T8" s="15" t="n">
        <v>27</v>
      </c>
      <c r="U8" s="15" t="n">
        <v>45</v>
      </c>
      <c r="V8" s="15" t="n">
        <v>1.8</v>
      </c>
      <c r="W8" s="15" t="n">
        <v>73.8</v>
      </c>
      <c r="X8" s="15" t="n">
        <v>-345.15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6" t="inlineStr">
        <is>
          <t>2026-06-22</t>
        </is>
      </c>
      <c r="B9" s="16" t="inlineStr">
        <is>
          <t>MNQ</t>
        </is>
      </c>
      <c r="C9" s="16" t="inlineStr">
        <is>
          <t>Bull Call Spread</t>
        </is>
      </c>
      <c r="D9" s="16" t="inlineStr">
        <is>
          <t>2026-07-17</t>
        </is>
      </c>
      <c r="E9" s="16" t="n">
        <v>25</v>
      </c>
      <c r="F9" s="16" t="inlineStr">
        <is>
          <t>10:00 ET</t>
        </is>
      </c>
      <c r="G9" s="16" t="inlineStr">
        <is>
          <t>15:44 ET</t>
        </is>
      </c>
      <c r="H9" s="16" t="n">
        <v>30629</v>
      </c>
      <c r="I9" s="16" t="n">
        <v>30625</v>
      </c>
      <c r="J9" s="16" t="n">
        <v>30650</v>
      </c>
      <c r="K9" s="16" t="n">
        <v>40</v>
      </c>
      <c r="L9" s="16" t="n">
        <v>22.98</v>
      </c>
      <c r="M9" s="16" t="n">
        <v>23.14</v>
      </c>
      <c r="N9" s="16" t="n">
        <v>984.8</v>
      </c>
      <c r="O9" s="16" t="n">
        <v>1080.8</v>
      </c>
      <c r="P9" s="16" t="n">
        <v>275.76</v>
      </c>
      <c r="Q9" s="16" t="n">
        <v>275.76</v>
      </c>
      <c r="R9" s="16" t="n">
        <v>6.4</v>
      </c>
      <c r="S9" s="16" t="n">
        <v>0.7</v>
      </c>
      <c r="T9" s="16" t="n">
        <v>24</v>
      </c>
      <c r="U9" s="16" t="n">
        <v>40</v>
      </c>
      <c r="V9" s="16" t="n">
        <v>1.6</v>
      </c>
      <c r="W9" s="16" t="n">
        <v>65.59999999999999</v>
      </c>
      <c r="X9" s="16" t="n">
        <v>-59.2</v>
      </c>
      <c r="Y9" s="16" t="inlineStr">
        <is>
          <t>FLAT</t>
        </is>
      </c>
      <c r="Z9" s="16" t="n">
        <v>1000</v>
      </c>
      <c r="AA9" s="16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MNQ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11:26 ET</t>
        </is>
      </c>
      <c r="H10" s="17" t="n">
        <v>30662</v>
      </c>
      <c r="I10" s="17" t="n">
        <v>30650</v>
      </c>
      <c r="J10" s="17" t="n">
        <v>30675</v>
      </c>
      <c r="K10" s="17" t="n">
        <v>38</v>
      </c>
      <c r="L10" s="17" t="n">
        <v>24.02</v>
      </c>
      <c r="M10" s="17" t="n">
        <v>31.23</v>
      </c>
      <c r="N10" s="17" t="n">
        <v>975.08</v>
      </c>
      <c r="O10" s="17" t="n">
        <v>987.24</v>
      </c>
      <c r="P10" s="17" t="n">
        <v>273.83</v>
      </c>
      <c r="Q10" s="17" t="n">
        <v>273.83</v>
      </c>
      <c r="R10" s="17" t="n">
        <v>273.98</v>
      </c>
      <c r="S10" s="17" t="n">
        <v>30</v>
      </c>
      <c r="T10" s="17" t="n">
        <v>22.8</v>
      </c>
      <c r="U10" s="17" t="n">
        <v>38</v>
      </c>
      <c r="V10" s="17" t="n">
        <v>1.52</v>
      </c>
      <c r="W10" s="17" t="n">
        <v>62.32</v>
      </c>
      <c r="X10" s="17" t="n">
        <v>211.66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MNQ</t>
        </is>
      </c>
      <c r="C11" s="15" t="inlineStr">
        <is>
          <t>Bull Call Spread</t>
        </is>
      </c>
      <c r="D11" s="15" t="inlineStr">
        <is>
          <t>2026-07-17</t>
        </is>
      </c>
      <c r="E11" s="15" t="n">
        <v>24</v>
      </c>
      <c r="F11" s="15" t="inlineStr">
        <is>
          <t>10:00 ET</t>
        </is>
      </c>
      <c r="G11" s="15" t="inlineStr">
        <is>
          <t>12:28 ET</t>
        </is>
      </c>
      <c r="H11" s="15" t="n">
        <v>29673.25</v>
      </c>
      <c r="I11" s="15" t="n">
        <v>29650</v>
      </c>
      <c r="J11" s="15" t="n">
        <v>29675</v>
      </c>
      <c r="K11" s="15" t="n">
        <v>44</v>
      </c>
      <c r="L11" s="15" t="n">
        <v>20.9</v>
      </c>
      <c r="M11" s="15" t="n">
        <v>14.63</v>
      </c>
      <c r="N11" s="15" t="n">
        <v>991.76</v>
      </c>
      <c r="O11" s="15" t="n">
        <v>1280.4</v>
      </c>
      <c r="P11" s="15" t="n">
        <v>275.88</v>
      </c>
      <c r="Q11" s="15" t="n">
        <v>275.88</v>
      </c>
      <c r="R11" s="15" t="n">
        <v>-275.88</v>
      </c>
      <c r="S11" s="15" t="n">
        <v>-30</v>
      </c>
      <c r="T11" s="15" t="n">
        <v>26.4</v>
      </c>
      <c r="U11" s="15" t="n">
        <v>44</v>
      </c>
      <c r="V11" s="15" t="n">
        <v>1.76</v>
      </c>
      <c r="W11" s="15" t="n">
        <v>72.16</v>
      </c>
      <c r="X11" s="15" t="n">
        <v>-348.04</v>
      </c>
      <c r="Y11" s="15" t="inlineStr">
        <is>
          <t>STOP LOSS</t>
        </is>
      </c>
      <c r="Z11" s="15" t="n">
        <v>1000</v>
      </c>
      <c r="AA11" s="15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MNQ</t>
        </is>
      </c>
      <c r="C12" s="16" t="inlineStr">
        <is>
          <t>Bull Call Spread</t>
        </is>
      </c>
      <c r="D12" s="16" t="inlineStr">
        <is>
          <t>2026-07-17</t>
        </is>
      </c>
      <c r="E12" s="16" t="n">
        <v>24</v>
      </c>
      <c r="F12" s="16" t="inlineStr">
        <is>
          <t>10:00 ET</t>
        </is>
      </c>
      <c r="G12" s="16" t="inlineStr">
        <is>
          <t>15:52 ET</t>
        </is>
      </c>
      <c r="H12" s="16" t="n">
        <v>29731.75</v>
      </c>
      <c r="I12" s="16" t="n">
        <v>29725</v>
      </c>
      <c r="J12" s="16" t="n">
        <v>29750</v>
      </c>
      <c r="K12" s="16" t="n">
        <v>35</v>
      </c>
      <c r="L12" s="16" t="n">
        <v>26.55</v>
      </c>
      <c r="M12" s="16" t="n">
        <v>25.24</v>
      </c>
      <c r="N12" s="16" t="n">
        <v>986.65</v>
      </c>
      <c r="O12" s="16" t="n">
        <v>820.75</v>
      </c>
      <c r="P12" s="16" t="n">
        <v>278.77</v>
      </c>
      <c r="Q12" s="16" t="n">
        <v>278.77</v>
      </c>
      <c r="R12" s="16" t="n">
        <v>-45.85</v>
      </c>
      <c r="S12" s="16" t="n">
        <v>-4.9</v>
      </c>
      <c r="T12" s="16" t="n">
        <v>21</v>
      </c>
      <c r="U12" s="16" t="n">
        <v>35</v>
      </c>
      <c r="V12" s="16" t="n">
        <v>1.4</v>
      </c>
      <c r="W12" s="16" t="n">
        <v>57.4</v>
      </c>
      <c r="X12" s="16" t="n">
        <v>-103.25</v>
      </c>
      <c r="Y12" s="16" t="inlineStr">
        <is>
          <t>FLAT</t>
        </is>
      </c>
      <c r="Z12" s="16" t="n">
        <v>1000</v>
      </c>
      <c r="AA12" s="16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MNQ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12:54 ET</t>
        </is>
      </c>
      <c r="H13" s="17" t="n">
        <v>29867.5</v>
      </c>
      <c r="I13" s="17" t="n">
        <v>29850</v>
      </c>
      <c r="J13" s="17" t="n">
        <v>29875</v>
      </c>
      <c r="K13" s="17" t="n">
        <v>37</v>
      </c>
      <c r="L13" s="17" t="n">
        <v>24.81</v>
      </c>
      <c r="M13" s="17" t="n">
        <v>32.25</v>
      </c>
      <c r="N13" s="17" t="n">
        <v>978.65</v>
      </c>
      <c r="O13" s="17" t="n">
        <v>932.03</v>
      </c>
      <c r="P13" s="17" t="n">
        <v>275.39</v>
      </c>
      <c r="Q13" s="17" t="n">
        <v>275.39</v>
      </c>
      <c r="R13" s="17" t="n">
        <v>275.28</v>
      </c>
      <c r="S13" s="17" t="n">
        <v>30</v>
      </c>
      <c r="T13" s="17" t="n">
        <v>22.2</v>
      </c>
      <c r="U13" s="17" t="n">
        <v>37</v>
      </c>
      <c r="V13" s="17" t="n">
        <v>1.48</v>
      </c>
      <c r="W13" s="17" t="n">
        <v>60.68</v>
      </c>
      <c r="X13" s="17" t="n">
        <v>214.6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5" t="inlineStr">
        <is>
          <t>2026-06-24</t>
        </is>
      </c>
      <c r="B14" s="15" t="inlineStr">
        <is>
          <t>MNQ</t>
        </is>
      </c>
      <c r="C14" s="15" t="inlineStr">
        <is>
          <t>Bull Call Spread</t>
        </is>
      </c>
      <c r="D14" s="15" t="inlineStr">
        <is>
          <t>2026-07-17</t>
        </is>
      </c>
      <c r="E14" s="15" t="n">
        <v>23</v>
      </c>
      <c r="F14" s="15" t="inlineStr">
        <is>
          <t>10:00 ET</t>
        </is>
      </c>
      <c r="G14" s="15" t="inlineStr">
        <is>
          <t>10:29 ET</t>
        </is>
      </c>
      <c r="H14" s="15" t="n">
        <v>29836.5</v>
      </c>
      <c r="I14" s="15" t="n">
        <v>29825</v>
      </c>
      <c r="J14" s="15" t="n">
        <v>29850</v>
      </c>
      <c r="K14" s="15" t="n">
        <v>39</v>
      </c>
      <c r="L14" s="15" t="n">
        <v>23.64</v>
      </c>
      <c r="M14" s="15" t="n">
        <v>16.55</v>
      </c>
      <c r="N14" s="15" t="n">
        <v>985.92</v>
      </c>
      <c r="O14" s="15" t="n">
        <v>1028.04</v>
      </c>
      <c r="P14" s="15" t="n">
        <v>276.59</v>
      </c>
      <c r="Q14" s="15" t="n">
        <v>276.59</v>
      </c>
      <c r="R14" s="15" t="n">
        <v>-276.51</v>
      </c>
      <c r="S14" s="15" t="n">
        <v>-30</v>
      </c>
      <c r="T14" s="15" t="n">
        <v>23.4</v>
      </c>
      <c r="U14" s="15" t="n">
        <v>39</v>
      </c>
      <c r="V14" s="15" t="n">
        <v>1.56</v>
      </c>
      <c r="W14" s="15" t="n">
        <v>63.96</v>
      </c>
      <c r="X14" s="15" t="n">
        <v>-340.47</v>
      </c>
      <c r="Y14" s="15" t="inlineStr">
        <is>
          <t>STOP LOSS</t>
        </is>
      </c>
      <c r="Z14" s="15" t="n">
        <v>1000</v>
      </c>
      <c r="AA14" s="15" t="inlineStr">
        <is>
          <t>PAPER TRADING</t>
        </is>
      </c>
    </row>
    <row r="15">
      <c r="A15" s="15" t="inlineStr">
        <is>
          <t>2026-06-25</t>
        </is>
      </c>
      <c r="B15" s="15" t="inlineStr">
        <is>
          <t>MNQ</t>
        </is>
      </c>
      <c r="C15" s="15" t="inlineStr">
        <is>
          <t>Bull Call Spread</t>
        </is>
      </c>
      <c r="D15" s="15" t="inlineStr">
        <is>
          <t>2026-07-17</t>
        </is>
      </c>
      <c r="E15" s="15" t="n">
        <v>22</v>
      </c>
      <c r="F15" s="15" t="inlineStr">
        <is>
          <t>10:00 ET</t>
        </is>
      </c>
      <c r="G15" s="15" t="inlineStr">
        <is>
          <t>12:51 ET</t>
        </is>
      </c>
      <c r="H15" s="15" t="n">
        <v>30122.75</v>
      </c>
      <c r="I15" s="15" t="n">
        <v>30100</v>
      </c>
      <c r="J15" s="15" t="n">
        <v>30125</v>
      </c>
      <c r="K15" s="15" t="n">
        <v>45</v>
      </c>
      <c r="L15" s="15" t="n">
        <v>20.36</v>
      </c>
      <c r="M15" s="15" t="n">
        <v>14.25</v>
      </c>
      <c r="N15" s="15" t="n">
        <v>990</v>
      </c>
      <c r="O15" s="15" t="n">
        <v>1333.8</v>
      </c>
      <c r="P15" s="15" t="n">
        <v>274.86</v>
      </c>
      <c r="Q15" s="15" t="n">
        <v>274.86</v>
      </c>
      <c r="R15" s="15" t="n">
        <v>-274.95</v>
      </c>
      <c r="S15" s="15" t="n">
        <v>-30</v>
      </c>
      <c r="T15" s="15" t="n">
        <v>27</v>
      </c>
      <c r="U15" s="15" t="n">
        <v>45</v>
      </c>
      <c r="V15" s="15" t="n">
        <v>1.8</v>
      </c>
      <c r="W15" s="15" t="n">
        <v>73.8</v>
      </c>
      <c r="X15" s="15" t="n">
        <v>-348.75</v>
      </c>
      <c r="Y15" s="15" t="inlineStr">
        <is>
          <t>STOP LOSS</t>
        </is>
      </c>
      <c r="Z15" s="15" t="n">
        <v>1000</v>
      </c>
      <c r="AA15" s="15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MNQ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11:32 ET</t>
        </is>
      </c>
      <c r="H16" s="17" t="n">
        <v>29766.75</v>
      </c>
      <c r="I16" s="17" t="n">
        <v>29750</v>
      </c>
      <c r="J16" s="17" t="n">
        <v>29775</v>
      </c>
      <c r="K16" s="17" t="n">
        <v>35</v>
      </c>
      <c r="L16" s="17" t="n">
        <v>26.56</v>
      </c>
      <c r="M16" s="17" t="n">
        <v>34.53</v>
      </c>
      <c r="N16" s="17" t="n">
        <v>987</v>
      </c>
      <c r="O16" s="17" t="n">
        <v>820.4</v>
      </c>
      <c r="P16" s="17" t="n">
        <v>278.88</v>
      </c>
      <c r="Q16" s="17" t="n">
        <v>278.88</v>
      </c>
      <c r="R16" s="17" t="n">
        <v>278.95</v>
      </c>
      <c r="S16" s="17" t="n">
        <v>30</v>
      </c>
      <c r="T16" s="17" t="n">
        <v>21</v>
      </c>
      <c r="U16" s="17" t="n">
        <v>35</v>
      </c>
      <c r="V16" s="17" t="n">
        <v>1.4</v>
      </c>
      <c r="W16" s="17" t="n">
        <v>57.4</v>
      </c>
      <c r="X16" s="17" t="n">
        <v>221.55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MNQ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11:00 ET</t>
        </is>
      </c>
      <c r="H17" s="15" t="n">
        <v>29438</v>
      </c>
      <c r="I17" s="15" t="n">
        <v>29425</v>
      </c>
      <c r="J17" s="15" t="n">
        <v>29450</v>
      </c>
      <c r="K17" s="15" t="n">
        <v>36</v>
      </c>
      <c r="L17" s="15" t="n">
        <v>26.03</v>
      </c>
      <c r="M17" s="15" t="n">
        <v>18.22</v>
      </c>
      <c r="N17" s="15" t="n">
        <v>996.12</v>
      </c>
      <c r="O17" s="15" t="n">
        <v>862.92</v>
      </c>
      <c r="P17" s="15" t="n">
        <v>281.12</v>
      </c>
      <c r="Q17" s="15" t="n">
        <v>281.12</v>
      </c>
      <c r="R17" s="15" t="n">
        <v>-281.16</v>
      </c>
      <c r="S17" s="15" t="n">
        <v>-30</v>
      </c>
      <c r="T17" s="15" t="n">
        <v>21.6</v>
      </c>
      <c r="U17" s="15" t="n">
        <v>36</v>
      </c>
      <c r="V17" s="15" t="n">
        <v>1.44</v>
      </c>
      <c r="W17" s="15" t="n">
        <v>59.04</v>
      </c>
      <c r="X17" s="15" t="n">
        <v>-340.2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6" t="inlineStr">
        <is>
          <t>2026-06-26</t>
        </is>
      </c>
      <c r="B18" s="16" t="inlineStr">
        <is>
          <t>MNQ</t>
        </is>
      </c>
      <c r="C18" s="16" t="inlineStr">
        <is>
          <t>Bull Call Spread</t>
        </is>
      </c>
      <c r="D18" s="16" t="inlineStr">
        <is>
          <t>2026-07-17</t>
        </is>
      </c>
      <c r="E18" s="16" t="n">
        <v>21</v>
      </c>
      <c r="F18" s="16" t="inlineStr">
        <is>
          <t>10:00 ET</t>
        </is>
      </c>
      <c r="G18" s="16" t="inlineStr">
        <is>
          <t>15:01 ET</t>
        </is>
      </c>
      <c r="H18" s="16" t="n">
        <v>29317.25</v>
      </c>
      <c r="I18" s="16" t="n">
        <v>29300</v>
      </c>
      <c r="J18" s="16" t="n">
        <v>29325</v>
      </c>
      <c r="K18" s="16" t="n">
        <v>37</v>
      </c>
      <c r="L18" s="16" t="n">
        <v>24.79</v>
      </c>
      <c r="M18" s="16" t="n">
        <v>24.97</v>
      </c>
      <c r="N18" s="16" t="n">
        <v>977.91</v>
      </c>
      <c r="O18" s="16" t="n">
        <v>932.77</v>
      </c>
      <c r="P18" s="16" t="n">
        <v>275.17</v>
      </c>
      <c r="Q18" s="16" t="n">
        <v>275.17</v>
      </c>
      <c r="R18" s="16" t="n">
        <v>6.66</v>
      </c>
      <c r="S18" s="16" t="n">
        <v>0.7</v>
      </c>
      <c r="T18" s="16" t="n">
        <v>22.2</v>
      </c>
      <c r="U18" s="16" t="n">
        <v>37</v>
      </c>
      <c r="V18" s="16" t="n">
        <v>1.48</v>
      </c>
      <c r="W18" s="16" t="n">
        <v>60.68</v>
      </c>
      <c r="X18" s="16" t="n">
        <v>-54.02</v>
      </c>
      <c r="Y18" s="16" t="inlineStr">
        <is>
          <t>FLAT</t>
        </is>
      </c>
      <c r="Z18" s="16" t="n">
        <v>1000</v>
      </c>
      <c r="AA18" s="16" t="inlineStr">
        <is>
          <t>PAPER TRADING</t>
        </is>
      </c>
    </row>
    <row r="19">
      <c r="A19" s="17" t="inlineStr">
        <is>
          <t>2026-06-29</t>
        </is>
      </c>
      <c r="B19" s="17" t="inlineStr">
        <is>
          <t>MNQ</t>
        </is>
      </c>
      <c r="C19" s="17" t="inlineStr">
        <is>
          <t>Bull Call Spread</t>
        </is>
      </c>
      <c r="D19" s="17" t="inlineStr">
        <is>
          <t>2026-07-17</t>
        </is>
      </c>
      <c r="E19" s="17" t="n">
        <v>18</v>
      </c>
      <c r="F19" s="17" t="inlineStr">
        <is>
          <t>10:00 ET</t>
        </is>
      </c>
      <c r="G19" s="17" t="inlineStr">
        <is>
          <t>11:04 ET</t>
        </is>
      </c>
      <c r="H19" s="17" t="n">
        <v>29856</v>
      </c>
      <c r="I19" s="17" t="n">
        <v>29850</v>
      </c>
      <c r="J19" s="17" t="n">
        <v>29875</v>
      </c>
      <c r="K19" s="17" t="n">
        <v>37</v>
      </c>
      <c r="L19" s="17" t="n">
        <v>25.15</v>
      </c>
      <c r="M19" s="17" t="n">
        <v>32.7</v>
      </c>
      <c r="N19" s="17" t="n">
        <v>991.23</v>
      </c>
      <c r="O19" s="17" t="n">
        <v>919.45</v>
      </c>
      <c r="P19" s="17" t="n">
        <v>279.16</v>
      </c>
      <c r="Q19" s="17" t="n">
        <v>279.16</v>
      </c>
      <c r="R19" s="17" t="n">
        <v>279.35</v>
      </c>
      <c r="S19" s="17" t="n">
        <v>30</v>
      </c>
      <c r="T19" s="17" t="n">
        <v>22.2</v>
      </c>
      <c r="U19" s="17" t="n">
        <v>37</v>
      </c>
      <c r="V19" s="17" t="n">
        <v>1.48</v>
      </c>
      <c r="W19" s="17" t="n">
        <v>60.68</v>
      </c>
      <c r="X19" s="17" t="n">
        <v>218.67</v>
      </c>
      <c r="Y19" s="17" t="inlineStr">
        <is>
          <t>PROFIT</t>
        </is>
      </c>
      <c r="Z19" s="17" t="n">
        <v>1000</v>
      </c>
      <c r="AA19" s="17" t="inlineStr">
        <is>
          <t>PAPER TRADING</t>
        </is>
      </c>
    </row>
    <row r="20">
      <c r="A20" s="17" t="inlineStr">
        <is>
          <t>2026-06-29</t>
        </is>
      </c>
      <c r="B20" s="17" t="inlineStr">
        <is>
          <t>MNQ</t>
        </is>
      </c>
      <c r="C20" s="17" t="inlineStr">
        <is>
          <t>Bull Call Spread</t>
        </is>
      </c>
      <c r="D20" s="17" t="inlineStr">
        <is>
          <t>2026-07-17</t>
        </is>
      </c>
      <c r="E20" s="17" t="n">
        <v>18</v>
      </c>
      <c r="F20" s="17" t="inlineStr">
        <is>
          <t>10:00 ET</t>
        </is>
      </c>
      <c r="G20" s="17" t="inlineStr">
        <is>
          <t>13:22 ET</t>
        </is>
      </c>
      <c r="H20" s="17" t="n">
        <v>30026.25</v>
      </c>
      <c r="I20" s="17" t="n">
        <v>30025</v>
      </c>
      <c r="J20" s="17" t="n">
        <v>30050</v>
      </c>
      <c r="K20" s="17" t="n">
        <v>41</v>
      </c>
      <c r="L20" s="17" t="n">
        <v>22.19</v>
      </c>
      <c r="M20" s="17" t="n">
        <v>28.85</v>
      </c>
      <c r="N20" s="17" t="n">
        <v>977.03</v>
      </c>
      <c r="O20" s="17" t="n">
        <v>1140.21</v>
      </c>
      <c r="P20" s="17" t="n">
        <v>272.94</v>
      </c>
      <c r="Q20" s="17" t="n">
        <v>272.94</v>
      </c>
      <c r="R20" s="17" t="n">
        <v>273.06</v>
      </c>
      <c r="S20" s="17" t="n">
        <v>30</v>
      </c>
      <c r="T20" s="17" t="n">
        <v>24.6</v>
      </c>
      <c r="U20" s="17" t="n">
        <v>41</v>
      </c>
      <c r="V20" s="17" t="n">
        <v>1.64</v>
      </c>
      <c r="W20" s="17" t="n">
        <v>67.23999999999999</v>
      </c>
      <c r="X20" s="17" t="n">
        <v>205.82</v>
      </c>
      <c r="Y20" s="17" t="inlineStr">
        <is>
          <t>PROFIT</t>
        </is>
      </c>
      <c r="Z20" s="17" t="n">
        <v>1000</v>
      </c>
      <c r="AA20" s="17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MNQ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12:22 ET</t>
        </is>
      </c>
      <c r="H21" s="17" t="n">
        <v>30154</v>
      </c>
      <c r="I21" s="17" t="n">
        <v>30150</v>
      </c>
      <c r="J21" s="17" t="n">
        <v>30175</v>
      </c>
      <c r="K21" s="17" t="n">
        <v>38</v>
      </c>
      <c r="L21" s="17" t="n">
        <v>24.48</v>
      </c>
      <c r="M21" s="17" t="n">
        <v>31.82</v>
      </c>
      <c r="N21" s="17" t="n">
        <v>992.5599999999999</v>
      </c>
      <c r="O21" s="17" t="n">
        <v>969.76</v>
      </c>
      <c r="P21" s="17" t="n">
        <v>279.07</v>
      </c>
      <c r="Q21" s="17" t="n">
        <v>279.07</v>
      </c>
      <c r="R21" s="17" t="n">
        <v>278.92</v>
      </c>
      <c r="S21" s="17" t="n">
        <v>30</v>
      </c>
      <c r="T21" s="17" t="n">
        <v>22.8</v>
      </c>
      <c r="U21" s="17" t="n">
        <v>38</v>
      </c>
      <c r="V21" s="17" t="n">
        <v>1.52</v>
      </c>
      <c r="W21" s="17" t="n">
        <v>62.32</v>
      </c>
      <c r="X21" s="17" t="n">
        <v>216.6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MNQ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12:12 ET</t>
        </is>
      </c>
      <c r="H22" s="17" t="n">
        <v>30503.5</v>
      </c>
      <c r="I22" s="17" t="n">
        <v>30500</v>
      </c>
      <c r="J22" s="17" t="n">
        <v>30525</v>
      </c>
      <c r="K22" s="17" t="n">
        <v>44</v>
      </c>
      <c r="L22" s="17" t="n">
        <v>20.76</v>
      </c>
      <c r="M22" s="17" t="n">
        <v>26.99</v>
      </c>
      <c r="N22" s="17" t="n">
        <v>985.6</v>
      </c>
      <c r="O22" s="17" t="n">
        <v>1286.56</v>
      </c>
      <c r="P22" s="17" t="n">
        <v>274.03</v>
      </c>
      <c r="Q22" s="17" t="n">
        <v>274.03</v>
      </c>
      <c r="R22" s="17" t="n">
        <v>274.12</v>
      </c>
      <c r="S22" s="17" t="n">
        <v>30</v>
      </c>
      <c r="T22" s="17" t="n">
        <v>26.4</v>
      </c>
      <c r="U22" s="17" t="n">
        <v>44</v>
      </c>
      <c r="V22" s="17" t="n">
        <v>1.76</v>
      </c>
      <c r="W22" s="17" t="n">
        <v>72.16</v>
      </c>
      <c r="X22" s="17" t="n">
        <v>201.96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7" t="inlineStr">
        <is>
          <t>2026-07-01</t>
        </is>
      </c>
      <c r="B23" s="17" t="inlineStr">
        <is>
          <t>MNQ</t>
        </is>
      </c>
      <c r="C23" s="17" t="inlineStr">
        <is>
          <t>Bull Call Spread</t>
        </is>
      </c>
      <c r="D23" s="17" t="inlineStr">
        <is>
          <t>2026-07-17</t>
        </is>
      </c>
      <c r="E23" s="17" t="n">
        <v>16</v>
      </c>
      <c r="F23" s="17" t="inlineStr">
        <is>
          <t>10:00 ET</t>
        </is>
      </c>
      <c r="G23" s="17" t="inlineStr">
        <is>
          <t>13:09 ET</t>
        </is>
      </c>
      <c r="H23" s="17" t="n">
        <v>30226</v>
      </c>
      <c r="I23" s="17" t="n">
        <v>30225</v>
      </c>
      <c r="J23" s="17" t="n">
        <v>30250</v>
      </c>
      <c r="K23" s="17" t="n">
        <v>42</v>
      </c>
      <c r="L23" s="17" t="n">
        <v>21.81</v>
      </c>
      <c r="M23" s="17" t="n">
        <v>28.35</v>
      </c>
      <c r="N23" s="17" t="n">
        <v>984.9</v>
      </c>
      <c r="O23" s="17" t="n">
        <v>1183.98</v>
      </c>
      <c r="P23" s="17" t="n">
        <v>274.81</v>
      </c>
      <c r="Q23" s="17" t="n">
        <v>274.81</v>
      </c>
      <c r="R23" s="17" t="n">
        <v>274.68</v>
      </c>
      <c r="S23" s="17" t="n">
        <v>30</v>
      </c>
      <c r="T23" s="17" t="n">
        <v>25.2</v>
      </c>
      <c r="U23" s="17" t="n">
        <v>42</v>
      </c>
      <c r="V23" s="17" t="n">
        <v>1.68</v>
      </c>
      <c r="W23" s="17" t="n">
        <v>68.88</v>
      </c>
      <c r="X23" s="17" t="n">
        <v>205.8</v>
      </c>
      <c r="Y23" s="17" t="inlineStr">
        <is>
          <t>PROFIT</t>
        </is>
      </c>
      <c r="Z23" s="17" t="n">
        <v>1000</v>
      </c>
      <c r="AA23" s="17" t="inlineStr">
        <is>
          <t>PAPER TRADING</t>
        </is>
      </c>
    </row>
    <row r="24">
      <c r="A24" s="16" t="inlineStr">
        <is>
          <t>2026-07-01</t>
        </is>
      </c>
      <c r="B24" s="16" t="inlineStr">
        <is>
          <t>MNQ</t>
        </is>
      </c>
      <c r="C24" s="16" t="inlineStr">
        <is>
          <t>Bull Call Spread</t>
        </is>
      </c>
      <c r="D24" s="16" t="inlineStr">
        <is>
          <t>2026-07-17</t>
        </is>
      </c>
      <c r="E24" s="16" t="n">
        <v>16</v>
      </c>
      <c r="F24" s="16" t="inlineStr">
        <is>
          <t>10:00 ET</t>
        </is>
      </c>
      <c r="G24" s="16" t="inlineStr">
        <is>
          <t>15:33 ET</t>
        </is>
      </c>
      <c r="H24" s="16" t="n">
        <v>30037</v>
      </c>
      <c r="I24" s="16" t="n">
        <v>30025</v>
      </c>
      <c r="J24" s="16" t="n">
        <v>30050</v>
      </c>
      <c r="K24" s="16" t="n">
        <v>36</v>
      </c>
      <c r="L24" s="16" t="n">
        <v>25.73</v>
      </c>
      <c r="M24" s="16" t="n">
        <v>25.78</v>
      </c>
      <c r="N24" s="16" t="n">
        <v>985.3200000000001</v>
      </c>
      <c r="O24" s="16" t="n">
        <v>873.72</v>
      </c>
      <c r="P24" s="16" t="n">
        <v>277.88</v>
      </c>
      <c r="Q24" s="16" t="n">
        <v>277.88</v>
      </c>
      <c r="R24" s="16" t="n">
        <v>1.8</v>
      </c>
      <c r="S24" s="16" t="n">
        <v>0.2</v>
      </c>
      <c r="T24" s="16" t="n">
        <v>21.6</v>
      </c>
      <c r="U24" s="16" t="n">
        <v>36</v>
      </c>
      <c r="V24" s="16" t="n">
        <v>1.44</v>
      </c>
      <c r="W24" s="16" t="n">
        <v>59.04</v>
      </c>
      <c r="X24" s="16" t="n">
        <v>-57.24</v>
      </c>
      <c r="Y24" s="16" t="inlineStr">
        <is>
          <t>FLAT</t>
        </is>
      </c>
      <c r="Z24" s="16" t="n">
        <v>1000</v>
      </c>
      <c r="AA24" s="16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MNQ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12:30 ET</t>
        </is>
      </c>
      <c r="H25" s="17" t="n">
        <v>30066.5</v>
      </c>
      <c r="I25" s="17" t="n">
        <v>30050</v>
      </c>
      <c r="J25" s="17" t="n">
        <v>30075</v>
      </c>
      <c r="K25" s="17" t="n">
        <v>37</v>
      </c>
      <c r="L25" s="17" t="n">
        <v>24.99</v>
      </c>
      <c r="M25" s="17" t="n">
        <v>32.49</v>
      </c>
      <c r="N25" s="17" t="n">
        <v>985.3099999999999</v>
      </c>
      <c r="O25" s="17" t="n">
        <v>925.37</v>
      </c>
      <c r="P25" s="17" t="n">
        <v>277.39</v>
      </c>
      <c r="Q25" s="17" t="n">
        <v>277.39</v>
      </c>
      <c r="R25" s="17" t="n">
        <v>277.5</v>
      </c>
      <c r="S25" s="17" t="n">
        <v>30</v>
      </c>
      <c r="T25" s="17" t="n">
        <v>22.2</v>
      </c>
      <c r="U25" s="17" t="n">
        <v>37</v>
      </c>
      <c r="V25" s="17" t="n">
        <v>1.48</v>
      </c>
      <c r="W25" s="17" t="n">
        <v>60.68</v>
      </c>
      <c r="X25" s="17" t="n">
        <v>216.82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MNQ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11:00 ET</t>
        </is>
      </c>
      <c r="H26" s="15" t="n">
        <v>29504</v>
      </c>
      <c r="I26" s="15" t="n">
        <v>29500</v>
      </c>
      <c r="J26" s="15" t="n">
        <v>29525</v>
      </c>
      <c r="K26" s="15" t="n">
        <v>34</v>
      </c>
      <c r="L26" s="15" t="n">
        <v>27.07</v>
      </c>
      <c r="M26" s="15" t="n">
        <v>18.95</v>
      </c>
      <c r="N26" s="15" t="n">
        <v>976.14</v>
      </c>
      <c r="O26" s="15" t="n">
        <v>779.62</v>
      </c>
      <c r="P26" s="15" t="n">
        <v>276.11</v>
      </c>
      <c r="Q26" s="15" t="n">
        <v>276.11</v>
      </c>
      <c r="R26" s="15" t="n">
        <v>-276.08</v>
      </c>
      <c r="S26" s="15" t="n">
        <v>-30</v>
      </c>
      <c r="T26" s="15" t="n">
        <v>20.4</v>
      </c>
      <c r="U26" s="15" t="n">
        <v>34</v>
      </c>
      <c r="V26" s="15" t="n">
        <v>1.36</v>
      </c>
      <c r="W26" s="15" t="n">
        <v>55.76</v>
      </c>
      <c r="X26" s="15" t="n">
        <v>-331.84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MNQ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10:20 ET</t>
        </is>
      </c>
      <c r="H27" s="15" t="n">
        <v>30060.5</v>
      </c>
      <c r="I27" s="15" t="n">
        <v>30050</v>
      </c>
      <c r="J27" s="15" t="n">
        <v>30075</v>
      </c>
      <c r="K27" s="15" t="n">
        <v>57</v>
      </c>
      <c r="L27" s="15" t="n">
        <v>15.71</v>
      </c>
      <c r="M27" s="15" t="n">
        <v>11</v>
      </c>
      <c r="N27" s="15" t="n">
        <v>988.95</v>
      </c>
      <c r="O27" s="15" t="n">
        <v>1954.53</v>
      </c>
      <c r="P27" s="15" t="n">
        <v>268.64</v>
      </c>
      <c r="Q27" s="15" t="n">
        <v>268.64</v>
      </c>
      <c r="R27" s="15" t="n">
        <v>-268.47</v>
      </c>
      <c r="S27" s="15" t="n">
        <v>-30</v>
      </c>
      <c r="T27" s="15" t="n">
        <v>34.2</v>
      </c>
      <c r="U27" s="15" t="n">
        <v>57</v>
      </c>
      <c r="V27" s="15" t="n">
        <v>2.28</v>
      </c>
      <c r="W27" s="15" t="n">
        <v>93.48</v>
      </c>
      <c r="X27" s="15" t="n">
        <v>-361.95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MNQ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11:22 ET</t>
        </is>
      </c>
      <c r="H28" s="17" t="n">
        <v>29953.5</v>
      </c>
      <c r="I28" s="17" t="n">
        <v>29950</v>
      </c>
      <c r="J28" s="17" t="n">
        <v>29975</v>
      </c>
      <c r="K28" s="17" t="n">
        <v>48</v>
      </c>
      <c r="L28" s="17" t="n">
        <v>18.95</v>
      </c>
      <c r="M28" s="17" t="n">
        <v>24.64</v>
      </c>
      <c r="N28" s="17" t="n">
        <v>988.3200000000001</v>
      </c>
      <c r="O28" s="17" t="n">
        <v>1490.4</v>
      </c>
      <c r="P28" s="17" t="n">
        <v>272.88</v>
      </c>
      <c r="Q28" s="17" t="n">
        <v>272.88</v>
      </c>
      <c r="R28" s="17" t="n">
        <v>273.12</v>
      </c>
      <c r="S28" s="17" t="n">
        <v>30</v>
      </c>
      <c r="T28" s="17" t="n">
        <v>28.8</v>
      </c>
      <c r="U28" s="17" t="n">
        <v>48</v>
      </c>
      <c r="V28" s="17" t="n">
        <v>1.92</v>
      </c>
      <c r="W28" s="17" t="n">
        <v>78.72</v>
      </c>
      <c r="X28" s="17" t="n">
        <v>194.4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MNQ</t>
        </is>
      </c>
      <c r="C29" s="16" t="inlineStr">
        <is>
          <t>Bull Call Spread</t>
        </is>
      </c>
      <c r="D29" s="16" t="inlineStr">
        <is>
          <t>2026-07-17</t>
        </is>
      </c>
      <c r="E29" s="16" t="n">
        <v>10</v>
      </c>
      <c r="F29" s="16" t="inlineStr">
        <is>
          <t>10:00 ET</t>
        </is>
      </c>
      <c r="G29" s="16" t="inlineStr">
        <is>
          <t>15:52 ET</t>
        </is>
      </c>
      <c r="H29" s="16" t="n">
        <v>29685</v>
      </c>
      <c r="I29" s="16" t="n">
        <v>29675</v>
      </c>
      <c r="J29" s="16" t="n">
        <v>29700</v>
      </c>
      <c r="K29" s="16" t="n">
        <v>51</v>
      </c>
      <c r="L29" s="16" t="n">
        <v>17.91</v>
      </c>
      <c r="M29" s="16" t="n">
        <v>18.17</v>
      </c>
      <c r="N29" s="16" t="n">
        <v>997.05</v>
      </c>
      <c r="O29" s="16" t="n">
        <v>1636.59</v>
      </c>
      <c r="P29" s="16" t="n">
        <v>274.02</v>
      </c>
      <c r="Q29" s="16" t="n">
        <v>274.02</v>
      </c>
      <c r="R29" s="16" t="n">
        <v>13.26</v>
      </c>
      <c r="S29" s="16" t="n">
        <v>1.5</v>
      </c>
      <c r="T29" s="16" t="n">
        <v>30.6</v>
      </c>
      <c r="U29" s="16" t="n">
        <v>51</v>
      </c>
      <c r="V29" s="16" t="n">
        <v>2.04</v>
      </c>
      <c r="W29" s="16" t="n">
        <v>83.64</v>
      </c>
      <c r="X29" s="16" t="n">
        <v>-70.38</v>
      </c>
      <c r="Y29" s="16" t="inlineStr">
        <is>
          <t>FLAT</t>
        </is>
      </c>
      <c r="Z29" s="16" t="n">
        <v>1000</v>
      </c>
      <c r="AA29" s="16" t="inlineStr">
        <is>
          <t>PAPER TRADING</t>
        </is>
      </c>
    </row>
    <row r="30">
      <c r="A30" s="15" t="inlineStr">
        <is>
          <t>2026-07-07</t>
        </is>
      </c>
      <c r="B30" s="15" t="inlineStr">
        <is>
          <t>MNQ</t>
        </is>
      </c>
      <c r="C30" s="15" t="inlineStr">
        <is>
          <t>Bull Call Spread</t>
        </is>
      </c>
      <c r="D30" s="15" t="inlineStr">
        <is>
          <t>2026-07-17</t>
        </is>
      </c>
      <c r="E30" s="15" t="n">
        <v>10</v>
      </c>
      <c r="F30" s="15" t="inlineStr">
        <is>
          <t>10:00 ET</t>
        </is>
      </c>
      <c r="G30" s="15" t="inlineStr">
        <is>
          <t>11:02 ET</t>
        </is>
      </c>
      <c r="H30" s="15" t="n">
        <v>29407</v>
      </c>
      <c r="I30" s="15" t="n">
        <v>29400</v>
      </c>
      <c r="J30" s="15" t="n">
        <v>29425</v>
      </c>
      <c r="K30" s="15" t="n">
        <v>54</v>
      </c>
      <c r="L30" s="15" t="n">
        <v>16.61</v>
      </c>
      <c r="M30" s="15" t="n">
        <v>11.63</v>
      </c>
      <c r="N30" s="15" t="n">
        <v>985.5</v>
      </c>
      <c r="O30" s="15" t="n">
        <v>1803.06</v>
      </c>
      <c r="P30" s="15" t="n">
        <v>269.08</v>
      </c>
      <c r="Q30" s="15" t="n">
        <v>269.08</v>
      </c>
      <c r="R30" s="15" t="n">
        <v>-268.92</v>
      </c>
      <c r="S30" s="15" t="n">
        <v>-30</v>
      </c>
      <c r="T30" s="15" t="n">
        <v>32.4</v>
      </c>
      <c r="U30" s="15" t="n">
        <v>54</v>
      </c>
      <c r="V30" s="15" t="n">
        <v>2.16</v>
      </c>
      <c r="W30" s="15" t="n">
        <v>88.56</v>
      </c>
      <c r="X30" s="15" t="n">
        <v>-357.48</v>
      </c>
      <c r="Y30" s="15" t="inlineStr">
        <is>
          <t>STOP LOSS</t>
        </is>
      </c>
      <c r="Z30" s="15" t="n">
        <v>1000</v>
      </c>
      <c r="AA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MNQ</t>
        </is>
      </c>
      <c r="C31" s="17" t="inlineStr">
        <is>
          <t>Bull Call Spread</t>
        </is>
      </c>
      <c r="D31" s="17" t="inlineStr">
        <is>
          <t>2026-07-17</t>
        </is>
      </c>
      <c r="E31" s="17" t="n">
        <v>9</v>
      </c>
      <c r="F31" s="17" t="inlineStr">
        <is>
          <t>10:00 ET</t>
        </is>
      </c>
      <c r="G31" s="17" t="inlineStr">
        <is>
          <t>11:03 ET</t>
        </is>
      </c>
      <c r="H31" s="17" t="n">
        <v>29002</v>
      </c>
      <c r="I31" s="17" t="n">
        <v>29000</v>
      </c>
      <c r="J31" s="17" t="n">
        <v>29025</v>
      </c>
      <c r="K31" s="17" t="n">
        <v>52</v>
      </c>
      <c r="L31" s="17" t="n">
        <v>17.27</v>
      </c>
      <c r="M31" s="17" t="n">
        <v>22.45</v>
      </c>
      <c r="N31" s="17" t="n">
        <v>983.3200000000001</v>
      </c>
      <c r="O31" s="17" t="n">
        <v>1701.96</v>
      </c>
      <c r="P31" s="17" t="n">
        <v>269.41</v>
      </c>
      <c r="Q31" s="17" t="n">
        <v>269.41</v>
      </c>
      <c r="R31" s="17" t="n">
        <v>269.36</v>
      </c>
      <c r="S31" s="17" t="n">
        <v>30</v>
      </c>
      <c r="T31" s="17" t="n">
        <v>31.2</v>
      </c>
      <c r="U31" s="17" t="n">
        <v>52</v>
      </c>
      <c r="V31" s="17" t="n">
        <v>2.08</v>
      </c>
      <c r="W31" s="17" t="n">
        <v>85.28</v>
      </c>
      <c r="X31" s="17" t="n">
        <v>184.08</v>
      </c>
      <c r="Y31" s="17" t="inlineStr">
        <is>
          <t>PROFIT</t>
        </is>
      </c>
      <c r="Z31" s="17" t="n">
        <v>1000</v>
      </c>
      <c r="AA31" s="17" t="inlineStr">
        <is>
          <t>PAPER TRADING</t>
        </is>
      </c>
    </row>
    <row r="32">
      <c r="A32" s="15" t="inlineStr">
        <is>
          <t>2026-07-08</t>
        </is>
      </c>
      <c r="B32" s="15" t="inlineStr">
        <is>
          <t>MNQ</t>
        </is>
      </c>
      <c r="C32" s="15" t="inlineStr">
        <is>
          <t>Bull Call Spread</t>
        </is>
      </c>
      <c r="D32" s="15" t="inlineStr">
        <is>
          <t>2026-07-17</t>
        </is>
      </c>
      <c r="E32" s="15" t="n">
        <v>9</v>
      </c>
      <c r="F32" s="15" t="inlineStr">
        <is>
          <t>10:00 ET</t>
        </is>
      </c>
      <c r="G32" s="15" t="inlineStr">
        <is>
          <t>12:45 ET</t>
        </is>
      </c>
      <c r="H32" s="15" t="n">
        <v>29393</v>
      </c>
      <c r="I32" s="15" t="n">
        <v>29375</v>
      </c>
      <c r="J32" s="15" t="n">
        <v>29400</v>
      </c>
      <c r="K32" s="15" t="n">
        <v>47</v>
      </c>
      <c r="L32" s="15" t="n">
        <v>19.26</v>
      </c>
      <c r="M32" s="15" t="n">
        <v>13.48</v>
      </c>
      <c r="N32" s="15" t="n">
        <v>982.3</v>
      </c>
      <c r="O32" s="15" t="n">
        <v>1444.78</v>
      </c>
      <c r="P32" s="15" t="n">
        <v>271.57</v>
      </c>
      <c r="Q32" s="15" t="n">
        <v>271.57</v>
      </c>
      <c r="R32" s="15" t="n">
        <v>-271.66</v>
      </c>
      <c r="S32" s="15" t="n">
        <v>-30</v>
      </c>
      <c r="T32" s="15" t="n">
        <v>28.2</v>
      </c>
      <c r="U32" s="15" t="n">
        <v>47</v>
      </c>
      <c r="V32" s="15" t="n">
        <v>1.88</v>
      </c>
      <c r="W32" s="15" t="n">
        <v>77.08</v>
      </c>
      <c r="X32" s="15" t="n">
        <v>-348.74</v>
      </c>
      <c r="Y32" s="15" t="inlineStr">
        <is>
          <t>STOP LOSS</t>
        </is>
      </c>
      <c r="Z32" s="15" t="n">
        <v>1000</v>
      </c>
      <c r="AA32" s="15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MNQ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11:09 ET</t>
        </is>
      </c>
      <c r="H33" s="17" t="n">
        <v>29837.25</v>
      </c>
      <c r="I33" s="17" t="n">
        <v>29825</v>
      </c>
      <c r="J33" s="17" t="n">
        <v>29850</v>
      </c>
      <c r="K33" s="17" t="n">
        <v>48</v>
      </c>
      <c r="L33" s="17" t="n">
        <v>18.8</v>
      </c>
      <c r="M33" s="17" t="n">
        <v>24.44</v>
      </c>
      <c r="N33" s="17" t="n">
        <v>981.12</v>
      </c>
      <c r="O33" s="17" t="n">
        <v>1497.6</v>
      </c>
      <c r="P33" s="17" t="n">
        <v>270.72</v>
      </c>
      <c r="Q33" s="17" t="n">
        <v>270.72</v>
      </c>
      <c r="R33" s="17" t="n">
        <v>270.72</v>
      </c>
      <c r="S33" s="17" t="n">
        <v>30</v>
      </c>
      <c r="T33" s="17" t="n">
        <v>28.8</v>
      </c>
      <c r="U33" s="17" t="n">
        <v>48</v>
      </c>
      <c r="V33" s="17" t="n">
        <v>1.92</v>
      </c>
      <c r="W33" s="17" t="n">
        <v>78.72</v>
      </c>
      <c r="X33" s="17" t="n">
        <v>192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MNQ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10:51 ET</t>
        </is>
      </c>
      <c r="H34" s="17" t="n">
        <v>29922.25</v>
      </c>
      <c r="I34" s="17" t="n">
        <v>29900</v>
      </c>
      <c r="J34" s="17" t="n">
        <v>29925</v>
      </c>
      <c r="K34" s="17" t="n">
        <v>44</v>
      </c>
      <c r="L34" s="17" t="n">
        <v>20.68</v>
      </c>
      <c r="M34" s="17" t="n">
        <v>26.88</v>
      </c>
      <c r="N34" s="17" t="n">
        <v>982.08</v>
      </c>
      <c r="O34" s="17" t="n">
        <v>1290.08</v>
      </c>
      <c r="P34" s="17" t="n">
        <v>272.98</v>
      </c>
      <c r="Q34" s="17" t="n">
        <v>272.98</v>
      </c>
      <c r="R34" s="17" t="n">
        <v>272.8</v>
      </c>
      <c r="S34" s="17" t="n">
        <v>30</v>
      </c>
      <c r="T34" s="17" t="n">
        <v>26.4</v>
      </c>
      <c r="U34" s="17" t="n">
        <v>44</v>
      </c>
      <c r="V34" s="17" t="n">
        <v>1.76</v>
      </c>
      <c r="W34" s="17" t="n">
        <v>72.16</v>
      </c>
      <c r="X34" s="17" t="n">
        <v>200.64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MNQ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11:41 ET</t>
        </is>
      </c>
      <c r="H35" s="17" t="n">
        <v>29854</v>
      </c>
      <c r="I35" s="17" t="n">
        <v>29850</v>
      </c>
      <c r="J35" s="17" t="n">
        <v>29875</v>
      </c>
      <c r="K35" s="17" t="n">
        <v>41</v>
      </c>
      <c r="L35" s="17" t="n">
        <v>22.23</v>
      </c>
      <c r="M35" s="17" t="n">
        <v>28.9</v>
      </c>
      <c r="N35" s="17" t="n">
        <v>978.67</v>
      </c>
      <c r="O35" s="17" t="n">
        <v>1138.57</v>
      </c>
      <c r="P35" s="17" t="n">
        <v>273.43</v>
      </c>
      <c r="Q35" s="17" t="n">
        <v>273.43</v>
      </c>
      <c r="R35" s="17" t="n">
        <v>273.47</v>
      </c>
      <c r="S35" s="17" t="n">
        <v>30</v>
      </c>
      <c r="T35" s="17" t="n">
        <v>24.6</v>
      </c>
      <c r="U35" s="17" t="n">
        <v>41</v>
      </c>
      <c r="V35" s="17" t="n">
        <v>1.64</v>
      </c>
      <c r="W35" s="17" t="n">
        <v>67.23999999999999</v>
      </c>
      <c r="X35" s="17" t="n">
        <v>206.23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5" t="inlineStr">
        <is>
          <t>2026-07-10</t>
        </is>
      </c>
      <c r="B36" s="15" t="inlineStr">
        <is>
          <t>MNQ</t>
        </is>
      </c>
      <c r="C36" s="15" t="inlineStr">
        <is>
          <t>Bull Call Spread</t>
        </is>
      </c>
      <c r="D36" s="15" t="inlineStr">
        <is>
          <t>2026-07-17</t>
        </is>
      </c>
      <c r="E36" s="15" t="n">
        <v>7</v>
      </c>
      <c r="F36" s="15" t="inlineStr">
        <is>
          <t>10:00 ET</t>
        </is>
      </c>
      <c r="G36" s="15" t="inlineStr">
        <is>
          <t>12:55 ET</t>
        </is>
      </c>
      <c r="H36" s="15" t="n">
        <v>30043.25</v>
      </c>
      <c r="I36" s="15" t="n">
        <v>30025</v>
      </c>
      <c r="J36" s="15" t="n">
        <v>30050</v>
      </c>
      <c r="K36" s="15" t="n">
        <v>42</v>
      </c>
      <c r="L36" s="15" t="n">
        <v>21.69</v>
      </c>
      <c r="M36" s="15" t="n">
        <v>15.18</v>
      </c>
      <c r="N36" s="15" t="n">
        <v>979.86</v>
      </c>
      <c r="O36" s="15" t="n">
        <v>1189.02</v>
      </c>
      <c r="P36" s="15" t="n">
        <v>273.29</v>
      </c>
      <c r="Q36" s="15" t="n">
        <v>273.29</v>
      </c>
      <c r="R36" s="15" t="n">
        <v>-273.42</v>
      </c>
      <c r="S36" s="15" t="n">
        <v>-30</v>
      </c>
      <c r="T36" s="15" t="n">
        <v>25.2</v>
      </c>
      <c r="U36" s="15" t="n">
        <v>42</v>
      </c>
      <c r="V36" s="15" t="n">
        <v>1.68</v>
      </c>
      <c r="W36" s="15" t="n">
        <v>68.88</v>
      </c>
      <c r="X36" s="15" t="n">
        <v>-342.3</v>
      </c>
      <c r="Y36" s="15" t="inlineStr">
        <is>
          <t>STOP LOSS</t>
        </is>
      </c>
      <c r="Z36" s="15" t="n">
        <v>1000</v>
      </c>
      <c r="AA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MNQ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11:40 ET</t>
        </is>
      </c>
      <c r="H37" s="17" t="n">
        <v>29671.75</v>
      </c>
      <c r="I37" s="17" t="n">
        <v>29650</v>
      </c>
      <c r="J37" s="17" t="n">
        <v>29675</v>
      </c>
      <c r="K37" s="17" t="n">
        <v>60</v>
      </c>
      <c r="L37" s="17" t="n">
        <v>14.89</v>
      </c>
      <c r="M37" s="17" t="n">
        <v>19.36</v>
      </c>
      <c r="N37" s="17" t="n">
        <v>991.8</v>
      </c>
      <c r="O37" s="17" t="n">
        <v>2106.6</v>
      </c>
      <c r="P37" s="17" t="n">
        <v>268.02</v>
      </c>
      <c r="Q37" s="17" t="n">
        <v>268.02</v>
      </c>
      <c r="R37" s="17" t="n">
        <v>268.2</v>
      </c>
      <c r="S37" s="17" t="n">
        <v>30</v>
      </c>
      <c r="T37" s="17" t="n">
        <v>36</v>
      </c>
      <c r="U37" s="17" t="n">
        <v>60</v>
      </c>
      <c r="V37" s="17" t="n">
        <v>2.4</v>
      </c>
      <c r="W37" s="17" t="n">
        <v>98.40000000000001</v>
      </c>
      <c r="X37" s="17" t="n">
        <v>169.8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6" t="inlineStr">
        <is>
          <t>2026-07-13</t>
        </is>
      </c>
      <c r="B38" s="16" t="inlineStr">
        <is>
          <t>MNQ</t>
        </is>
      </c>
      <c r="C38" s="16" t="inlineStr">
        <is>
          <t>Bull Call Spread</t>
        </is>
      </c>
      <c r="D38" s="16" t="inlineStr">
        <is>
          <t>2026-07-17</t>
        </is>
      </c>
      <c r="E38" s="16" t="n">
        <v>4</v>
      </c>
      <c r="F38" s="16" t="inlineStr">
        <is>
          <t>10:00 ET</t>
        </is>
      </c>
      <c r="G38" s="16" t="inlineStr">
        <is>
          <t>15:40 ET</t>
        </is>
      </c>
      <c r="H38" s="16" t="n">
        <v>29509.25</v>
      </c>
      <c r="I38" s="16" t="n">
        <v>29500</v>
      </c>
      <c r="J38" s="16" t="n">
        <v>29525</v>
      </c>
      <c r="K38" s="16" t="n">
        <v>75</v>
      </c>
      <c r="L38" s="16" t="n">
        <v>11.68</v>
      </c>
      <c r="M38" s="16" t="n">
        <v>11.25</v>
      </c>
      <c r="N38" s="16" t="n">
        <v>999</v>
      </c>
      <c r="O38" s="16" t="n">
        <v>2874</v>
      </c>
      <c r="P38" s="16" t="n">
        <v>262.8</v>
      </c>
      <c r="Q38" s="16" t="n">
        <v>262.8</v>
      </c>
      <c r="R38" s="16" t="n">
        <v>-32.25</v>
      </c>
      <c r="S38" s="16" t="n">
        <v>-3.7</v>
      </c>
      <c r="T38" s="16" t="n">
        <v>45</v>
      </c>
      <c r="U38" s="16" t="n">
        <v>75</v>
      </c>
      <c r="V38" s="16" t="n">
        <v>3</v>
      </c>
      <c r="W38" s="16" t="n">
        <v>123</v>
      </c>
      <c r="X38" s="16" t="n">
        <v>-155.25</v>
      </c>
      <c r="Y38" s="16" t="inlineStr">
        <is>
          <t>FLAT</t>
        </is>
      </c>
      <c r="Z38" s="16" t="n">
        <v>1000</v>
      </c>
      <c r="AA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MNQ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10:38 ET</t>
        </is>
      </c>
      <c r="H39" s="15" t="n">
        <v>29592.75</v>
      </c>
      <c r="I39" s="15" t="n">
        <v>29575</v>
      </c>
      <c r="J39" s="15" t="n">
        <v>29600</v>
      </c>
      <c r="K39" s="15" t="n">
        <v>73</v>
      </c>
      <c r="L39" s="15" t="n">
        <v>11.91</v>
      </c>
      <c r="M39" s="15" t="n">
        <v>8.34</v>
      </c>
      <c r="N39" s="15" t="n">
        <v>989.15</v>
      </c>
      <c r="O39" s="15" t="n">
        <v>2780.57</v>
      </c>
      <c r="P39" s="15" t="n">
        <v>260.83</v>
      </c>
      <c r="Q39" s="15" t="n">
        <v>260.83</v>
      </c>
      <c r="R39" s="15" t="n">
        <v>-260.61</v>
      </c>
      <c r="S39" s="15" t="n">
        <v>-30</v>
      </c>
      <c r="T39" s="15" t="n">
        <v>43.8</v>
      </c>
      <c r="U39" s="15" t="n">
        <v>73</v>
      </c>
      <c r="V39" s="15" t="n">
        <v>2.92</v>
      </c>
      <c r="W39" s="15" t="n">
        <v>119.72</v>
      </c>
      <c r="X39" s="15" t="n">
        <v>-380.33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MNQ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10:44 ET</t>
        </is>
      </c>
      <c r="H40" s="17" t="n">
        <v>29856.75</v>
      </c>
      <c r="I40" s="17" t="n">
        <v>29850</v>
      </c>
      <c r="J40" s="17" t="n">
        <v>29875</v>
      </c>
      <c r="K40" s="17" t="n">
        <v>62</v>
      </c>
      <c r="L40" s="17" t="n">
        <v>14.28</v>
      </c>
      <c r="M40" s="17" t="n">
        <v>18.56</v>
      </c>
      <c r="N40" s="17" t="n">
        <v>987.04</v>
      </c>
      <c r="O40" s="17" t="n">
        <v>2214.64</v>
      </c>
      <c r="P40" s="17" t="n">
        <v>265.61</v>
      </c>
      <c r="Q40" s="17" t="n">
        <v>265.61</v>
      </c>
      <c r="R40" s="17" t="n">
        <v>265.36</v>
      </c>
      <c r="S40" s="17" t="n">
        <v>30</v>
      </c>
      <c r="T40" s="17" t="n">
        <v>37.2</v>
      </c>
      <c r="U40" s="17" t="n">
        <v>62</v>
      </c>
      <c r="V40" s="17" t="n">
        <v>2.48</v>
      </c>
      <c r="W40" s="17" t="n">
        <v>101.68</v>
      </c>
      <c r="X40" s="17" t="n">
        <v>163.68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MNQ</t>
        </is>
      </c>
      <c r="C41" s="16" t="inlineStr">
        <is>
          <t>Bull Call Spread</t>
        </is>
      </c>
      <c r="D41" s="16" t="inlineStr">
        <is>
          <t>2026-07-17</t>
        </is>
      </c>
      <c r="E41" s="16" t="n">
        <v>2</v>
      </c>
      <c r="F41" s="16" t="inlineStr">
        <is>
          <t>10:00 ET</t>
        </is>
      </c>
      <c r="G41" s="16" t="inlineStr">
        <is>
          <t>16:19 ET</t>
        </is>
      </c>
      <c r="H41" s="16" t="n">
        <v>29995.75</v>
      </c>
      <c r="I41" s="16" t="n">
        <v>29975</v>
      </c>
      <c r="J41" s="16" t="n">
        <v>30000</v>
      </c>
      <c r="K41" s="16" t="n">
        <v>66</v>
      </c>
      <c r="L41" s="16" t="n">
        <v>13.42</v>
      </c>
      <c r="M41" s="16" t="n">
        <v>12.95</v>
      </c>
      <c r="N41" s="16" t="n">
        <v>993.96</v>
      </c>
      <c r="O41" s="16" t="n">
        <v>2414.28</v>
      </c>
      <c r="P41" s="16" t="n">
        <v>265.72</v>
      </c>
      <c r="Q41" s="16" t="n">
        <v>265.72</v>
      </c>
      <c r="R41" s="16" t="n">
        <v>-31.02</v>
      </c>
      <c r="S41" s="16" t="n">
        <v>-3.5</v>
      </c>
      <c r="T41" s="16" t="n">
        <v>39.6</v>
      </c>
      <c r="U41" s="16" t="n">
        <v>66</v>
      </c>
      <c r="V41" s="16" t="n">
        <v>2.64</v>
      </c>
      <c r="W41" s="16" t="n">
        <v>108.24</v>
      </c>
      <c r="X41" s="16" t="n">
        <v>-139.26</v>
      </c>
      <c r="Y41" s="16" t="inlineStr">
        <is>
          <t>FLAT</t>
        </is>
      </c>
      <c r="Z41" s="16" t="n">
        <v>1000</v>
      </c>
      <c r="AA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MNQ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12:24 ET</t>
        </is>
      </c>
      <c r="H42" s="17" t="n">
        <v>29575.25</v>
      </c>
      <c r="I42" s="17" t="n">
        <v>29575</v>
      </c>
      <c r="J42" s="17" t="n">
        <v>29600</v>
      </c>
      <c r="K42" s="17" t="n">
        <v>72</v>
      </c>
      <c r="L42" s="17" t="n">
        <v>12.23</v>
      </c>
      <c r="M42" s="17" t="n">
        <v>15.9</v>
      </c>
      <c r="N42" s="17" t="n">
        <v>998.64</v>
      </c>
      <c r="O42" s="17" t="n">
        <v>2719.44</v>
      </c>
      <c r="P42" s="17" t="n">
        <v>264.17</v>
      </c>
      <c r="Q42" s="17" t="n">
        <v>264.17</v>
      </c>
      <c r="R42" s="17" t="n">
        <v>264.24</v>
      </c>
      <c r="S42" s="17" t="n">
        <v>30</v>
      </c>
      <c r="T42" s="17" t="n">
        <v>43.2</v>
      </c>
      <c r="U42" s="17" t="n">
        <v>72</v>
      </c>
      <c r="V42" s="17" t="n">
        <v>2.88</v>
      </c>
      <c r="W42" s="17" t="n">
        <v>118.08</v>
      </c>
      <c r="X42" s="17" t="n">
        <v>146.16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MNQ</t>
        </is>
      </c>
      <c r="C43" s="17" t="inlineStr">
        <is>
          <t>Bull Call Spread</t>
        </is>
      </c>
      <c r="D43" s="17" t="inlineStr">
        <is>
          <t>2026-07-17</t>
        </is>
      </c>
      <c r="E43" s="17" t="n">
        <v>1</v>
      </c>
      <c r="F43" s="17" t="inlineStr">
        <is>
          <t>10:00 ET</t>
        </is>
      </c>
      <c r="G43" s="17" t="inlineStr">
        <is>
          <t>11:52 ET</t>
        </is>
      </c>
      <c r="H43" s="17" t="n">
        <v>29698.5</v>
      </c>
      <c r="I43" s="17" t="n">
        <v>29675</v>
      </c>
      <c r="J43" s="17" t="n">
        <v>29700</v>
      </c>
      <c r="K43" s="17" t="n">
        <v>65</v>
      </c>
      <c r="L43" s="17" t="n">
        <v>13.73</v>
      </c>
      <c r="M43" s="17" t="n">
        <v>17.85</v>
      </c>
      <c r="N43" s="17" t="n">
        <v>999.05</v>
      </c>
      <c r="O43" s="17" t="n">
        <v>2357.55</v>
      </c>
      <c r="P43" s="17" t="n">
        <v>267.74</v>
      </c>
      <c r="Q43" s="17" t="n">
        <v>267.74</v>
      </c>
      <c r="R43" s="17" t="n">
        <v>267.8</v>
      </c>
      <c r="S43" s="17" t="n">
        <v>30</v>
      </c>
      <c r="T43" s="17" t="n">
        <v>39</v>
      </c>
      <c r="U43" s="17" t="n">
        <v>65</v>
      </c>
      <c r="V43" s="17" t="n">
        <v>2.6</v>
      </c>
      <c r="W43" s="17" t="n">
        <v>106.6</v>
      </c>
      <c r="X43" s="17" t="n">
        <v>161.2</v>
      </c>
      <c r="Y43" s="17" t="inlineStr">
        <is>
          <t>PROFIT</t>
        </is>
      </c>
      <c r="Z43" s="17" t="n">
        <v>1000</v>
      </c>
      <c r="AA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MNQ</t>
        </is>
      </c>
      <c r="C44" s="15" t="inlineStr">
        <is>
          <t>Bull Call Spread</t>
        </is>
      </c>
      <c r="D44" s="15" t="inlineStr">
        <is>
          <t>2026-07-17</t>
        </is>
      </c>
      <c r="E44" s="15" t="n">
        <v>1</v>
      </c>
      <c r="F44" s="15" t="inlineStr">
        <is>
          <t>10:00 ET</t>
        </is>
      </c>
      <c r="G44" s="15" t="inlineStr">
        <is>
          <t>10:19 ET</t>
        </is>
      </c>
      <c r="H44" s="15" t="n">
        <v>29429.75</v>
      </c>
      <c r="I44" s="15" t="n">
        <v>29425</v>
      </c>
      <c r="J44" s="15" t="n">
        <v>29450</v>
      </c>
      <c r="K44" s="15" t="n">
        <v>64</v>
      </c>
      <c r="L44" s="15" t="n">
        <v>13.89</v>
      </c>
      <c r="M44" s="15" t="n">
        <v>9.720000000000001</v>
      </c>
      <c r="N44" s="15" t="n">
        <v>993.92</v>
      </c>
      <c r="O44" s="15" t="n">
        <v>2311.04</v>
      </c>
      <c r="P44" s="15" t="n">
        <v>266.69</v>
      </c>
      <c r="Q44" s="15" t="n">
        <v>266.69</v>
      </c>
      <c r="R44" s="15" t="n">
        <v>-266.88</v>
      </c>
      <c r="S44" s="15" t="n">
        <v>-30</v>
      </c>
      <c r="T44" s="15" t="n">
        <v>38.4</v>
      </c>
      <c r="U44" s="15" t="n">
        <v>64</v>
      </c>
      <c r="V44" s="15" t="n">
        <v>2.56</v>
      </c>
      <c r="W44" s="15" t="n">
        <v>104.96</v>
      </c>
      <c r="X44" s="15" t="n">
        <v>-371.84</v>
      </c>
      <c r="Y44" s="15" t="inlineStr">
        <is>
          <t>STOP LOSS</t>
        </is>
      </c>
      <c r="Z44" s="15" t="n">
        <v>1000</v>
      </c>
      <c r="AA44" s="15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MNQ</t>
        </is>
      </c>
      <c r="C45" s="17" t="inlineStr">
        <is>
          <t>Bull Call Spread</t>
        </is>
      </c>
      <c r="D45" s="17" t="inlineStr">
        <is>
          <t>2026-08-21</t>
        </is>
      </c>
      <c r="E45" s="17" t="n">
        <v>35</v>
      </c>
      <c r="F45" s="17" t="inlineStr">
        <is>
          <t>10:00 ET</t>
        </is>
      </c>
      <c r="G45" s="17" t="inlineStr">
        <is>
          <t>11:08 ET</t>
        </is>
      </c>
      <c r="H45" s="17" t="n">
        <v>28740.25</v>
      </c>
      <c r="I45" s="17" t="n">
        <v>28725</v>
      </c>
      <c r="J45" s="17" t="n">
        <v>28750</v>
      </c>
      <c r="K45" s="17" t="n">
        <v>37</v>
      </c>
      <c r="L45" s="17" t="n">
        <v>24.92</v>
      </c>
      <c r="M45" s="17" t="n">
        <v>32.4</v>
      </c>
      <c r="N45" s="17" t="n">
        <v>982.72</v>
      </c>
      <c r="O45" s="17" t="n">
        <v>927.96</v>
      </c>
      <c r="P45" s="17" t="n">
        <v>276.61</v>
      </c>
      <c r="Q45" s="17" t="n">
        <v>276.61</v>
      </c>
      <c r="R45" s="17" t="n">
        <v>276.76</v>
      </c>
      <c r="S45" s="17" t="n">
        <v>30</v>
      </c>
      <c r="T45" s="17" t="n">
        <v>22.2</v>
      </c>
      <c r="U45" s="17" t="n">
        <v>37</v>
      </c>
      <c r="V45" s="17" t="n">
        <v>1.48</v>
      </c>
      <c r="W45" s="17" t="n">
        <v>60.68</v>
      </c>
      <c r="X45" s="17" t="n">
        <v>216.08</v>
      </c>
      <c r="Y45" s="17" t="inlineStr">
        <is>
          <t>PROFIT</t>
        </is>
      </c>
      <c r="Z45" s="17" t="n">
        <v>1000</v>
      </c>
      <c r="AA45" s="17" t="inlineStr">
        <is>
          <t>PAPER TRADING</t>
        </is>
      </c>
    </row>
    <row r="46">
      <c r="A46" s="16" t="inlineStr">
        <is>
          <t>2026-07-17</t>
        </is>
      </c>
      <c r="B46" s="16" t="inlineStr">
        <is>
          <t>MNQ</t>
        </is>
      </c>
      <c r="C46" s="16" t="inlineStr">
        <is>
          <t>Bull Call Spread</t>
        </is>
      </c>
      <c r="D46" s="16" t="inlineStr">
        <is>
          <t>2026-08-21</t>
        </is>
      </c>
      <c r="E46" s="16" t="n">
        <v>35</v>
      </c>
      <c r="F46" s="16" t="inlineStr">
        <is>
          <t>10:00 ET</t>
        </is>
      </c>
      <c r="G46" s="16" t="inlineStr">
        <is>
          <t>15:23 ET</t>
        </is>
      </c>
      <c r="H46" s="16" t="n">
        <v>28699</v>
      </c>
      <c r="I46" s="16" t="n">
        <v>28675</v>
      </c>
      <c r="J46" s="16" t="n">
        <v>28700</v>
      </c>
      <c r="K46" s="16" t="n">
        <v>39</v>
      </c>
      <c r="L46" s="16" t="n">
        <v>23.38</v>
      </c>
      <c r="M46" s="16" t="n">
        <v>24.11</v>
      </c>
      <c r="N46" s="16" t="n">
        <v>975.78</v>
      </c>
      <c r="O46" s="16" t="n">
        <v>1038.18</v>
      </c>
      <c r="P46" s="16" t="n">
        <v>273.55</v>
      </c>
      <c r="Q46" s="16" t="n">
        <v>273.55</v>
      </c>
      <c r="R46" s="16" t="n">
        <v>28.47</v>
      </c>
      <c r="S46" s="16" t="n">
        <v>3.1</v>
      </c>
      <c r="T46" s="16" t="n">
        <v>23.4</v>
      </c>
      <c r="U46" s="16" t="n">
        <v>39</v>
      </c>
      <c r="V46" s="16" t="n">
        <v>1.56</v>
      </c>
      <c r="W46" s="16" t="n">
        <v>63.96</v>
      </c>
      <c r="X46" s="16" t="n">
        <v>-35.49</v>
      </c>
      <c r="Y46" s="16" t="inlineStr">
        <is>
          <t>FLAT</t>
        </is>
      </c>
      <c r="Z46" s="16" t="n">
        <v>1000</v>
      </c>
      <c r="AA46" s="16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MNQ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15:20 ET</t>
        </is>
      </c>
      <c r="H47" s="16" t="n">
        <v>28777.75</v>
      </c>
      <c r="I47" s="16" t="n">
        <v>28775</v>
      </c>
      <c r="J47" s="16" t="n">
        <v>28800</v>
      </c>
      <c r="K47" s="16" t="n">
        <v>36</v>
      </c>
      <c r="L47" s="16" t="n">
        <v>25.66</v>
      </c>
      <c r="M47" s="16" t="n">
        <v>26.57</v>
      </c>
      <c r="N47" s="16" t="n">
        <v>982.8</v>
      </c>
      <c r="O47" s="16" t="n">
        <v>876.24</v>
      </c>
      <c r="P47" s="16" t="n">
        <v>277.13</v>
      </c>
      <c r="Q47" s="16" t="n">
        <v>277.13</v>
      </c>
      <c r="R47" s="16" t="n">
        <v>32.76</v>
      </c>
      <c r="S47" s="16" t="n">
        <v>3.5</v>
      </c>
      <c r="T47" s="16" t="n">
        <v>21.6</v>
      </c>
      <c r="U47" s="16" t="n">
        <v>36</v>
      </c>
      <c r="V47" s="16" t="n">
        <v>1.44</v>
      </c>
      <c r="W47" s="16" t="n">
        <v>59.04</v>
      </c>
      <c r="X47" s="16" t="n">
        <v>-26.28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MNQ</t>
        </is>
      </c>
      <c r="C48" s="15" t="inlineStr">
        <is>
          <t>Bull Call Spread</t>
        </is>
      </c>
      <c r="D48" s="15" t="inlineStr">
        <is>
          <t>2026-08-21</t>
        </is>
      </c>
      <c r="E48" s="15" t="n">
        <v>32</v>
      </c>
      <c r="F48" s="15" t="inlineStr">
        <is>
          <t>10:00 ET</t>
        </is>
      </c>
      <c r="G48" s="15" t="inlineStr">
        <is>
          <t>12:05 ET</t>
        </is>
      </c>
      <c r="H48" s="15" t="n">
        <v>29007.25</v>
      </c>
      <c r="I48" s="15" t="n">
        <v>29000</v>
      </c>
      <c r="J48" s="15" t="n">
        <v>29025</v>
      </c>
      <c r="K48" s="15" t="n">
        <v>43</v>
      </c>
      <c r="L48" s="15" t="n">
        <v>21.28</v>
      </c>
      <c r="M48" s="15" t="n">
        <v>14.9</v>
      </c>
      <c r="N48" s="15" t="n">
        <v>985.5599999999999</v>
      </c>
      <c r="O48" s="15" t="n">
        <v>1234.96</v>
      </c>
      <c r="P48" s="15" t="n">
        <v>274.51</v>
      </c>
      <c r="Q48" s="15" t="n">
        <v>274.51</v>
      </c>
      <c r="R48" s="15" t="n">
        <v>-274.34</v>
      </c>
      <c r="S48" s="15" t="n">
        <v>-30</v>
      </c>
      <c r="T48" s="15" t="n">
        <v>25.8</v>
      </c>
      <c r="U48" s="15" t="n">
        <v>43</v>
      </c>
      <c r="V48" s="15" t="n">
        <v>1.72</v>
      </c>
      <c r="W48" s="15" t="n">
        <v>70.52</v>
      </c>
      <c r="X48" s="15" t="n">
        <v>-344.86</v>
      </c>
      <c r="Y48" s="15" t="inlineStr">
        <is>
          <t>STOP LOSS</t>
        </is>
      </c>
      <c r="Z48" s="15" t="n">
        <v>1000</v>
      </c>
      <c r="AA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MNQ</t>
        </is>
      </c>
      <c r="C49" s="15" t="inlineStr">
        <is>
          <t>Bull Call Spread</t>
        </is>
      </c>
      <c r="D49" s="15" t="inlineStr">
        <is>
          <t>2026-08-21</t>
        </is>
      </c>
      <c r="E49" s="15" t="n">
        <v>31</v>
      </c>
      <c r="F49" s="15" t="inlineStr">
        <is>
          <t>10:00 ET</t>
        </is>
      </c>
      <c r="G49" s="15" t="inlineStr">
        <is>
          <t>12:13 ET</t>
        </is>
      </c>
      <c r="H49" s="15" t="n">
        <v>29113.25</v>
      </c>
      <c r="I49" s="15" t="n">
        <v>29100</v>
      </c>
      <c r="J49" s="15" t="n">
        <v>29125</v>
      </c>
      <c r="K49" s="15" t="n">
        <v>41</v>
      </c>
      <c r="L49" s="15" t="n">
        <v>22.45</v>
      </c>
      <c r="M49" s="15" t="n">
        <v>15.71</v>
      </c>
      <c r="N49" s="15" t="n">
        <v>987.6900000000001</v>
      </c>
      <c r="O49" s="15" t="n">
        <v>1129.55</v>
      </c>
      <c r="P49" s="15" t="n">
        <v>276.13</v>
      </c>
      <c r="Q49" s="15" t="n">
        <v>276.13</v>
      </c>
      <c r="R49" s="15" t="n">
        <v>-276.34</v>
      </c>
      <c r="S49" s="15" t="n">
        <v>-30</v>
      </c>
      <c r="T49" s="15" t="n">
        <v>24.6</v>
      </c>
      <c r="U49" s="15" t="n">
        <v>41</v>
      </c>
      <c r="V49" s="15" t="n">
        <v>1.64</v>
      </c>
      <c r="W49" s="15" t="n">
        <v>67.23999999999999</v>
      </c>
      <c r="X49" s="15" t="n">
        <v>-343.58</v>
      </c>
      <c r="Y49" s="15" t="inlineStr">
        <is>
          <t>STOP LOSS</t>
        </is>
      </c>
      <c r="Z49" s="15" t="n">
        <v>1000</v>
      </c>
      <c r="AA49" s="15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MNQ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12:39 ET</t>
        </is>
      </c>
      <c r="H50" s="17" t="n">
        <v>29292.25</v>
      </c>
      <c r="I50" s="17" t="n">
        <v>29275</v>
      </c>
      <c r="J50" s="17" t="n">
        <v>29300</v>
      </c>
      <c r="K50" s="17" t="n">
        <v>35</v>
      </c>
      <c r="L50" s="17" t="n">
        <v>26.73</v>
      </c>
      <c r="M50" s="17" t="n">
        <v>34.75</v>
      </c>
      <c r="N50" s="17" t="n">
        <v>992.95</v>
      </c>
      <c r="O50" s="17" t="n">
        <v>814.45</v>
      </c>
      <c r="P50" s="17" t="n">
        <v>280.66</v>
      </c>
      <c r="Q50" s="17" t="n">
        <v>280.66</v>
      </c>
      <c r="R50" s="17" t="n">
        <v>280.7</v>
      </c>
      <c r="S50" s="17" t="n">
        <v>30</v>
      </c>
      <c r="T50" s="17" t="n">
        <v>21</v>
      </c>
      <c r="U50" s="17" t="n">
        <v>35</v>
      </c>
      <c r="V50" s="17" t="n">
        <v>1.4</v>
      </c>
      <c r="W50" s="17" t="n">
        <v>57.4</v>
      </c>
      <c r="X50" s="17" t="n">
        <v>223.3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MNQ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12:47 ET</t>
        </is>
      </c>
      <c r="H51" s="15" t="n">
        <v>29134</v>
      </c>
      <c r="I51" s="15" t="n">
        <v>29125</v>
      </c>
      <c r="J51" s="15" t="n">
        <v>29150</v>
      </c>
      <c r="K51" s="15" t="n">
        <v>37</v>
      </c>
      <c r="L51" s="15" t="n">
        <v>24.84</v>
      </c>
      <c r="M51" s="15" t="n">
        <v>17.39</v>
      </c>
      <c r="N51" s="15" t="n">
        <v>979.76</v>
      </c>
      <c r="O51" s="15" t="n">
        <v>930.92</v>
      </c>
      <c r="P51" s="15" t="n">
        <v>275.72</v>
      </c>
      <c r="Q51" s="15" t="n">
        <v>275.72</v>
      </c>
      <c r="R51" s="15" t="n">
        <v>-275.65</v>
      </c>
      <c r="S51" s="15" t="n">
        <v>-30</v>
      </c>
      <c r="T51" s="15" t="n">
        <v>22.2</v>
      </c>
      <c r="U51" s="15" t="n">
        <v>37</v>
      </c>
      <c r="V51" s="15" t="n">
        <v>1.48</v>
      </c>
      <c r="W51" s="15" t="n">
        <v>60.68</v>
      </c>
      <c r="X51" s="15" t="n">
        <v>-336.33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MNQ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11:15 ET</t>
        </is>
      </c>
      <c r="H52" s="17" t="n">
        <v>29323</v>
      </c>
      <c r="I52" s="17" t="n">
        <v>29300</v>
      </c>
      <c r="J52" s="17" t="n">
        <v>29325</v>
      </c>
      <c r="K52" s="17" t="n">
        <v>38</v>
      </c>
      <c r="L52" s="17" t="n">
        <v>24.5</v>
      </c>
      <c r="M52" s="17" t="n">
        <v>31.85</v>
      </c>
      <c r="N52" s="17" t="n">
        <v>993.3200000000001</v>
      </c>
      <c r="O52" s="17" t="n">
        <v>969</v>
      </c>
      <c r="P52" s="17" t="n">
        <v>279.3</v>
      </c>
      <c r="Q52" s="17" t="n">
        <v>279.3</v>
      </c>
      <c r="R52" s="17" t="n">
        <v>279.3</v>
      </c>
      <c r="S52" s="17" t="n">
        <v>30</v>
      </c>
      <c r="T52" s="17" t="n">
        <v>22.8</v>
      </c>
      <c r="U52" s="17" t="n">
        <v>38</v>
      </c>
      <c r="V52" s="17" t="n">
        <v>1.52</v>
      </c>
      <c r="W52" s="17" t="n">
        <v>62.32</v>
      </c>
      <c r="X52" s="17" t="n">
        <v>216.98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MNQ</t>
        </is>
      </c>
      <c r="C53" s="16" t="inlineStr">
        <is>
          <t>Bull Call Spread</t>
        </is>
      </c>
      <c r="D53" s="16" t="inlineStr">
        <is>
          <t>2026-08-21</t>
        </is>
      </c>
      <c r="E53" s="16" t="n">
        <v>29</v>
      </c>
      <c r="F53" s="16" t="inlineStr">
        <is>
          <t>10:00 ET</t>
        </is>
      </c>
      <c r="G53" s="16" t="inlineStr">
        <is>
          <t>15:00 ET</t>
        </is>
      </c>
      <c r="H53" s="16" t="n">
        <v>29086</v>
      </c>
      <c r="I53" s="16" t="n">
        <v>29075</v>
      </c>
      <c r="J53" s="16" t="n">
        <v>29100</v>
      </c>
      <c r="K53" s="16" t="n">
        <v>42</v>
      </c>
      <c r="L53" s="16" t="n">
        <v>21.87</v>
      </c>
      <c r="M53" s="16" t="n">
        <v>21.21</v>
      </c>
      <c r="N53" s="16" t="n">
        <v>987.42</v>
      </c>
      <c r="O53" s="16" t="n">
        <v>1181.46</v>
      </c>
      <c r="P53" s="16" t="n">
        <v>275.56</v>
      </c>
      <c r="Q53" s="16" t="n">
        <v>275.56</v>
      </c>
      <c r="R53" s="16" t="n">
        <v>-27.72</v>
      </c>
      <c r="S53" s="16" t="n">
        <v>-3</v>
      </c>
      <c r="T53" s="16" t="n">
        <v>25.2</v>
      </c>
      <c r="U53" s="16" t="n">
        <v>42</v>
      </c>
      <c r="V53" s="16" t="n">
        <v>1.68</v>
      </c>
      <c r="W53" s="16" t="n">
        <v>68.88</v>
      </c>
      <c r="X53" s="16" t="n">
        <v>-96.59999999999999</v>
      </c>
      <c r="Y53" s="16" t="inlineStr">
        <is>
          <t>FLAT</t>
        </is>
      </c>
      <c r="Z53" s="16" t="n">
        <v>1000</v>
      </c>
      <c r="AA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MNQ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12:42 ET</t>
        </is>
      </c>
      <c r="H54" s="17" t="n">
        <v>28512.5</v>
      </c>
      <c r="I54" s="17" t="n">
        <v>28500</v>
      </c>
      <c r="J54" s="17" t="n">
        <v>28525</v>
      </c>
      <c r="K54" s="17" t="n">
        <v>37</v>
      </c>
      <c r="L54" s="17" t="n">
        <v>25.01</v>
      </c>
      <c r="M54" s="17" t="n">
        <v>32.51</v>
      </c>
      <c r="N54" s="17" t="n">
        <v>986.05</v>
      </c>
      <c r="O54" s="17" t="n">
        <v>924.63</v>
      </c>
      <c r="P54" s="17" t="n">
        <v>277.61</v>
      </c>
      <c r="Q54" s="17" t="n">
        <v>277.61</v>
      </c>
      <c r="R54" s="17" t="n">
        <v>277.5</v>
      </c>
      <c r="S54" s="17" t="n">
        <v>30</v>
      </c>
      <c r="T54" s="17" t="n">
        <v>22.2</v>
      </c>
      <c r="U54" s="17" t="n">
        <v>37</v>
      </c>
      <c r="V54" s="17" t="n">
        <v>1.48</v>
      </c>
      <c r="W54" s="17" t="n">
        <v>60.68</v>
      </c>
      <c r="X54" s="17" t="n">
        <v>216.82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6" t="inlineStr">
        <is>
          <t>2026-07-24</t>
        </is>
      </c>
      <c r="B55" s="16" t="inlineStr">
        <is>
          <t>MNQ</t>
        </is>
      </c>
      <c r="C55" s="16" t="inlineStr">
        <is>
          <t>Bull Call Spread</t>
        </is>
      </c>
      <c r="D55" s="16" t="inlineStr">
        <is>
          <t>2026-08-21</t>
        </is>
      </c>
      <c r="E55" s="16" t="n">
        <v>28</v>
      </c>
      <c r="F55" s="16" t="inlineStr">
        <is>
          <t>10:00 ET</t>
        </is>
      </c>
      <c r="G55" s="16" t="inlineStr">
        <is>
          <t>15:46 ET</t>
        </is>
      </c>
      <c r="H55" s="16" t="n">
        <v>28526</v>
      </c>
      <c r="I55" s="16" t="n">
        <v>28525</v>
      </c>
      <c r="J55" s="16" t="n">
        <v>28550</v>
      </c>
      <c r="K55" s="16" t="n">
        <v>39</v>
      </c>
      <c r="L55" s="16" t="n">
        <v>23.92</v>
      </c>
      <c r="M55" s="16" t="n">
        <v>22.91</v>
      </c>
      <c r="N55" s="16" t="n">
        <v>996.84</v>
      </c>
      <c r="O55" s="16" t="n">
        <v>1017.12</v>
      </c>
      <c r="P55" s="16" t="n">
        <v>279.86</v>
      </c>
      <c r="Q55" s="16" t="n">
        <v>279.86</v>
      </c>
      <c r="R55" s="16" t="n">
        <v>-39.39</v>
      </c>
      <c r="S55" s="16" t="n">
        <v>-4.2</v>
      </c>
      <c r="T55" s="16" t="n">
        <v>23.4</v>
      </c>
      <c r="U55" s="16" t="n">
        <v>39</v>
      </c>
      <c r="V55" s="16" t="n">
        <v>1.56</v>
      </c>
      <c r="W55" s="16" t="n">
        <v>63.96</v>
      </c>
      <c r="X55" s="16" t="n">
        <v>-103.35</v>
      </c>
      <c r="Y55" s="16" t="inlineStr">
        <is>
          <t>FLAT</t>
        </is>
      </c>
      <c r="Z55" s="16" t="n">
        <v>1000</v>
      </c>
      <c r="AA55" s="16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MNQ</t>
        </is>
      </c>
      <c r="C56" s="17" t="inlineStr">
        <is>
          <t>Bull Call Spread</t>
        </is>
      </c>
      <c r="D56" s="17" t="inlineStr">
        <is>
          <t>2026-08-21</t>
        </is>
      </c>
      <c r="E56" s="17" t="n">
        <v>28</v>
      </c>
      <c r="F56" s="17" t="inlineStr">
        <is>
          <t>10:00 ET</t>
        </is>
      </c>
      <c r="G56" s="17" t="inlineStr">
        <is>
          <t>11:52 ET</t>
        </is>
      </c>
      <c r="H56" s="17" t="n">
        <v>28492.5</v>
      </c>
      <c r="I56" s="17" t="n">
        <v>28475</v>
      </c>
      <c r="J56" s="17" t="n">
        <v>28500</v>
      </c>
      <c r="K56" s="17" t="n">
        <v>45</v>
      </c>
      <c r="L56" s="17" t="n">
        <v>20.52</v>
      </c>
      <c r="M56" s="17" t="n">
        <v>26.68</v>
      </c>
      <c r="N56" s="17" t="n">
        <v>997.2</v>
      </c>
      <c r="O56" s="17" t="n">
        <v>1326.6</v>
      </c>
      <c r="P56" s="17" t="n">
        <v>277.02</v>
      </c>
      <c r="Q56" s="17" t="n">
        <v>277.02</v>
      </c>
      <c r="R56" s="17" t="n">
        <v>277.2</v>
      </c>
      <c r="S56" s="17" t="n">
        <v>30</v>
      </c>
      <c r="T56" s="17" t="n">
        <v>27</v>
      </c>
      <c r="U56" s="17" t="n">
        <v>45</v>
      </c>
      <c r="V56" s="17" t="n">
        <v>1.8</v>
      </c>
      <c r="W56" s="17" t="n">
        <v>73.8</v>
      </c>
      <c r="X56" s="17" t="n">
        <v>203.4</v>
      </c>
      <c r="Y56" s="17" t="inlineStr">
        <is>
          <t>PROFIT</t>
        </is>
      </c>
      <c r="Z56" s="17" t="n">
        <v>1000</v>
      </c>
      <c r="AA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MNQ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11:26 ET</t>
        </is>
      </c>
      <c r="H57" s="17" t="n">
        <v>28702.75</v>
      </c>
      <c r="I57" s="17" t="n">
        <v>28700</v>
      </c>
      <c r="J57" s="17" t="n">
        <v>28725</v>
      </c>
      <c r="K57" s="17" t="n">
        <v>46</v>
      </c>
      <c r="L57" s="17" t="n">
        <v>20.07</v>
      </c>
      <c r="M57" s="17" t="n">
        <v>26.09</v>
      </c>
      <c r="N57" s="17" t="n">
        <v>998.66</v>
      </c>
      <c r="O57" s="17" t="n">
        <v>1376.78</v>
      </c>
      <c r="P57" s="17" t="n">
        <v>276.97</v>
      </c>
      <c r="Q57" s="17" t="n">
        <v>276.97</v>
      </c>
      <c r="R57" s="17" t="n">
        <v>276.92</v>
      </c>
      <c r="S57" s="17" t="n">
        <v>30</v>
      </c>
      <c r="T57" s="17" t="n">
        <v>27.6</v>
      </c>
      <c r="U57" s="17" t="n">
        <v>46</v>
      </c>
      <c r="V57" s="17" t="n">
        <v>1.84</v>
      </c>
      <c r="W57" s="17" t="n">
        <v>75.44</v>
      </c>
      <c r="X57" s="17" t="n">
        <v>201.48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MNQ</t>
        </is>
      </c>
      <c r="C58" s="16" t="inlineStr">
        <is>
          <t>Bull Call Spread</t>
        </is>
      </c>
      <c r="D58" s="16" t="inlineStr">
        <is>
          <t>2026-08-21</t>
        </is>
      </c>
      <c r="E58" s="16" t="n">
        <v>25</v>
      </c>
      <c r="F58" s="16" t="inlineStr">
        <is>
          <t>10:00 ET</t>
        </is>
      </c>
      <c r="G58" s="16" t="inlineStr">
        <is>
          <t>16:22 ET</t>
        </is>
      </c>
      <c r="H58" s="16" t="n">
        <v>28092</v>
      </c>
      <c r="I58" s="16" t="n">
        <v>28075</v>
      </c>
      <c r="J58" s="16" t="n">
        <v>28100</v>
      </c>
      <c r="K58" s="16" t="n">
        <v>34</v>
      </c>
      <c r="L58" s="16" t="n">
        <v>26.97</v>
      </c>
      <c r="M58" s="16" t="n">
        <v>26.08</v>
      </c>
      <c r="N58" s="16" t="n">
        <v>972.74</v>
      </c>
      <c r="O58" s="16" t="n">
        <v>783.02</v>
      </c>
      <c r="P58" s="16" t="n">
        <v>275.09</v>
      </c>
      <c r="Q58" s="16" t="n">
        <v>275.09</v>
      </c>
      <c r="R58" s="16" t="n">
        <v>-30.26</v>
      </c>
      <c r="S58" s="16" t="n">
        <v>-3.3</v>
      </c>
      <c r="T58" s="16" t="n">
        <v>20.4</v>
      </c>
      <c r="U58" s="16" t="n">
        <v>34</v>
      </c>
      <c r="V58" s="16" t="n">
        <v>1.36</v>
      </c>
      <c r="W58" s="16" t="n">
        <v>55.76</v>
      </c>
      <c r="X58" s="16" t="n">
        <v>-86.02</v>
      </c>
      <c r="Y58" s="16" t="inlineStr">
        <is>
          <t>FLAT</t>
        </is>
      </c>
      <c r="Z58" s="16" t="n">
        <v>1000</v>
      </c>
      <c r="AA58" s="16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MNQ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12:45 ET</t>
        </is>
      </c>
      <c r="H59" s="17" t="n">
        <v>27858.25</v>
      </c>
      <c r="I59" s="17" t="n">
        <v>27850</v>
      </c>
      <c r="J59" s="17" t="n">
        <v>27875</v>
      </c>
      <c r="K59" s="17" t="n">
        <v>43</v>
      </c>
      <c r="L59" s="17" t="n">
        <v>21.39</v>
      </c>
      <c r="M59" s="17" t="n">
        <v>27.81</v>
      </c>
      <c r="N59" s="17" t="n">
        <v>990.29</v>
      </c>
      <c r="O59" s="17" t="n">
        <v>1230.23</v>
      </c>
      <c r="P59" s="17" t="n">
        <v>275.93</v>
      </c>
      <c r="Q59" s="17" t="n">
        <v>275.93</v>
      </c>
      <c r="R59" s="17" t="n">
        <v>276.06</v>
      </c>
      <c r="S59" s="17" t="n">
        <v>30</v>
      </c>
      <c r="T59" s="17" t="n">
        <v>25.8</v>
      </c>
      <c r="U59" s="17" t="n">
        <v>43</v>
      </c>
      <c r="V59" s="17" t="n">
        <v>1.72</v>
      </c>
      <c r="W59" s="17" t="n">
        <v>70.52</v>
      </c>
      <c r="X59" s="17" t="n">
        <v>205.54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MNQ</t>
        </is>
      </c>
      <c r="C60" s="16" t="inlineStr">
        <is>
          <t>Bull Call Spread</t>
        </is>
      </c>
      <c r="D60" s="16" t="inlineStr">
        <is>
          <t>2026-08-21</t>
        </is>
      </c>
      <c r="E60" s="16" t="n">
        <v>24</v>
      </c>
      <c r="F60" s="16" t="inlineStr">
        <is>
          <t>10:00 ET</t>
        </is>
      </c>
      <c r="G60" s="16" t="inlineStr">
        <is>
          <t>15:09 ET</t>
        </is>
      </c>
      <c r="H60" s="16" t="n">
        <v>28045.5</v>
      </c>
      <c r="I60" s="16" t="n">
        <v>28025</v>
      </c>
      <c r="J60" s="16" t="n">
        <v>28050</v>
      </c>
      <c r="K60" s="16" t="n">
        <v>43</v>
      </c>
      <c r="L60" s="16" t="n">
        <v>21.48</v>
      </c>
      <c r="M60" s="16" t="n">
        <v>22.23</v>
      </c>
      <c r="N60" s="16" t="n">
        <v>994.16</v>
      </c>
      <c r="O60" s="16" t="n">
        <v>1226.36</v>
      </c>
      <c r="P60" s="16" t="n">
        <v>277.09</v>
      </c>
      <c r="Q60" s="16" t="n">
        <v>277.09</v>
      </c>
      <c r="R60" s="16" t="n">
        <v>32.25</v>
      </c>
      <c r="S60" s="16" t="n">
        <v>3.5</v>
      </c>
      <c r="T60" s="16" t="n">
        <v>25.8</v>
      </c>
      <c r="U60" s="16" t="n">
        <v>43</v>
      </c>
      <c r="V60" s="16" t="n">
        <v>1.72</v>
      </c>
      <c r="W60" s="16" t="n">
        <v>70.52</v>
      </c>
      <c r="X60" s="16" t="n">
        <v>-38.27</v>
      </c>
      <c r="Y60" s="16" t="inlineStr">
        <is>
          <t>FLAT</t>
        </is>
      </c>
      <c r="Z60" s="16" t="n">
        <v>1000</v>
      </c>
      <c r="AA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MNQ</t>
        </is>
      </c>
      <c r="C61" s="17" t="inlineStr">
        <is>
          <t>Bull Call Spread</t>
        </is>
      </c>
      <c r="D61" s="17" t="inlineStr">
        <is>
          <t>2026-08-21</t>
        </is>
      </c>
      <c r="E61" s="17" t="n">
        <v>23</v>
      </c>
      <c r="F61" s="17" t="inlineStr">
        <is>
          <t>10:00 ET</t>
        </is>
      </c>
      <c r="G61" s="17" t="inlineStr">
        <is>
          <t>13:20 ET</t>
        </is>
      </c>
      <c r="H61" s="17" t="n">
        <v>27741.5</v>
      </c>
      <c r="I61" s="17" t="n">
        <v>27725</v>
      </c>
      <c r="J61" s="17" t="n">
        <v>27750</v>
      </c>
      <c r="K61" s="17" t="n">
        <v>38</v>
      </c>
      <c r="L61" s="17" t="n">
        <v>24.25</v>
      </c>
      <c r="M61" s="17" t="n">
        <v>31.53</v>
      </c>
      <c r="N61" s="17" t="n">
        <v>983.8200000000001</v>
      </c>
      <c r="O61" s="17" t="n">
        <v>978.5</v>
      </c>
      <c r="P61" s="17" t="n">
        <v>276.45</v>
      </c>
      <c r="Q61" s="17" t="n">
        <v>276.45</v>
      </c>
      <c r="R61" s="17" t="n">
        <v>276.64</v>
      </c>
      <c r="S61" s="17" t="n">
        <v>30</v>
      </c>
      <c r="T61" s="17" t="n">
        <v>22.8</v>
      </c>
      <c r="U61" s="17" t="n">
        <v>38</v>
      </c>
      <c r="V61" s="17" t="n">
        <v>1.52</v>
      </c>
      <c r="W61" s="17" t="n">
        <v>62.32</v>
      </c>
      <c r="X61" s="17" t="n">
        <v>214.32</v>
      </c>
      <c r="Y61" s="17" t="inlineStr">
        <is>
          <t>PROFIT</t>
        </is>
      </c>
      <c r="Z61" s="17" t="n">
        <v>1000</v>
      </c>
      <c r="AA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MNQ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12:35 ET</t>
        </is>
      </c>
      <c r="H62" s="17" t="n">
        <v>27577</v>
      </c>
      <c r="I62" s="17" t="n">
        <v>27575</v>
      </c>
      <c r="J62" s="17" t="n">
        <v>27600</v>
      </c>
      <c r="K62" s="17" t="n">
        <v>36</v>
      </c>
      <c r="L62" s="17" t="n">
        <v>25.96</v>
      </c>
      <c r="M62" s="17" t="n">
        <v>33.75</v>
      </c>
      <c r="N62" s="17" t="n">
        <v>993.6</v>
      </c>
      <c r="O62" s="17" t="n">
        <v>865.4400000000001</v>
      </c>
      <c r="P62" s="17" t="n">
        <v>280.37</v>
      </c>
      <c r="Q62" s="17" t="n">
        <v>280.37</v>
      </c>
      <c r="R62" s="17" t="n">
        <v>280.44</v>
      </c>
      <c r="S62" s="17" t="n">
        <v>30</v>
      </c>
      <c r="T62" s="17" t="n">
        <v>21.6</v>
      </c>
      <c r="U62" s="17" t="n">
        <v>36</v>
      </c>
      <c r="V62" s="17" t="n">
        <v>1.44</v>
      </c>
      <c r="W62" s="17" t="n">
        <v>59.04</v>
      </c>
      <c r="X62" s="17" t="n">
        <v>221.4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MNQ</t>
        </is>
      </c>
      <c r="C63" s="15" t="inlineStr">
        <is>
          <t>Bull Call Spread</t>
        </is>
      </c>
      <c r="D63" s="15" t="inlineStr">
        <is>
          <t>2026-08-21</t>
        </is>
      </c>
      <c r="E63" s="15" t="n">
        <v>22</v>
      </c>
      <c r="F63" s="15" t="inlineStr">
        <is>
          <t>10:00 ET</t>
        </is>
      </c>
      <c r="G63" s="15" t="inlineStr">
        <is>
          <t>10:45 ET</t>
        </is>
      </c>
      <c r="H63" s="15" t="n">
        <v>27477.25</v>
      </c>
      <c r="I63" s="15" t="n">
        <v>27475</v>
      </c>
      <c r="J63" s="15" t="n">
        <v>27500</v>
      </c>
      <c r="K63" s="15" t="n">
        <v>37</v>
      </c>
      <c r="L63" s="15" t="n">
        <v>25.35</v>
      </c>
      <c r="M63" s="15" t="n">
        <v>17.75</v>
      </c>
      <c r="N63" s="15" t="n">
        <v>998.63</v>
      </c>
      <c r="O63" s="15" t="n">
        <v>912.05</v>
      </c>
      <c r="P63" s="15" t="n">
        <v>281.38</v>
      </c>
      <c r="Q63" s="15" t="n">
        <v>281.38</v>
      </c>
      <c r="R63" s="15" t="n">
        <v>-281.2</v>
      </c>
      <c r="S63" s="15" t="n">
        <v>-30</v>
      </c>
      <c r="T63" s="15" t="n">
        <v>22.2</v>
      </c>
      <c r="U63" s="15" t="n">
        <v>37</v>
      </c>
      <c r="V63" s="15" t="n">
        <v>1.48</v>
      </c>
      <c r="W63" s="15" t="n">
        <v>60.68</v>
      </c>
      <c r="X63" s="15" t="n">
        <v>-341.88</v>
      </c>
      <c r="Y63" s="15" t="inlineStr">
        <is>
          <t>STOP LOSS</t>
        </is>
      </c>
      <c r="Z63" s="15" t="n">
        <v>1000</v>
      </c>
      <c r="AA63" s="15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MNQ</t>
        </is>
      </c>
      <c r="C64" s="16" t="inlineStr">
        <is>
          <t>Bull Call Spread</t>
        </is>
      </c>
      <c r="D64" s="16" t="inlineStr">
        <is>
          <t>2026-08-21</t>
        </is>
      </c>
      <c r="E64" s="16" t="n">
        <v>22</v>
      </c>
      <c r="F64" s="16" t="inlineStr">
        <is>
          <t>10:00 ET</t>
        </is>
      </c>
      <c r="G64" s="16" t="inlineStr">
        <is>
          <t>16:09 ET</t>
        </is>
      </c>
      <c r="H64" s="16" t="n">
        <v>28080.25</v>
      </c>
      <c r="I64" s="16" t="n">
        <v>28075</v>
      </c>
      <c r="J64" s="16" t="n">
        <v>28100</v>
      </c>
      <c r="K64" s="16" t="n">
        <v>45</v>
      </c>
      <c r="L64" s="16" t="n">
        <v>20.33</v>
      </c>
      <c r="M64" s="16" t="n">
        <v>19.65</v>
      </c>
      <c r="N64" s="16" t="n">
        <v>988.65</v>
      </c>
      <c r="O64" s="16" t="n">
        <v>1335.15</v>
      </c>
      <c r="P64" s="16" t="n">
        <v>274.45</v>
      </c>
      <c r="Q64" s="16" t="n">
        <v>274.45</v>
      </c>
      <c r="R64" s="16" t="n">
        <v>-30.6</v>
      </c>
      <c r="S64" s="16" t="n">
        <v>-3.3</v>
      </c>
      <c r="T64" s="16" t="n">
        <v>27</v>
      </c>
      <c r="U64" s="16" t="n">
        <v>45</v>
      </c>
      <c r="V64" s="16" t="n">
        <v>1.8</v>
      </c>
      <c r="W64" s="16" t="n">
        <v>73.8</v>
      </c>
      <c r="X64" s="16" t="n">
        <v>-104.4</v>
      </c>
      <c r="Y64" s="16" t="inlineStr">
        <is>
          <t>FLAT</t>
        </is>
      </c>
      <c r="Z64" s="16" t="n">
        <v>1000</v>
      </c>
      <c r="AA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MNQ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12:53 ET</t>
        </is>
      </c>
      <c r="H65" s="17" t="n">
        <v>28587.75</v>
      </c>
      <c r="I65" s="17" t="n">
        <v>28575</v>
      </c>
      <c r="J65" s="17" t="n">
        <v>28600</v>
      </c>
      <c r="K65" s="17" t="n">
        <v>37</v>
      </c>
      <c r="L65" s="17" t="n">
        <v>24.76</v>
      </c>
      <c r="M65" s="17" t="n">
        <v>32.19</v>
      </c>
      <c r="N65" s="17" t="n">
        <v>976.8</v>
      </c>
      <c r="O65" s="17" t="n">
        <v>933.88</v>
      </c>
      <c r="P65" s="17" t="n">
        <v>274.84</v>
      </c>
      <c r="Q65" s="17" t="n">
        <v>274.84</v>
      </c>
      <c r="R65" s="17" t="n">
        <v>274.91</v>
      </c>
      <c r="S65" s="17" t="n">
        <v>30</v>
      </c>
      <c r="T65" s="17" t="n">
        <v>22.2</v>
      </c>
      <c r="U65" s="17" t="n">
        <v>37</v>
      </c>
      <c r="V65" s="17" t="n">
        <v>1.48</v>
      </c>
      <c r="W65" s="17" t="n">
        <v>60.68</v>
      </c>
      <c r="X65" s="17" t="n">
        <v>214.23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MNQ</t>
        </is>
      </c>
      <c r="C66" s="17" t="inlineStr">
        <is>
          <t>Bull Call Spread</t>
        </is>
      </c>
      <c r="D66" s="17" t="inlineStr">
        <is>
          <t>2026-08-21</t>
        </is>
      </c>
      <c r="E66" s="17" t="n">
        <v>21</v>
      </c>
      <c r="F66" s="17" t="inlineStr">
        <is>
          <t>10:00 ET</t>
        </is>
      </c>
      <c r="G66" s="17" t="inlineStr">
        <is>
          <t>11:38 ET</t>
        </is>
      </c>
      <c r="H66" s="17" t="n">
        <v>28231</v>
      </c>
      <c r="I66" s="17" t="n">
        <v>28225</v>
      </c>
      <c r="J66" s="17" t="n">
        <v>28250</v>
      </c>
      <c r="K66" s="17" t="n">
        <v>42</v>
      </c>
      <c r="L66" s="17" t="n">
        <v>21.76</v>
      </c>
      <c r="M66" s="17" t="n">
        <v>28.29</v>
      </c>
      <c r="N66" s="17" t="n">
        <v>982.8</v>
      </c>
      <c r="O66" s="17" t="n">
        <v>1186.08</v>
      </c>
      <c r="P66" s="17" t="n">
        <v>274.18</v>
      </c>
      <c r="Q66" s="17" t="n">
        <v>274.18</v>
      </c>
      <c r="R66" s="17" t="n">
        <v>274.26</v>
      </c>
      <c r="S66" s="17" t="n">
        <v>30</v>
      </c>
      <c r="T66" s="17" t="n">
        <v>25.2</v>
      </c>
      <c r="U66" s="17" t="n">
        <v>42</v>
      </c>
      <c r="V66" s="17" t="n">
        <v>1.68</v>
      </c>
      <c r="W66" s="17" t="n">
        <v>68.88</v>
      </c>
      <c r="X66" s="17" t="n">
        <v>205.38</v>
      </c>
      <c r="Y66" s="17" t="inlineStr">
        <is>
          <t>PROFIT</t>
        </is>
      </c>
      <c r="Z66" s="17" t="n">
        <v>1000</v>
      </c>
      <c r="AA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MNQ</t>
        </is>
      </c>
      <c r="C67" s="16" t="inlineStr">
        <is>
          <t>Bull Call Spread</t>
        </is>
      </c>
      <c r="D67" s="16" t="inlineStr">
        <is>
          <t>2026-08-21</t>
        </is>
      </c>
      <c r="E67" s="16" t="n">
        <v>18</v>
      </c>
      <c r="F67" s="16" t="inlineStr">
        <is>
          <t>10:00 ET</t>
        </is>
      </c>
      <c r="G67" s="16" t="inlineStr">
        <is>
          <t>16:01 ET</t>
        </is>
      </c>
      <c r="H67" s="16" t="n">
        <v>28626.25</v>
      </c>
      <c r="I67" s="16" t="n">
        <v>28625</v>
      </c>
      <c r="J67" s="16" t="n">
        <v>28650</v>
      </c>
      <c r="K67" s="16" t="n">
        <v>43</v>
      </c>
      <c r="L67" s="16" t="n">
        <v>21.46</v>
      </c>
      <c r="M67" s="16" t="n">
        <v>21.85</v>
      </c>
      <c r="N67" s="16" t="n">
        <v>993.3</v>
      </c>
      <c r="O67" s="16" t="n">
        <v>1227.22</v>
      </c>
      <c r="P67" s="16" t="n">
        <v>276.83</v>
      </c>
      <c r="Q67" s="16" t="n">
        <v>276.83</v>
      </c>
      <c r="R67" s="16" t="n">
        <v>16.77</v>
      </c>
      <c r="S67" s="16" t="n">
        <v>1.8</v>
      </c>
      <c r="T67" s="16" t="n">
        <v>25.8</v>
      </c>
      <c r="U67" s="16" t="n">
        <v>43</v>
      </c>
      <c r="V67" s="16" t="n">
        <v>1.72</v>
      </c>
      <c r="W67" s="16" t="n">
        <v>70.52</v>
      </c>
      <c r="X67" s="16" t="n">
        <v>-53.75</v>
      </c>
      <c r="Y67" s="16" t="inlineStr">
        <is>
          <t>FLAT</t>
        </is>
      </c>
      <c r="Z67" s="16" t="n">
        <v>1000</v>
      </c>
      <c r="AA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MNQ</t>
        </is>
      </c>
      <c r="C68" s="15" t="inlineStr">
        <is>
          <t>Bull Call Spread</t>
        </is>
      </c>
      <c r="D68" s="15" t="inlineStr">
        <is>
          <t>2026-08-21</t>
        </is>
      </c>
      <c r="E68" s="15" t="n">
        <v>18</v>
      </c>
      <c r="F68" s="15" t="inlineStr">
        <is>
          <t>10:00 ET</t>
        </is>
      </c>
      <c r="G68" s="15" t="inlineStr">
        <is>
          <t>10:31 ET</t>
        </is>
      </c>
      <c r="H68" s="15" t="n">
        <v>28810</v>
      </c>
      <c r="I68" s="15" t="n">
        <v>28800</v>
      </c>
      <c r="J68" s="15" t="n">
        <v>28825</v>
      </c>
      <c r="K68" s="15" t="n">
        <v>44</v>
      </c>
      <c r="L68" s="15" t="n">
        <v>20.8</v>
      </c>
      <c r="M68" s="15" t="n">
        <v>14.56</v>
      </c>
      <c r="N68" s="15" t="n">
        <v>987.36</v>
      </c>
      <c r="O68" s="15" t="n">
        <v>1284.8</v>
      </c>
      <c r="P68" s="15" t="n">
        <v>274.56</v>
      </c>
      <c r="Q68" s="15" t="n">
        <v>274.56</v>
      </c>
      <c r="R68" s="15" t="n">
        <v>-274.56</v>
      </c>
      <c r="S68" s="15" t="n">
        <v>-30</v>
      </c>
      <c r="T68" s="15" t="n">
        <v>26.4</v>
      </c>
      <c r="U68" s="15" t="n">
        <v>44</v>
      </c>
      <c r="V68" s="15" t="n">
        <v>1.76</v>
      </c>
      <c r="W68" s="15" t="n">
        <v>72.16</v>
      </c>
      <c r="X68" s="15" t="n">
        <v>-346.72</v>
      </c>
      <c r="Y68" s="15" t="inlineStr">
        <is>
          <t>STOP LOSS</t>
        </is>
      </c>
      <c r="Z68" s="15" t="n">
        <v>1000</v>
      </c>
      <c r="AA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MNQ</t>
        </is>
      </c>
      <c r="C69" s="17" t="inlineStr">
        <is>
          <t>Bull Call Spread</t>
        </is>
      </c>
      <c r="D69" s="17" t="inlineStr">
        <is>
          <t>2026-08-21</t>
        </is>
      </c>
      <c r="E69" s="17" t="n">
        <v>17</v>
      </c>
      <c r="F69" s="17" t="inlineStr">
        <is>
          <t>10:00 ET</t>
        </is>
      </c>
      <c r="G69" s="17" t="inlineStr">
        <is>
          <t>11:14 ET</t>
        </is>
      </c>
      <c r="H69" s="17" t="n">
        <v>29072.25</v>
      </c>
      <c r="I69" s="17" t="n">
        <v>29050</v>
      </c>
      <c r="J69" s="17" t="n">
        <v>29075</v>
      </c>
      <c r="K69" s="17" t="n">
        <v>36</v>
      </c>
      <c r="L69" s="17" t="n">
        <v>25.4</v>
      </c>
      <c r="M69" s="17" t="n">
        <v>33.02</v>
      </c>
      <c r="N69" s="17" t="n">
        <v>973.4400000000001</v>
      </c>
      <c r="O69" s="17" t="n">
        <v>885.6</v>
      </c>
      <c r="P69" s="17" t="n">
        <v>274.32</v>
      </c>
      <c r="Q69" s="17" t="n">
        <v>274.32</v>
      </c>
      <c r="R69" s="17" t="n">
        <v>274.32</v>
      </c>
      <c r="S69" s="17" t="n">
        <v>30</v>
      </c>
      <c r="T69" s="17" t="n">
        <v>21.6</v>
      </c>
      <c r="U69" s="17" t="n">
        <v>36</v>
      </c>
      <c r="V69" s="17" t="n">
        <v>1.44</v>
      </c>
      <c r="W69" s="17" t="n">
        <v>59.04</v>
      </c>
      <c r="X69" s="17" t="n">
        <v>215.28</v>
      </c>
      <c r="Y69" s="17" t="inlineStr">
        <is>
          <t>PROFIT</t>
        </is>
      </c>
      <c r="Z69" s="17" t="n">
        <v>1000</v>
      </c>
      <c r="AA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MNQ</t>
        </is>
      </c>
      <c r="C70" s="16" t="inlineStr">
        <is>
          <t>Bull Call Spread</t>
        </is>
      </c>
      <c r="D70" s="16" t="inlineStr">
        <is>
          <t>2026-08-21</t>
        </is>
      </c>
      <c r="E70" s="16" t="n">
        <v>17</v>
      </c>
      <c r="F70" s="16" t="inlineStr">
        <is>
          <t>10:00 ET</t>
        </is>
      </c>
      <c r="G70" s="16" t="inlineStr">
        <is>
          <t>15:21 ET</t>
        </is>
      </c>
      <c r="H70" s="16" t="n">
        <v>29679.5</v>
      </c>
      <c r="I70" s="16" t="n">
        <v>29675</v>
      </c>
      <c r="J70" s="16" t="n">
        <v>29700</v>
      </c>
      <c r="K70" s="16" t="n">
        <v>45</v>
      </c>
      <c r="L70" s="16" t="n">
        <v>20.48</v>
      </c>
      <c r="M70" s="16" t="n">
        <v>21.15</v>
      </c>
      <c r="N70" s="16" t="n">
        <v>995.4</v>
      </c>
      <c r="O70" s="16" t="n">
        <v>1328.4</v>
      </c>
      <c r="P70" s="16" t="n">
        <v>276.48</v>
      </c>
      <c r="Q70" s="16" t="n">
        <v>276.48</v>
      </c>
      <c r="R70" s="16" t="n">
        <v>30.15</v>
      </c>
      <c r="S70" s="16" t="n">
        <v>3.3</v>
      </c>
      <c r="T70" s="16" t="n">
        <v>27</v>
      </c>
      <c r="U70" s="16" t="n">
        <v>45</v>
      </c>
      <c r="V70" s="16" t="n">
        <v>1.8</v>
      </c>
      <c r="W70" s="16" t="n">
        <v>73.8</v>
      </c>
      <c r="X70" s="16" t="n">
        <v>-43.65</v>
      </c>
      <c r="Y70" s="16" t="inlineStr">
        <is>
          <t>FLAT</t>
        </is>
      </c>
      <c r="Z70" s="16" t="n">
        <v>1000</v>
      </c>
      <c r="AA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MNQ</t>
        </is>
      </c>
      <c r="C71" s="17" t="inlineStr">
        <is>
          <t>Bull Call Spread</t>
        </is>
      </c>
      <c r="D71" s="17" t="inlineStr">
        <is>
          <t>2026-08-21</t>
        </is>
      </c>
      <c r="E71" s="17" t="n">
        <v>16</v>
      </c>
      <c r="F71" s="17" t="inlineStr">
        <is>
          <t>10:00 ET</t>
        </is>
      </c>
      <c r="G71" s="17" t="inlineStr">
        <is>
          <t>12:06 ET</t>
        </is>
      </c>
      <c r="H71" s="17" t="n">
        <v>29966</v>
      </c>
      <c r="I71" s="17" t="n">
        <v>29950</v>
      </c>
      <c r="J71" s="17" t="n">
        <v>29975</v>
      </c>
      <c r="K71" s="17" t="n">
        <v>39</v>
      </c>
      <c r="L71" s="17" t="n">
        <v>23.73</v>
      </c>
      <c r="M71" s="17" t="n">
        <v>30.85</v>
      </c>
      <c r="N71" s="17" t="n">
        <v>989.4299999999999</v>
      </c>
      <c r="O71" s="17" t="n">
        <v>1024.53</v>
      </c>
      <c r="P71" s="17" t="n">
        <v>277.64</v>
      </c>
      <c r="Q71" s="17" t="n">
        <v>277.64</v>
      </c>
      <c r="R71" s="17" t="n">
        <v>277.68</v>
      </c>
      <c r="S71" s="17" t="n">
        <v>30</v>
      </c>
      <c r="T71" s="17" t="n">
        <v>23.4</v>
      </c>
      <c r="U71" s="17" t="n">
        <v>39</v>
      </c>
      <c r="V71" s="17" t="n">
        <v>1.56</v>
      </c>
      <c r="W71" s="17" t="n">
        <v>63.96</v>
      </c>
      <c r="X71" s="17" t="n">
        <v>213.72</v>
      </c>
      <c r="Y71" s="17" t="inlineStr">
        <is>
          <t>PROFIT</t>
        </is>
      </c>
      <c r="Z71" s="17" t="n">
        <v>1000</v>
      </c>
      <c r="AA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MNQ</t>
        </is>
      </c>
      <c r="C72" s="15" t="inlineStr">
        <is>
          <t>Bull Call Spread</t>
        </is>
      </c>
      <c r="D72" s="15" t="inlineStr">
        <is>
          <t>2026-08-21</t>
        </is>
      </c>
      <c r="E72" s="15" t="n">
        <v>16</v>
      </c>
      <c r="F72" s="15" t="inlineStr">
        <is>
          <t>10:00 ET</t>
        </is>
      </c>
      <c r="G72" s="15" t="inlineStr">
        <is>
          <t>11:04 ET</t>
        </is>
      </c>
      <c r="H72" s="15" t="n">
        <v>29799.5</v>
      </c>
      <c r="I72" s="15" t="n">
        <v>29775</v>
      </c>
      <c r="J72" s="15" t="n">
        <v>29800</v>
      </c>
      <c r="K72" s="15" t="n">
        <v>34</v>
      </c>
      <c r="L72" s="15" t="n">
        <v>27.41</v>
      </c>
      <c r="M72" s="15" t="n">
        <v>19.19</v>
      </c>
      <c r="N72" s="15" t="n">
        <v>987.7</v>
      </c>
      <c r="O72" s="15" t="n">
        <v>768.0599999999999</v>
      </c>
      <c r="P72" s="15" t="n">
        <v>279.58</v>
      </c>
      <c r="Q72" s="15" t="n">
        <v>279.58</v>
      </c>
      <c r="R72" s="15" t="n">
        <v>-279.48</v>
      </c>
      <c r="S72" s="15" t="n">
        <v>-30</v>
      </c>
      <c r="T72" s="15" t="n">
        <v>20.4</v>
      </c>
      <c r="U72" s="15" t="n">
        <v>34</v>
      </c>
      <c r="V72" s="15" t="n">
        <v>1.36</v>
      </c>
      <c r="W72" s="15" t="n">
        <v>55.76</v>
      </c>
      <c r="X72" s="15" t="n">
        <v>-335.24</v>
      </c>
      <c r="Y72" s="15" t="inlineStr">
        <is>
          <t>STOP LOSS</t>
        </is>
      </c>
      <c r="Z72" s="15" t="n">
        <v>1000</v>
      </c>
      <c r="AA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MNQ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12:07 ET</t>
        </is>
      </c>
      <c r="H73" s="17" t="n">
        <v>29542.5</v>
      </c>
      <c r="I73" s="17" t="n">
        <v>29525</v>
      </c>
      <c r="J73" s="17" t="n">
        <v>29550</v>
      </c>
      <c r="K73" s="17" t="n">
        <v>44</v>
      </c>
      <c r="L73" s="17" t="n">
        <v>20.62</v>
      </c>
      <c r="M73" s="17" t="n">
        <v>26.81</v>
      </c>
      <c r="N73" s="17" t="n">
        <v>979.4400000000001</v>
      </c>
      <c r="O73" s="17" t="n">
        <v>1292.72</v>
      </c>
      <c r="P73" s="17" t="n">
        <v>272.18</v>
      </c>
      <c r="Q73" s="17" t="n">
        <v>272.18</v>
      </c>
      <c r="R73" s="17" t="n">
        <v>272.36</v>
      </c>
      <c r="S73" s="17" t="n">
        <v>30</v>
      </c>
      <c r="T73" s="17" t="n">
        <v>26.4</v>
      </c>
      <c r="U73" s="17" t="n">
        <v>44</v>
      </c>
      <c r="V73" s="17" t="n">
        <v>1.76</v>
      </c>
      <c r="W73" s="17" t="n">
        <v>72.16</v>
      </c>
      <c r="X73" s="17" t="n">
        <v>200.2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MNQ</t>
        </is>
      </c>
      <c r="C74" s="15" t="inlineStr">
        <is>
          <t>Bull Call Spread</t>
        </is>
      </c>
      <c r="D74" s="15" t="inlineStr">
        <is>
          <t>2026-08-21</t>
        </is>
      </c>
      <c r="E74" s="15" t="n">
        <v>14</v>
      </c>
      <c r="F74" s="15" t="inlineStr">
        <is>
          <t>10:00 ET</t>
        </is>
      </c>
      <c r="G74" s="15" t="inlineStr">
        <is>
          <t>12:24 ET</t>
        </is>
      </c>
      <c r="H74" s="15" t="n">
        <v>29538.25</v>
      </c>
      <c r="I74" s="15" t="n">
        <v>29525</v>
      </c>
      <c r="J74" s="15" t="n">
        <v>29550</v>
      </c>
      <c r="K74" s="15" t="n">
        <v>43</v>
      </c>
      <c r="L74" s="15" t="n">
        <v>21.24</v>
      </c>
      <c r="M74" s="15" t="n">
        <v>14.87</v>
      </c>
      <c r="N74" s="15" t="n">
        <v>983.84</v>
      </c>
      <c r="O74" s="15" t="n">
        <v>1236.68</v>
      </c>
      <c r="P74" s="15" t="n">
        <v>274</v>
      </c>
      <c r="Q74" s="15" t="n">
        <v>274</v>
      </c>
      <c r="R74" s="15" t="n">
        <v>-273.91</v>
      </c>
      <c r="S74" s="15" t="n">
        <v>-30</v>
      </c>
      <c r="T74" s="15" t="n">
        <v>25.8</v>
      </c>
      <c r="U74" s="15" t="n">
        <v>43</v>
      </c>
      <c r="V74" s="15" t="n">
        <v>1.72</v>
      </c>
      <c r="W74" s="15" t="n">
        <v>70.52</v>
      </c>
      <c r="X74" s="15" t="n">
        <v>-344.43</v>
      </c>
      <c r="Y74" s="15" t="inlineStr">
        <is>
          <t>STOP LOSS</t>
        </is>
      </c>
      <c r="Z74" s="15" t="n">
        <v>1000</v>
      </c>
      <c r="AA74" s="15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MNQ</t>
        </is>
      </c>
      <c r="C75" s="15" t="inlineStr">
        <is>
          <t>Bull Call Spread</t>
        </is>
      </c>
      <c r="D75" s="15" t="inlineStr">
        <is>
          <t>2026-08-21</t>
        </is>
      </c>
      <c r="E75" s="15" t="n">
        <v>14</v>
      </c>
      <c r="F75" s="15" t="inlineStr">
        <is>
          <t>10:00 ET</t>
        </is>
      </c>
      <c r="G75" s="15" t="inlineStr">
        <is>
          <t>12:10 ET</t>
        </is>
      </c>
      <c r="H75" s="15" t="n">
        <v>29701</v>
      </c>
      <c r="I75" s="15" t="n">
        <v>29700</v>
      </c>
      <c r="J75" s="15" t="n">
        <v>29725</v>
      </c>
      <c r="K75" s="15" t="n">
        <v>53</v>
      </c>
      <c r="L75" s="15" t="n">
        <v>17.14</v>
      </c>
      <c r="M75" s="15" t="n">
        <v>12</v>
      </c>
      <c r="N75" s="15" t="n">
        <v>995.34</v>
      </c>
      <c r="O75" s="15" t="n">
        <v>1741.58</v>
      </c>
      <c r="P75" s="15" t="n">
        <v>272.53</v>
      </c>
      <c r="Q75" s="15" t="n">
        <v>272.53</v>
      </c>
      <c r="R75" s="15" t="n">
        <v>-272.42</v>
      </c>
      <c r="S75" s="15" t="n">
        <v>-30</v>
      </c>
      <c r="T75" s="15" t="n">
        <v>31.8</v>
      </c>
      <c r="U75" s="15" t="n">
        <v>53</v>
      </c>
      <c r="V75" s="15" t="n">
        <v>2.12</v>
      </c>
      <c r="W75" s="15" t="n">
        <v>86.92</v>
      </c>
      <c r="X75" s="15" t="n">
        <v>-359.34</v>
      </c>
      <c r="Y75" s="15" t="inlineStr">
        <is>
          <t>STOP LOSS</t>
        </is>
      </c>
      <c r="Z75" s="15" t="n">
        <v>1000</v>
      </c>
      <c r="AA75" s="15" t="inlineStr">
        <is>
          <t>PAPER TRADING</t>
        </is>
      </c>
    </row>
    <row r="76">
      <c r="A76" s="15" t="inlineStr">
        <is>
          <t>2026-08-10</t>
        </is>
      </c>
      <c r="B76" s="15" t="inlineStr">
        <is>
          <t>MNQ</t>
        </is>
      </c>
      <c r="C76" s="15" t="inlineStr">
        <is>
          <t>Bull Call Spread</t>
        </is>
      </c>
      <c r="D76" s="15" t="inlineStr">
        <is>
          <t>2026-08-21</t>
        </is>
      </c>
      <c r="E76" s="15" t="n">
        <v>11</v>
      </c>
      <c r="F76" s="15" t="inlineStr">
        <is>
          <t>10:00 ET</t>
        </is>
      </c>
      <c r="G76" s="15" t="inlineStr">
        <is>
          <t>12:07 ET</t>
        </is>
      </c>
      <c r="H76" s="15" t="n">
        <v>29883.25</v>
      </c>
      <c r="I76" s="15" t="n">
        <v>29875</v>
      </c>
      <c r="J76" s="15" t="n">
        <v>29900</v>
      </c>
      <c r="K76" s="15" t="n">
        <v>53</v>
      </c>
      <c r="L76" s="15" t="n">
        <v>17.21</v>
      </c>
      <c r="M76" s="15" t="n">
        <v>12.05</v>
      </c>
      <c r="N76" s="15" t="n">
        <v>999.05</v>
      </c>
      <c r="O76" s="15" t="n">
        <v>1737.87</v>
      </c>
      <c r="P76" s="15" t="n">
        <v>273.64</v>
      </c>
      <c r="Q76" s="15" t="n">
        <v>273.64</v>
      </c>
      <c r="R76" s="15" t="n">
        <v>-273.48</v>
      </c>
      <c r="S76" s="15" t="n">
        <v>-30</v>
      </c>
      <c r="T76" s="15" t="n">
        <v>31.8</v>
      </c>
      <c r="U76" s="15" t="n">
        <v>53</v>
      </c>
      <c r="V76" s="15" t="n">
        <v>2.12</v>
      </c>
      <c r="W76" s="15" t="n">
        <v>86.92</v>
      </c>
      <c r="X76" s="15" t="n">
        <v>-360.4</v>
      </c>
      <c r="Y76" s="15" t="inlineStr">
        <is>
          <t>STOP LOSS</t>
        </is>
      </c>
      <c r="Z76" s="15" t="n">
        <v>1000</v>
      </c>
      <c r="AA76" s="15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MNQ</t>
        </is>
      </c>
      <c r="C77" s="15" t="inlineStr">
        <is>
          <t>Bull Call Spread</t>
        </is>
      </c>
      <c r="D77" s="15" t="inlineStr">
        <is>
          <t>2026-08-21</t>
        </is>
      </c>
      <c r="E77" s="15" t="n">
        <v>11</v>
      </c>
      <c r="F77" s="15" t="inlineStr">
        <is>
          <t>10:00 ET</t>
        </is>
      </c>
      <c r="G77" s="15" t="inlineStr">
        <is>
          <t>11:18 ET</t>
        </is>
      </c>
      <c r="H77" s="15" t="n">
        <v>29875</v>
      </c>
      <c r="I77" s="15" t="n">
        <v>29875</v>
      </c>
      <c r="J77" s="15" t="n">
        <v>29900</v>
      </c>
      <c r="K77" s="15" t="n">
        <v>43</v>
      </c>
      <c r="L77" s="15" t="n">
        <v>21.47</v>
      </c>
      <c r="M77" s="15" t="n">
        <v>15.03</v>
      </c>
      <c r="N77" s="15" t="n">
        <v>993.73</v>
      </c>
      <c r="O77" s="15" t="n">
        <v>1226.79</v>
      </c>
      <c r="P77" s="15" t="n">
        <v>276.96</v>
      </c>
      <c r="Q77" s="15" t="n">
        <v>276.96</v>
      </c>
      <c r="R77" s="15" t="n">
        <v>-276.92</v>
      </c>
      <c r="S77" s="15" t="n">
        <v>-30</v>
      </c>
      <c r="T77" s="15" t="n">
        <v>25.8</v>
      </c>
      <c r="U77" s="15" t="n">
        <v>43</v>
      </c>
      <c r="V77" s="15" t="n">
        <v>1.72</v>
      </c>
      <c r="W77" s="15" t="n">
        <v>70.52</v>
      </c>
      <c r="X77" s="15" t="n">
        <v>-347.44</v>
      </c>
      <c r="Y77" s="15" t="inlineStr">
        <is>
          <t>STOP LOSS</t>
        </is>
      </c>
      <c r="Z77" s="15" t="n">
        <v>1000</v>
      </c>
      <c r="AA77" s="15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MNQ</t>
        </is>
      </c>
      <c r="C78" s="17" t="inlineStr">
        <is>
          <t>Bull Call Spread</t>
        </is>
      </c>
      <c r="D78" s="17" t="inlineStr">
        <is>
          <t>2026-08-21</t>
        </is>
      </c>
      <c r="E78" s="17" t="n">
        <v>10</v>
      </c>
      <c r="F78" s="17" t="inlineStr">
        <is>
          <t>10:00 ET</t>
        </is>
      </c>
      <c r="G78" s="17" t="inlineStr">
        <is>
          <t>11:36 ET</t>
        </is>
      </c>
      <c r="H78" s="17" t="n">
        <v>29838.5</v>
      </c>
      <c r="I78" s="17" t="n">
        <v>29825</v>
      </c>
      <c r="J78" s="17" t="n">
        <v>29850</v>
      </c>
      <c r="K78" s="17" t="n">
        <v>54</v>
      </c>
      <c r="L78" s="17" t="n">
        <v>16.63</v>
      </c>
      <c r="M78" s="17" t="n">
        <v>21.62</v>
      </c>
      <c r="N78" s="17" t="n">
        <v>986.58</v>
      </c>
      <c r="O78" s="17" t="n">
        <v>1801.98</v>
      </c>
      <c r="P78" s="17" t="n">
        <v>269.41</v>
      </c>
      <c r="Q78" s="17" t="n">
        <v>269.41</v>
      </c>
      <c r="R78" s="17" t="n">
        <v>269.46</v>
      </c>
      <c r="S78" s="17" t="n">
        <v>30</v>
      </c>
      <c r="T78" s="17" t="n">
        <v>32.4</v>
      </c>
      <c r="U78" s="17" t="n">
        <v>54</v>
      </c>
      <c r="V78" s="17" t="n">
        <v>2.16</v>
      </c>
      <c r="W78" s="17" t="n">
        <v>88.56</v>
      </c>
      <c r="X78" s="17" t="n">
        <v>180.9</v>
      </c>
      <c r="Y78" s="17" t="inlineStr">
        <is>
          <t>PROFIT</t>
        </is>
      </c>
      <c r="Z78" s="17" t="n">
        <v>1000</v>
      </c>
      <c r="AA78" s="17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MNQ</t>
        </is>
      </c>
      <c r="C79" s="17" t="inlineStr">
        <is>
          <t>Bull Call Spread</t>
        </is>
      </c>
      <c r="D79" s="17" t="inlineStr">
        <is>
          <t>2026-08-21</t>
        </is>
      </c>
      <c r="E79" s="17" t="n">
        <v>10</v>
      </c>
      <c r="F79" s="17" t="inlineStr">
        <is>
          <t>10:00 ET</t>
        </is>
      </c>
      <c r="G79" s="17" t="inlineStr">
        <is>
          <t>13:52 ET</t>
        </is>
      </c>
      <c r="H79" s="17" t="n">
        <v>29744.5</v>
      </c>
      <c r="I79" s="17" t="n">
        <v>29725</v>
      </c>
      <c r="J79" s="17" t="n">
        <v>29750</v>
      </c>
      <c r="K79" s="17" t="n">
        <v>44</v>
      </c>
      <c r="L79" s="17" t="n">
        <v>20.63</v>
      </c>
      <c r="M79" s="17" t="n">
        <v>26.82</v>
      </c>
      <c r="N79" s="17" t="n">
        <v>979.88</v>
      </c>
      <c r="O79" s="17" t="n">
        <v>1292.28</v>
      </c>
      <c r="P79" s="17" t="n">
        <v>272.32</v>
      </c>
      <c r="Q79" s="17" t="n">
        <v>272.32</v>
      </c>
      <c r="R79" s="17" t="n">
        <v>272.36</v>
      </c>
      <c r="S79" s="17" t="n">
        <v>30</v>
      </c>
      <c r="T79" s="17" t="n">
        <v>26.4</v>
      </c>
      <c r="U79" s="17" t="n">
        <v>44</v>
      </c>
      <c r="V79" s="17" t="n">
        <v>1.76</v>
      </c>
      <c r="W79" s="17" t="n">
        <v>72.16</v>
      </c>
      <c r="X79" s="17" t="n">
        <v>200.2</v>
      </c>
      <c r="Y79" s="17" t="inlineStr">
        <is>
          <t>PROFIT</t>
        </is>
      </c>
      <c r="Z79" s="17" t="n">
        <v>1000</v>
      </c>
      <c r="AA79" s="17" t="inlineStr">
        <is>
          <t>PAPER TRADING</t>
        </is>
      </c>
    </row>
    <row r="80">
      <c r="A80" s="17" t="inlineStr">
        <is>
          <t>2026-08-12</t>
        </is>
      </c>
      <c r="B80" s="17" t="inlineStr">
        <is>
          <t>MNQ</t>
        </is>
      </c>
      <c r="C80" s="17" t="inlineStr">
        <is>
          <t>Bull Call Spread</t>
        </is>
      </c>
      <c r="D80" s="17" t="inlineStr">
        <is>
          <t>2026-08-21</t>
        </is>
      </c>
      <c r="E80" s="17" t="n">
        <v>9</v>
      </c>
      <c r="F80" s="17" t="inlineStr">
        <is>
          <t>10:00 ET</t>
        </is>
      </c>
      <c r="G80" s="17" t="inlineStr">
        <is>
          <t>12:08 ET</t>
        </is>
      </c>
      <c r="H80" s="17" t="n">
        <v>29694</v>
      </c>
      <c r="I80" s="17" t="n">
        <v>29675</v>
      </c>
      <c r="J80" s="17" t="n">
        <v>29700</v>
      </c>
      <c r="K80" s="17" t="n">
        <v>45</v>
      </c>
      <c r="L80" s="17" t="n">
        <v>20.15</v>
      </c>
      <c r="M80" s="17" t="n">
        <v>26.2</v>
      </c>
      <c r="N80" s="17" t="n">
        <v>980.55</v>
      </c>
      <c r="O80" s="17" t="n">
        <v>1343.25</v>
      </c>
      <c r="P80" s="17" t="n">
        <v>272.02</v>
      </c>
      <c r="Q80" s="17" t="n">
        <v>272.02</v>
      </c>
      <c r="R80" s="17" t="n">
        <v>272.25</v>
      </c>
      <c r="S80" s="17" t="n">
        <v>30</v>
      </c>
      <c r="T80" s="17" t="n">
        <v>27</v>
      </c>
      <c r="U80" s="17" t="n">
        <v>45</v>
      </c>
      <c r="V80" s="17" t="n">
        <v>1.8</v>
      </c>
      <c r="W80" s="17" t="n">
        <v>73.8</v>
      </c>
      <c r="X80" s="17" t="n">
        <v>198.45</v>
      </c>
      <c r="Y80" s="17" t="inlineStr">
        <is>
          <t>PROFIT</t>
        </is>
      </c>
      <c r="Z80" s="17" t="n">
        <v>1000</v>
      </c>
      <c r="AA80" s="17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MNQ</t>
        </is>
      </c>
      <c r="C81" s="15" t="inlineStr">
        <is>
          <t>Bull Call Spread</t>
        </is>
      </c>
      <c r="D81" s="15" t="inlineStr">
        <is>
          <t>2026-08-21</t>
        </is>
      </c>
      <c r="E81" s="15" t="n">
        <v>9</v>
      </c>
      <c r="F81" s="15" t="inlineStr">
        <is>
          <t>10:00 ET</t>
        </is>
      </c>
      <c r="G81" s="15" t="inlineStr">
        <is>
          <t>12:25 ET</t>
        </is>
      </c>
      <c r="H81" s="15" t="n">
        <v>29921</v>
      </c>
      <c r="I81" s="15" t="n">
        <v>29900</v>
      </c>
      <c r="J81" s="15" t="n">
        <v>29925</v>
      </c>
      <c r="K81" s="15" t="n">
        <v>56</v>
      </c>
      <c r="L81" s="15" t="n">
        <v>16.11</v>
      </c>
      <c r="M81" s="15" t="n">
        <v>11.28</v>
      </c>
      <c r="N81" s="15" t="n">
        <v>994</v>
      </c>
      <c r="O81" s="15" t="n">
        <v>1897.84</v>
      </c>
      <c r="P81" s="15" t="n">
        <v>270.65</v>
      </c>
      <c r="Q81" s="15" t="n">
        <v>270.65</v>
      </c>
      <c r="R81" s="15" t="n">
        <v>-270.48</v>
      </c>
      <c r="S81" s="15" t="n">
        <v>-30</v>
      </c>
      <c r="T81" s="15" t="n">
        <v>33.6</v>
      </c>
      <c r="U81" s="15" t="n">
        <v>56</v>
      </c>
      <c r="V81" s="15" t="n">
        <v>2.24</v>
      </c>
      <c r="W81" s="15" t="n">
        <v>91.84</v>
      </c>
      <c r="X81" s="15" t="n">
        <v>-362.32</v>
      </c>
      <c r="Y81" s="15" t="inlineStr">
        <is>
          <t>STOP LOSS</t>
        </is>
      </c>
      <c r="Z81" s="15" t="n">
        <v>1000</v>
      </c>
      <c r="AA81" s="15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MNQ</t>
        </is>
      </c>
      <c r="C82" s="15" t="inlineStr">
        <is>
          <t>Bull Call Spread</t>
        </is>
      </c>
      <c r="D82" s="15" t="inlineStr">
        <is>
          <t>2026-08-21</t>
        </is>
      </c>
      <c r="E82" s="15" t="n">
        <v>8</v>
      </c>
      <c r="F82" s="15" t="inlineStr">
        <is>
          <t>10:00 ET</t>
        </is>
      </c>
      <c r="G82" s="15" t="inlineStr">
        <is>
          <t>10:32 ET</t>
        </is>
      </c>
      <c r="H82" s="15" t="n">
        <v>29908.5</v>
      </c>
      <c r="I82" s="15" t="n">
        <v>29900</v>
      </c>
      <c r="J82" s="15" t="n">
        <v>29925</v>
      </c>
      <c r="K82" s="15" t="n">
        <v>54</v>
      </c>
      <c r="L82" s="15" t="n">
        <v>16.71</v>
      </c>
      <c r="M82" s="15" t="n">
        <v>11.7</v>
      </c>
      <c r="N82" s="15" t="n">
        <v>990.9</v>
      </c>
      <c r="O82" s="15" t="n">
        <v>1797.66</v>
      </c>
      <c r="P82" s="15" t="n">
        <v>270.7</v>
      </c>
      <c r="Q82" s="15" t="n">
        <v>270.7</v>
      </c>
      <c r="R82" s="15" t="n">
        <v>-270.54</v>
      </c>
      <c r="S82" s="15" t="n">
        <v>-30</v>
      </c>
      <c r="T82" s="15" t="n">
        <v>32.4</v>
      </c>
      <c r="U82" s="15" t="n">
        <v>54</v>
      </c>
      <c r="V82" s="15" t="n">
        <v>2.16</v>
      </c>
      <c r="W82" s="15" t="n">
        <v>88.56</v>
      </c>
      <c r="X82" s="15" t="n">
        <v>-359.1</v>
      </c>
      <c r="Y82" s="15" t="inlineStr">
        <is>
          <t>STOP LOSS</t>
        </is>
      </c>
      <c r="Z82" s="15" t="n">
        <v>1000</v>
      </c>
      <c r="AA82" s="15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10" customWidth="1" min="4" max="4"/>
    <col width="8" customWidth="1" min="5" max="5"/>
    <col width="13" customWidth="1" min="6" max="6"/>
    <col width="12" customWidth="1" min="7" max="7"/>
    <col width="14" customWidth="1" min="8" max="8"/>
    <col width="14" customWidth="1" min="9" max="9"/>
    <col width="13" customWidth="1" min="10" max="10"/>
    <col width="12" customWidth="1" min="11" max="11"/>
    <col width="28" customWidth="1" min="12" max="12"/>
  </cols>
  <sheetData>
    <row r="1" ht="28" customHeight="1">
      <c r="A1" s="1" t="inlineStr">
        <is>
          <t>US Stocks — Paper Trading Journal</t>
        </is>
      </c>
    </row>
    <row r="2">
      <c r="A2" s="2" t="inlineStr">
        <is>
          <t>Date</t>
        </is>
      </c>
      <c r="B2" s="2" t="inlineStr">
        <is>
          <t>Ticker</t>
        </is>
      </c>
      <c r="C2" s="2" t="inlineStr">
        <is>
          <t>Company</t>
        </is>
      </c>
      <c r="D2" s="2" t="inlineStr">
        <is>
          <t>Action</t>
        </is>
      </c>
      <c r="E2" s="2" t="inlineStr">
        <is>
          <t>Qty</t>
        </is>
      </c>
      <c r="F2" s="2" t="inlineStr">
        <is>
          <t>Entry Price</t>
        </is>
      </c>
      <c r="G2" s="2" t="inlineStr">
        <is>
          <t>Exit Price</t>
        </is>
      </c>
      <c r="H2" s="2" t="inlineStr">
        <is>
          <t>Gross P&amp;L ($)</t>
        </is>
      </c>
      <c r="I2" s="2" t="inlineStr">
        <is>
          <t>Broker Fee ($)</t>
        </is>
      </c>
      <c r="J2" s="2" t="inlineStr">
        <is>
          <t>Net P&amp;L ($)</t>
        </is>
      </c>
      <c r="K2" s="2" t="inlineStr">
        <is>
          <t>Outcome</t>
        </is>
      </c>
      <c r="L2" s="2" t="inlineStr">
        <is>
          <t>Notes</t>
        </is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6" customWidth="1" min="4" max="4"/>
    <col width="18" customWidth="1" min="5" max="5"/>
    <col width="16" customWidth="1" min="6" max="6"/>
    <col width="14" customWidth="1" min="7" max="7"/>
    <col width="20" customWidth="1" min="8" max="8"/>
    <col width="30" customWidth="1" min="9" max="9"/>
  </cols>
  <sheetData>
    <row r="1" ht="28" customHeight="1">
      <c r="A1" s="1" t="inlineStr">
        <is>
          <t>Fee Breakdown — All Instruments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Contracts</t>
        </is>
      </c>
      <c r="D2" s="2" t="inlineStr">
        <is>
          <t>CME Fee/Leg ($)</t>
        </is>
      </c>
      <c r="E2" s="2" t="inlineStr">
        <is>
          <t>Broker Fee/Leg ($)</t>
        </is>
      </c>
      <c r="F2" s="2" t="inlineStr">
        <is>
          <t>NFA Fee/Leg ($)</t>
        </is>
      </c>
      <c r="G2" s="2" t="inlineStr">
        <is>
          <t>Total/Leg ($)</t>
        </is>
      </c>
      <c r="H2" s="2" t="inlineStr">
        <is>
          <t>Round-Trip Total ($)</t>
        </is>
      </c>
      <c r="I2" s="2" t="inlineStr">
        <is>
          <t>Notes</t>
        </is>
      </c>
    </row>
    <row r="3">
      <c r="A3" s="19" t="inlineStr">
        <is>
          <t>2026-06-15</t>
        </is>
      </c>
      <c r="B3" s="19" t="inlineStr">
        <is>
          <t>NQ</t>
        </is>
      </c>
      <c r="C3" s="19" t="n">
        <v>7</v>
      </c>
      <c r="D3" s="19" t="n">
        <v>8.26</v>
      </c>
      <c r="E3" s="19" t="n">
        <v>17.5</v>
      </c>
      <c r="F3" s="19" t="n">
        <v>0.14</v>
      </c>
      <c r="G3" s="19" t="n">
        <v>25.9</v>
      </c>
      <c r="H3" s="19" t="n">
        <v>51.8</v>
      </c>
      <c r="I3" s="19" t="inlineStr">
        <is>
          <t>NQ Bull Call Spread — FLAT</t>
        </is>
      </c>
    </row>
    <row r="4">
      <c r="A4" s="19" t="inlineStr">
        <is>
          <t>2026-06-15</t>
        </is>
      </c>
      <c r="B4" s="19" t="inlineStr">
        <is>
          <t>MNQ</t>
        </is>
      </c>
      <c r="C4" s="19" t="n">
        <v>78</v>
      </c>
      <c r="D4" s="19" t="n">
        <v>23.4</v>
      </c>
      <c r="E4" s="19" t="n">
        <v>39</v>
      </c>
      <c r="F4" s="19" t="n">
        <v>1.56</v>
      </c>
      <c r="G4" s="19" t="n">
        <v>63.96</v>
      </c>
      <c r="H4" s="19" t="n">
        <v>127.92</v>
      </c>
      <c r="I4" s="19" t="inlineStr">
        <is>
          <t>MNQ Bull Call Spread — FLAT</t>
        </is>
      </c>
    </row>
    <row r="5">
      <c r="A5" s="19" t="inlineStr">
        <is>
          <t>2026-06-17</t>
        </is>
      </c>
      <c r="B5" s="19" t="inlineStr">
        <is>
          <t>NQ</t>
        </is>
      </c>
      <c r="C5" s="19" t="n">
        <v>6</v>
      </c>
      <c r="D5" s="19" t="n">
        <v>7.08</v>
      </c>
      <c r="E5" s="19" t="n">
        <v>15</v>
      </c>
      <c r="F5" s="19" t="n">
        <v>0.12</v>
      </c>
      <c r="G5" s="19" t="n">
        <v>22.2</v>
      </c>
      <c r="H5" s="19" t="n">
        <v>44.4</v>
      </c>
      <c r="I5" s="19" t="inlineStr">
        <is>
          <t>NQ Bull Call Spread — FLAT</t>
        </is>
      </c>
    </row>
    <row r="6">
      <c r="A6" s="19" t="inlineStr">
        <is>
          <t>2026-06-17</t>
        </is>
      </c>
      <c r="B6" s="19" t="inlineStr">
        <is>
          <t>MNQ</t>
        </is>
      </c>
      <c r="C6" s="19" t="n">
        <v>60</v>
      </c>
      <c r="D6" s="19" t="n">
        <v>18</v>
      </c>
      <c r="E6" s="19" t="n">
        <v>30</v>
      </c>
      <c r="F6" s="19" t="n">
        <v>1.2</v>
      </c>
      <c r="G6" s="19" t="n">
        <v>49.2</v>
      </c>
      <c r="H6" s="19" t="n">
        <v>98.40000000000001</v>
      </c>
      <c r="I6" s="19" t="inlineStr">
        <is>
          <t>MNQ Bull Call Spread — STOP LOSS</t>
        </is>
      </c>
    </row>
    <row r="7">
      <c r="A7" s="19" t="inlineStr">
        <is>
          <t>2026-06-18</t>
        </is>
      </c>
      <c r="B7" s="19" t="inlineStr">
        <is>
          <t>NQ</t>
        </is>
      </c>
      <c r="C7" s="19" t="n">
        <v>6</v>
      </c>
      <c r="D7" s="19" t="n">
        <v>7.08</v>
      </c>
      <c r="E7" s="19" t="n">
        <v>15</v>
      </c>
      <c r="F7" s="19" t="n">
        <v>0.12</v>
      </c>
      <c r="G7" s="19" t="n">
        <v>22.2</v>
      </c>
      <c r="H7" s="19" t="n">
        <v>44.4</v>
      </c>
      <c r="I7" s="19" t="inlineStr">
        <is>
          <t>NQ Bull Call Spread — STOP LOSS</t>
        </is>
      </c>
    </row>
    <row r="8">
      <c r="A8" s="19" t="inlineStr">
        <is>
          <t>2026-06-18</t>
        </is>
      </c>
      <c r="B8" s="19" t="inlineStr">
        <is>
          <t>MNQ</t>
        </is>
      </c>
      <c r="C8" s="19" t="n">
        <v>63</v>
      </c>
      <c r="D8" s="19" t="n">
        <v>18.9</v>
      </c>
      <c r="E8" s="19" t="n">
        <v>31.5</v>
      </c>
      <c r="F8" s="19" t="n">
        <v>1.26</v>
      </c>
      <c r="G8" s="19" t="n">
        <v>51.66</v>
      </c>
      <c r="H8" s="19" t="n">
        <v>103.32</v>
      </c>
      <c r="I8" s="19" t="inlineStr">
        <is>
          <t>MNQ Bull Call Spread — STOP LOSS</t>
        </is>
      </c>
    </row>
    <row r="9">
      <c r="A9" s="19" t="inlineStr">
        <is>
          <t>2026-06-18</t>
        </is>
      </c>
      <c r="B9" s="19" t="inlineStr">
        <is>
          <t>NQ</t>
        </is>
      </c>
      <c r="C9" s="19" t="n">
        <v>7</v>
      </c>
      <c r="D9" s="19" t="n">
        <v>8.26</v>
      </c>
      <c r="E9" s="19" t="n">
        <v>17.5</v>
      </c>
      <c r="F9" s="19" t="n">
        <v>0.14</v>
      </c>
      <c r="G9" s="19" t="n">
        <v>25.9</v>
      </c>
      <c r="H9" s="19" t="n">
        <v>51.8</v>
      </c>
      <c r="I9" s="19" t="inlineStr">
        <is>
          <t>NQ Bull Call Spread — PROFIT</t>
        </is>
      </c>
    </row>
    <row r="10">
      <c r="A10" s="19" t="inlineStr">
        <is>
          <t>2026-06-18</t>
        </is>
      </c>
      <c r="B10" s="19" t="inlineStr">
        <is>
          <t>MNQ</t>
        </is>
      </c>
      <c r="C10" s="19" t="n">
        <v>77</v>
      </c>
      <c r="D10" s="19" t="n">
        <v>23.1</v>
      </c>
      <c r="E10" s="19" t="n">
        <v>38.5</v>
      </c>
      <c r="F10" s="19" t="n">
        <v>1.54</v>
      </c>
      <c r="G10" s="19" t="n">
        <v>63.14</v>
      </c>
      <c r="H10" s="19" t="n">
        <v>126.28</v>
      </c>
      <c r="I10" s="19" t="inlineStr">
        <is>
          <t>MNQ Bull Call Spread — STOP LOSS</t>
        </is>
      </c>
    </row>
    <row r="11">
      <c r="A11" s="19" t="inlineStr">
        <is>
          <t>2026-06-19</t>
        </is>
      </c>
      <c r="B11" s="19" t="inlineStr">
        <is>
          <t>NQ</t>
        </is>
      </c>
      <c r="C11" s="19" t="n">
        <v>4</v>
      </c>
      <c r="D11" s="19" t="n">
        <v>4.72</v>
      </c>
      <c r="E11" s="19" t="n">
        <v>10</v>
      </c>
      <c r="F11" s="19" t="n">
        <v>0.08</v>
      </c>
      <c r="G11" s="19" t="n">
        <v>14.8</v>
      </c>
      <c r="H11" s="19" t="n">
        <v>29.6</v>
      </c>
      <c r="I11" s="19" t="inlineStr">
        <is>
          <t>NQ Bull Call Spread — FLAT</t>
        </is>
      </c>
    </row>
    <row r="12">
      <c r="A12" s="19" t="inlineStr">
        <is>
          <t>2026-06-19</t>
        </is>
      </c>
      <c r="B12" s="19" t="inlineStr">
        <is>
          <t>MNQ</t>
        </is>
      </c>
      <c r="C12" s="19" t="n">
        <v>40</v>
      </c>
      <c r="D12" s="19" t="n">
        <v>12</v>
      </c>
      <c r="E12" s="19" t="n">
        <v>20</v>
      </c>
      <c r="F12" s="19" t="n">
        <v>0.8</v>
      </c>
      <c r="G12" s="19" t="n">
        <v>32.8</v>
      </c>
      <c r="H12" s="19" t="n">
        <v>65.59999999999999</v>
      </c>
      <c r="I12" s="19" t="inlineStr">
        <is>
          <t>MNQ Bull Call Spread — FLAT</t>
        </is>
      </c>
    </row>
    <row r="13">
      <c r="A13" s="19" t="inlineStr">
        <is>
          <t>2026-06-19</t>
        </is>
      </c>
      <c r="B13" s="19" t="inlineStr">
        <is>
          <t>NQ</t>
        </is>
      </c>
      <c r="C13" s="19" t="n">
        <v>4</v>
      </c>
      <c r="D13" s="19" t="n">
        <v>4.72</v>
      </c>
      <c r="E13" s="19" t="n">
        <v>10</v>
      </c>
      <c r="F13" s="19" t="n">
        <v>0.08</v>
      </c>
      <c r="G13" s="19" t="n">
        <v>14.8</v>
      </c>
      <c r="H13" s="19" t="n">
        <v>29.6</v>
      </c>
      <c r="I13" s="19" t="inlineStr">
        <is>
          <t>NQ Bull Call Spread — STOP LOSS</t>
        </is>
      </c>
    </row>
    <row r="14">
      <c r="A14" s="19" t="inlineStr">
        <is>
          <t>2026-06-19</t>
        </is>
      </c>
      <c r="B14" s="19" t="inlineStr">
        <is>
          <t>MNQ</t>
        </is>
      </c>
      <c r="C14" s="19" t="n">
        <v>45</v>
      </c>
      <c r="D14" s="19" t="n">
        <v>13.5</v>
      </c>
      <c r="E14" s="19" t="n">
        <v>22.5</v>
      </c>
      <c r="F14" s="19" t="n">
        <v>0.9</v>
      </c>
      <c r="G14" s="19" t="n">
        <v>36.9</v>
      </c>
      <c r="H14" s="19" t="n">
        <v>73.8</v>
      </c>
      <c r="I14" s="19" t="inlineStr">
        <is>
          <t>MNQ Bull Call Spread — STOP LOSS</t>
        </is>
      </c>
    </row>
    <row r="15">
      <c r="A15" s="19" t="inlineStr">
        <is>
          <t>2026-06-22</t>
        </is>
      </c>
      <c r="B15" s="19" t="inlineStr">
        <is>
          <t>NQ</t>
        </is>
      </c>
      <c r="C15" s="19" t="n">
        <v>3</v>
      </c>
      <c r="D15" s="19" t="n">
        <v>3.54</v>
      </c>
      <c r="E15" s="19" t="n">
        <v>7.5</v>
      </c>
      <c r="F15" s="19" t="n">
        <v>0.06</v>
      </c>
      <c r="G15" s="19" t="n">
        <v>11.1</v>
      </c>
      <c r="H15" s="19" t="n">
        <v>22.2</v>
      </c>
      <c r="I15" s="19" t="inlineStr">
        <is>
          <t>NQ Bull Call Spread — PROFIT</t>
        </is>
      </c>
    </row>
    <row r="16">
      <c r="A16" s="19" t="inlineStr">
        <is>
          <t>2026-06-22</t>
        </is>
      </c>
      <c r="B16" s="19" t="inlineStr">
        <is>
          <t>MNQ</t>
        </is>
      </c>
      <c r="C16" s="19" t="n">
        <v>40</v>
      </c>
      <c r="D16" s="19" t="n">
        <v>12</v>
      </c>
      <c r="E16" s="19" t="n">
        <v>20</v>
      </c>
      <c r="F16" s="19" t="n">
        <v>0.8</v>
      </c>
      <c r="G16" s="19" t="n">
        <v>32.8</v>
      </c>
      <c r="H16" s="19" t="n">
        <v>65.59999999999999</v>
      </c>
      <c r="I16" s="19" t="inlineStr">
        <is>
          <t>MNQ Bull Call Spread — FLAT</t>
        </is>
      </c>
    </row>
    <row r="17">
      <c r="A17" s="19" t="inlineStr">
        <is>
          <t>2026-06-22</t>
        </is>
      </c>
      <c r="B17" s="19" t="inlineStr">
        <is>
          <t>NQ</t>
        </is>
      </c>
      <c r="C17" s="19" t="n">
        <v>4</v>
      </c>
      <c r="D17" s="19" t="n">
        <v>4.72</v>
      </c>
      <c r="E17" s="19" t="n">
        <v>10</v>
      </c>
      <c r="F17" s="19" t="n">
        <v>0.08</v>
      </c>
      <c r="G17" s="19" t="n">
        <v>14.8</v>
      </c>
      <c r="H17" s="19" t="n">
        <v>29.6</v>
      </c>
      <c r="I17" s="19" t="inlineStr">
        <is>
          <t>NQ Bull Call Spread — PROFIT</t>
        </is>
      </c>
    </row>
    <row r="18">
      <c r="A18" s="19" t="inlineStr">
        <is>
          <t>2026-06-22</t>
        </is>
      </c>
      <c r="B18" s="19" t="inlineStr">
        <is>
          <t>MNQ</t>
        </is>
      </c>
      <c r="C18" s="19" t="n">
        <v>38</v>
      </c>
      <c r="D18" s="19" t="n">
        <v>11.4</v>
      </c>
      <c r="E18" s="19" t="n">
        <v>19</v>
      </c>
      <c r="F18" s="19" t="n">
        <v>0.76</v>
      </c>
      <c r="G18" s="19" t="n">
        <v>31.16</v>
      </c>
      <c r="H18" s="19" t="n">
        <v>62.32</v>
      </c>
      <c r="I18" s="19" t="inlineStr">
        <is>
          <t>MNQ Bull Call Spread — PROFIT</t>
        </is>
      </c>
    </row>
    <row r="19">
      <c r="A19" s="19" t="inlineStr">
        <is>
          <t>2026-06-23</t>
        </is>
      </c>
      <c r="B19" s="19" t="inlineStr">
        <is>
          <t>NQ</t>
        </is>
      </c>
      <c r="C19" s="19" t="n">
        <v>3</v>
      </c>
      <c r="D19" s="19" t="n">
        <v>3.54</v>
      </c>
      <c r="E19" s="19" t="n">
        <v>7.5</v>
      </c>
      <c r="F19" s="19" t="n">
        <v>0.06</v>
      </c>
      <c r="G19" s="19" t="n">
        <v>11.1</v>
      </c>
      <c r="H19" s="19" t="n">
        <v>22.2</v>
      </c>
      <c r="I19" s="19" t="inlineStr">
        <is>
          <t>NQ Bull Call Spread — PROFIT</t>
        </is>
      </c>
    </row>
    <row r="20">
      <c r="A20" s="19" t="inlineStr">
        <is>
          <t>2026-06-23</t>
        </is>
      </c>
      <c r="B20" s="19" t="inlineStr">
        <is>
          <t>MNQ</t>
        </is>
      </c>
      <c r="C20" s="19" t="n">
        <v>44</v>
      </c>
      <c r="D20" s="19" t="n">
        <v>13.2</v>
      </c>
      <c r="E20" s="19" t="n">
        <v>22</v>
      </c>
      <c r="F20" s="19" t="n">
        <v>0.88</v>
      </c>
      <c r="G20" s="19" t="n">
        <v>36.08</v>
      </c>
      <c r="H20" s="19" t="n">
        <v>72.16</v>
      </c>
      <c r="I20" s="19" t="inlineStr">
        <is>
          <t>MNQ Bull Call Spread — STOP LOSS</t>
        </is>
      </c>
    </row>
    <row r="21">
      <c r="A21" s="19" t="inlineStr">
        <is>
          <t>2026-06-23</t>
        </is>
      </c>
      <c r="B21" s="19" t="inlineStr">
        <is>
          <t>NQ</t>
        </is>
      </c>
      <c r="C21" s="19" t="n">
        <v>3</v>
      </c>
      <c r="D21" s="19" t="n">
        <v>3.54</v>
      </c>
      <c r="E21" s="19" t="n">
        <v>7.5</v>
      </c>
      <c r="F21" s="19" t="n">
        <v>0.06</v>
      </c>
      <c r="G21" s="19" t="n">
        <v>11.1</v>
      </c>
      <c r="H21" s="19" t="n">
        <v>22.2</v>
      </c>
      <c r="I21" s="19" t="inlineStr">
        <is>
          <t>NQ Bull Call Spread — PROFIT</t>
        </is>
      </c>
    </row>
    <row r="22">
      <c r="A22" s="19" t="inlineStr">
        <is>
          <t>2026-06-23</t>
        </is>
      </c>
      <c r="B22" s="19" t="inlineStr">
        <is>
          <t>MNQ</t>
        </is>
      </c>
      <c r="C22" s="19" t="n">
        <v>35</v>
      </c>
      <c r="D22" s="19" t="n">
        <v>10.5</v>
      </c>
      <c r="E22" s="19" t="n">
        <v>17.5</v>
      </c>
      <c r="F22" s="19" t="n">
        <v>0.7</v>
      </c>
      <c r="G22" s="19" t="n">
        <v>28.7</v>
      </c>
      <c r="H22" s="19" t="n">
        <v>57.4</v>
      </c>
      <c r="I22" s="19" t="inlineStr">
        <is>
          <t>MNQ Bull Call Spread — FLAT</t>
        </is>
      </c>
    </row>
    <row r="23">
      <c r="A23" s="19" t="inlineStr">
        <is>
          <t>2026-06-24</t>
        </is>
      </c>
      <c r="B23" s="19" t="inlineStr">
        <is>
          <t>NQ</t>
        </is>
      </c>
      <c r="C23" s="19" t="n">
        <v>3</v>
      </c>
      <c r="D23" s="19" t="n">
        <v>3.54</v>
      </c>
      <c r="E23" s="19" t="n">
        <v>7.5</v>
      </c>
      <c r="F23" s="19" t="n">
        <v>0.06</v>
      </c>
      <c r="G23" s="19" t="n">
        <v>11.1</v>
      </c>
      <c r="H23" s="19" t="n">
        <v>22.2</v>
      </c>
      <c r="I23" s="19" t="inlineStr">
        <is>
          <t>NQ Bull Call Spread — PROFIT</t>
        </is>
      </c>
    </row>
    <row r="24">
      <c r="A24" s="19" t="inlineStr">
        <is>
          <t>2026-06-24</t>
        </is>
      </c>
      <c r="B24" s="19" t="inlineStr">
        <is>
          <t>MNQ</t>
        </is>
      </c>
      <c r="C24" s="19" t="n">
        <v>37</v>
      </c>
      <c r="D24" s="19" t="n">
        <v>11.1</v>
      </c>
      <c r="E24" s="19" t="n">
        <v>18.5</v>
      </c>
      <c r="F24" s="19" t="n">
        <v>0.74</v>
      </c>
      <c r="G24" s="19" t="n">
        <v>30.34</v>
      </c>
      <c r="H24" s="19" t="n">
        <v>60.68</v>
      </c>
      <c r="I24" s="19" t="inlineStr">
        <is>
          <t>MNQ Bull Call Spread — PROFIT</t>
        </is>
      </c>
    </row>
    <row r="25">
      <c r="A25" s="19" t="inlineStr">
        <is>
          <t>2026-06-24</t>
        </is>
      </c>
      <c r="B25" s="19" t="inlineStr">
        <is>
          <t>NQ</t>
        </is>
      </c>
      <c r="C25" s="19" t="n">
        <v>3</v>
      </c>
      <c r="D25" s="19" t="n">
        <v>3.54</v>
      </c>
      <c r="E25" s="19" t="n">
        <v>7.5</v>
      </c>
      <c r="F25" s="19" t="n">
        <v>0.06</v>
      </c>
      <c r="G25" s="19" t="n">
        <v>11.1</v>
      </c>
      <c r="H25" s="19" t="n">
        <v>22.2</v>
      </c>
      <c r="I25" s="19" t="inlineStr">
        <is>
          <t>NQ Bull Call Spread — PROFIT</t>
        </is>
      </c>
    </row>
    <row r="26">
      <c r="A26" s="19" t="inlineStr">
        <is>
          <t>2026-06-24</t>
        </is>
      </c>
      <c r="B26" s="19" t="inlineStr">
        <is>
          <t>MNQ</t>
        </is>
      </c>
      <c r="C26" s="19" t="n">
        <v>39</v>
      </c>
      <c r="D26" s="19" t="n">
        <v>11.7</v>
      </c>
      <c r="E26" s="19" t="n">
        <v>19.5</v>
      </c>
      <c r="F26" s="19" t="n">
        <v>0.78</v>
      </c>
      <c r="G26" s="19" t="n">
        <v>31.98</v>
      </c>
      <c r="H26" s="19" t="n">
        <v>63.96</v>
      </c>
      <c r="I26" s="19" t="inlineStr">
        <is>
          <t>MNQ Bull Call Spread — STOP LOSS</t>
        </is>
      </c>
    </row>
    <row r="27">
      <c r="A27" s="19" t="inlineStr">
        <is>
          <t>2026-06-25</t>
        </is>
      </c>
      <c r="B27" s="19" t="inlineStr">
        <is>
          <t>NQ</t>
        </is>
      </c>
      <c r="C27" s="19" t="n">
        <v>4</v>
      </c>
      <c r="D27" s="19" t="n">
        <v>4.72</v>
      </c>
      <c r="E27" s="19" t="n">
        <v>10</v>
      </c>
      <c r="F27" s="19" t="n">
        <v>0.08</v>
      </c>
      <c r="G27" s="19" t="n">
        <v>14.8</v>
      </c>
      <c r="H27" s="19" t="n">
        <v>29.6</v>
      </c>
      <c r="I27" s="19" t="inlineStr">
        <is>
          <t>NQ Bull Call Spread — PROFIT</t>
        </is>
      </c>
    </row>
    <row r="28">
      <c r="A28" s="19" t="inlineStr">
        <is>
          <t>2026-06-25</t>
        </is>
      </c>
      <c r="B28" s="19" t="inlineStr">
        <is>
          <t>MNQ</t>
        </is>
      </c>
      <c r="C28" s="19" t="n">
        <v>45</v>
      </c>
      <c r="D28" s="19" t="n">
        <v>13.5</v>
      </c>
      <c r="E28" s="19" t="n">
        <v>22.5</v>
      </c>
      <c r="F28" s="19" t="n">
        <v>0.9</v>
      </c>
      <c r="G28" s="19" t="n">
        <v>36.9</v>
      </c>
      <c r="H28" s="19" t="n">
        <v>73.8</v>
      </c>
      <c r="I28" s="19" t="inlineStr">
        <is>
          <t>MNQ Bull Call Spread — STOP LOSS</t>
        </is>
      </c>
    </row>
    <row r="29">
      <c r="A29" s="19" t="inlineStr">
        <is>
          <t>2026-06-25</t>
        </is>
      </c>
      <c r="B29" s="19" t="inlineStr">
        <is>
          <t>NQ</t>
        </is>
      </c>
      <c r="C29" s="19" t="n">
        <v>3</v>
      </c>
      <c r="D29" s="19" t="n">
        <v>3.54</v>
      </c>
      <c r="E29" s="19" t="n">
        <v>7.5</v>
      </c>
      <c r="F29" s="19" t="n">
        <v>0.06</v>
      </c>
      <c r="G29" s="19" t="n">
        <v>11.1</v>
      </c>
      <c r="H29" s="19" t="n">
        <v>22.2</v>
      </c>
      <c r="I29" s="19" t="inlineStr">
        <is>
          <t>NQ Bull Call Spread — PROFIT</t>
        </is>
      </c>
    </row>
    <row r="30">
      <c r="A30" s="19" t="inlineStr">
        <is>
          <t>2026-06-25</t>
        </is>
      </c>
      <c r="B30" s="19" t="inlineStr">
        <is>
          <t>MNQ</t>
        </is>
      </c>
      <c r="C30" s="19" t="n">
        <v>35</v>
      </c>
      <c r="D30" s="19" t="n">
        <v>10.5</v>
      </c>
      <c r="E30" s="19" t="n">
        <v>17.5</v>
      </c>
      <c r="F30" s="19" t="n">
        <v>0.7</v>
      </c>
      <c r="G30" s="19" t="n">
        <v>28.7</v>
      </c>
      <c r="H30" s="19" t="n">
        <v>57.4</v>
      </c>
      <c r="I30" s="19" t="inlineStr">
        <is>
          <t>MNQ Bull Call Spread — PROFIT</t>
        </is>
      </c>
    </row>
    <row r="31">
      <c r="A31" s="19" t="inlineStr">
        <is>
          <t>2026-06-26</t>
        </is>
      </c>
      <c r="B31" s="19" t="inlineStr">
        <is>
          <t>NQ</t>
        </is>
      </c>
      <c r="C31" s="19" t="n">
        <v>4</v>
      </c>
      <c r="D31" s="19" t="n">
        <v>4.72</v>
      </c>
      <c r="E31" s="19" t="n">
        <v>10</v>
      </c>
      <c r="F31" s="19" t="n">
        <v>0.08</v>
      </c>
      <c r="G31" s="19" t="n">
        <v>14.8</v>
      </c>
      <c r="H31" s="19" t="n">
        <v>29.6</v>
      </c>
      <c r="I31" s="19" t="inlineStr">
        <is>
          <t>NQ Bull Call Spread — STOP LOSS</t>
        </is>
      </c>
    </row>
    <row r="32">
      <c r="A32" s="19" t="inlineStr">
        <is>
          <t>2026-06-26</t>
        </is>
      </c>
      <c r="B32" s="19" t="inlineStr">
        <is>
          <t>MNQ</t>
        </is>
      </c>
      <c r="C32" s="19" t="n">
        <v>36</v>
      </c>
      <c r="D32" s="19" t="n">
        <v>10.8</v>
      </c>
      <c r="E32" s="19" t="n">
        <v>18</v>
      </c>
      <c r="F32" s="19" t="n">
        <v>0.72</v>
      </c>
      <c r="G32" s="19" t="n">
        <v>29.52</v>
      </c>
      <c r="H32" s="19" t="n">
        <v>59.04</v>
      </c>
      <c r="I32" s="19" t="inlineStr">
        <is>
          <t>MNQ Bull Call Spread — STOP LOSS</t>
        </is>
      </c>
    </row>
    <row r="33">
      <c r="A33" s="19" t="inlineStr">
        <is>
          <t>2026-06-26</t>
        </is>
      </c>
      <c r="B33" s="19" t="inlineStr">
        <is>
          <t>NQ</t>
        </is>
      </c>
      <c r="C33" s="19" t="n">
        <v>4</v>
      </c>
      <c r="D33" s="19" t="n">
        <v>4.72</v>
      </c>
      <c r="E33" s="19" t="n">
        <v>10</v>
      </c>
      <c r="F33" s="19" t="n">
        <v>0.08</v>
      </c>
      <c r="G33" s="19" t="n">
        <v>14.8</v>
      </c>
      <c r="H33" s="19" t="n">
        <v>29.6</v>
      </c>
      <c r="I33" s="19" t="inlineStr">
        <is>
          <t>NQ Bull Call Spread — STOP LOSS</t>
        </is>
      </c>
    </row>
    <row r="34">
      <c r="A34" s="19" t="inlineStr">
        <is>
          <t>2026-06-26</t>
        </is>
      </c>
      <c r="B34" s="19" t="inlineStr">
        <is>
          <t>MNQ</t>
        </is>
      </c>
      <c r="C34" s="19" t="n">
        <v>37</v>
      </c>
      <c r="D34" s="19" t="n">
        <v>11.1</v>
      </c>
      <c r="E34" s="19" t="n">
        <v>18.5</v>
      </c>
      <c r="F34" s="19" t="n">
        <v>0.74</v>
      </c>
      <c r="G34" s="19" t="n">
        <v>30.34</v>
      </c>
      <c r="H34" s="19" t="n">
        <v>60.68</v>
      </c>
      <c r="I34" s="19" t="inlineStr">
        <is>
          <t>MNQ Bull Call Spread — FLAT</t>
        </is>
      </c>
    </row>
    <row r="35">
      <c r="A35" s="19" t="inlineStr">
        <is>
          <t>2026-06-29</t>
        </is>
      </c>
      <c r="B35" s="19" t="inlineStr">
        <is>
          <t>NQ</t>
        </is>
      </c>
      <c r="C35" s="19" t="n">
        <v>3</v>
      </c>
      <c r="D35" s="19" t="n">
        <v>3.54</v>
      </c>
      <c r="E35" s="19" t="n">
        <v>7.5</v>
      </c>
      <c r="F35" s="19" t="n">
        <v>0.06</v>
      </c>
      <c r="G35" s="19" t="n">
        <v>11.1</v>
      </c>
      <c r="H35" s="19" t="n">
        <v>22.2</v>
      </c>
      <c r="I35" s="19" t="inlineStr">
        <is>
          <t>NQ Bull Call Spread — STOP LOSS</t>
        </is>
      </c>
    </row>
    <row r="36">
      <c r="A36" s="19" t="inlineStr">
        <is>
          <t>2026-06-29</t>
        </is>
      </c>
      <c r="B36" s="19" t="inlineStr">
        <is>
          <t>MNQ</t>
        </is>
      </c>
      <c r="C36" s="19" t="n">
        <v>37</v>
      </c>
      <c r="D36" s="19" t="n">
        <v>11.1</v>
      </c>
      <c r="E36" s="19" t="n">
        <v>18.5</v>
      </c>
      <c r="F36" s="19" t="n">
        <v>0.74</v>
      </c>
      <c r="G36" s="19" t="n">
        <v>30.34</v>
      </c>
      <c r="H36" s="19" t="n">
        <v>60.68</v>
      </c>
      <c r="I36" s="19" t="inlineStr">
        <is>
          <t>MNQ Bull Call Spread — PROFIT</t>
        </is>
      </c>
    </row>
    <row r="37">
      <c r="A37" s="19" t="inlineStr">
        <is>
          <t>2026-06-29</t>
        </is>
      </c>
      <c r="B37" s="19" t="inlineStr">
        <is>
          <t>NQ</t>
        </is>
      </c>
      <c r="C37" s="19" t="n">
        <v>4</v>
      </c>
      <c r="D37" s="19" t="n">
        <v>4.72</v>
      </c>
      <c r="E37" s="19" t="n">
        <v>10</v>
      </c>
      <c r="F37" s="19" t="n">
        <v>0.08</v>
      </c>
      <c r="G37" s="19" t="n">
        <v>14.8</v>
      </c>
      <c r="H37" s="19" t="n">
        <v>29.6</v>
      </c>
      <c r="I37" s="19" t="inlineStr">
        <is>
          <t>NQ Bull Call Spread — STOP LOSS</t>
        </is>
      </c>
    </row>
    <row r="38">
      <c r="A38" s="19" t="inlineStr">
        <is>
          <t>2026-06-29</t>
        </is>
      </c>
      <c r="B38" s="19" t="inlineStr">
        <is>
          <t>MNQ</t>
        </is>
      </c>
      <c r="C38" s="19" t="n">
        <v>41</v>
      </c>
      <c r="D38" s="19" t="n">
        <v>12.3</v>
      </c>
      <c r="E38" s="19" t="n">
        <v>20.5</v>
      </c>
      <c r="F38" s="19" t="n">
        <v>0.82</v>
      </c>
      <c r="G38" s="19" t="n">
        <v>33.62</v>
      </c>
      <c r="H38" s="19" t="n">
        <v>67.23999999999999</v>
      </c>
      <c r="I38" s="19" t="inlineStr">
        <is>
          <t>MNQ Bull Call Spread — PROFIT</t>
        </is>
      </c>
    </row>
    <row r="39">
      <c r="A39" s="19" t="inlineStr">
        <is>
          <t>2026-06-30</t>
        </is>
      </c>
      <c r="B39" s="19" t="inlineStr">
        <is>
          <t>NQ</t>
        </is>
      </c>
      <c r="C39" s="19" t="n">
        <v>4</v>
      </c>
      <c r="D39" s="19" t="n">
        <v>4.72</v>
      </c>
      <c r="E39" s="19" t="n">
        <v>10</v>
      </c>
      <c r="F39" s="19" t="n">
        <v>0.08</v>
      </c>
      <c r="G39" s="19" t="n">
        <v>14.8</v>
      </c>
      <c r="H39" s="19" t="n">
        <v>29.6</v>
      </c>
      <c r="I39" s="19" t="inlineStr">
        <is>
          <t>NQ Bull Call Spread — PROFIT</t>
        </is>
      </c>
    </row>
    <row r="40">
      <c r="A40" s="19" t="inlineStr">
        <is>
          <t>2026-06-30</t>
        </is>
      </c>
      <c r="B40" s="19" t="inlineStr">
        <is>
          <t>MNQ</t>
        </is>
      </c>
      <c r="C40" s="19" t="n">
        <v>38</v>
      </c>
      <c r="D40" s="19" t="n">
        <v>11.4</v>
      </c>
      <c r="E40" s="19" t="n">
        <v>19</v>
      </c>
      <c r="F40" s="19" t="n">
        <v>0.76</v>
      </c>
      <c r="G40" s="19" t="n">
        <v>31.16</v>
      </c>
      <c r="H40" s="19" t="n">
        <v>62.32</v>
      </c>
      <c r="I40" s="19" t="inlineStr">
        <is>
          <t>MNQ Bull Call Spread — PROFIT</t>
        </is>
      </c>
    </row>
    <row r="41">
      <c r="A41" s="19" t="inlineStr">
        <is>
          <t>2026-06-30</t>
        </is>
      </c>
      <c r="B41" s="19" t="inlineStr">
        <is>
          <t>NQ</t>
        </is>
      </c>
      <c r="C41" s="19" t="n">
        <v>4</v>
      </c>
      <c r="D41" s="19" t="n">
        <v>4.72</v>
      </c>
      <c r="E41" s="19" t="n">
        <v>10</v>
      </c>
      <c r="F41" s="19" t="n">
        <v>0.08</v>
      </c>
      <c r="G41" s="19" t="n">
        <v>14.8</v>
      </c>
      <c r="H41" s="19" t="n">
        <v>29.6</v>
      </c>
      <c r="I41" s="19" t="inlineStr">
        <is>
          <t>NQ Bull Call Spread — PROFIT</t>
        </is>
      </c>
    </row>
    <row r="42">
      <c r="A42" s="19" t="inlineStr">
        <is>
          <t>2026-06-30</t>
        </is>
      </c>
      <c r="B42" s="19" t="inlineStr">
        <is>
          <t>MNQ</t>
        </is>
      </c>
      <c r="C42" s="19" t="n">
        <v>44</v>
      </c>
      <c r="D42" s="19" t="n">
        <v>13.2</v>
      </c>
      <c r="E42" s="19" t="n">
        <v>22</v>
      </c>
      <c r="F42" s="19" t="n">
        <v>0.88</v>
      </c>
      <c r="G42" s="19" t="n">
        <v>36.08</v>
      </c>
      <c r="H42" s="19" t="n">
        <v>72.16</v>
      </c>
      <c r="I42" s="19" t="inlineStr">
        <is>
          <t>MNQ Bull Call Spread — PROFIT</t>
        </is>
      </c>
    </row>
    <row r="43">
      <c r="A43" s="19" t="inlineStr">
        <is>
          <t>2026-07-01</t>
        </is>
      </c>
      <c r="B43" s="19" t="inlineStr">
        <is>
          <t>NQ</t>
        </is>
      </c>
      <c r="C43" s="19" t="n">
        <v>4</v>
      </c>
      <c r="D43" s="19" t="n">
        <v>4.72</v>
      </c>
      <c r="E43" s="19" t="n">
        <v>10</v>
      </c>
      <c r="F43" s="19" t="n">
        <v>0.08</v>
      </c>
      <c r="G43" s="19" t="n">
        <v>14.8</v>
      </c>
      <c r="H43" s="19" t="n">
        <v>29.6</v>
      </c>
      <c r="I43" s="19" t="inlineStr">
        <is>
          <t>NQ Bull Call Spread — STOP LOSS</t>
        </is>
      </c>
    </row>
    <row r="44">
      <c r="A44" s="19" t="inlineStr">
        <is>
          <t>2026-07-01</t>
        </is>
      </c>
      <c r="B44" s="19" t="inlineStr">
        <is>
          <t>MNQ</t>
        </is>
      </c>
      <c r="C44" s="19" t="n">
        <v>42</v>
      </c>
      <c r="D44" s="19" t="n">
        <v>12.6</v>
      </c>
      <c r="E44" s="19" t="n">
        <v>21</v>
      </c>
      <c r="F44" s="19" t="n">
        <v>0.84</v>
      </c>
      <c r="G44" s="19" t="n">
        <v>34.44</v>
      </c>
      <c r="H44" s="19" t="n">
        <v>68.88</v>
      </c>
      <c r="I44" s="19" t="inlineStr">
        <is>
          <t>MNQ Bull Call Spread — PROFIT</t>
        </is>
      </c>
    </row>
    <row r="45">
      <c r="A45" s="19" t="inlineStr">
        <is>
          <t>2026-07-01</t>
        </is>
      </c>
      <c r="B45" s="19" t="inlineStr">
        <is>
          <t>NQ</t>
        </is>
      </c>
      <c r="C45" s="19" t="n">
        <v>3</v>
      </c>
      <c r="D45" s="19" t="n">
        <v>3.54</v>
      </c>
      <c r="E45" s="19" t="n">
        <v>7.5</v>
      </c>
      <c r="F45" s="19" t="n">
        <v>0.06</v>
      </c>
      <c r="G45" s="19" t="n">
        <v>11.1</v>
      </c>
      <c r="H45" s="19" t="n">
        <v>22.2</v>
      </c>
      <c r="I45" s="19" t="inlineStr">
        <is>
          <t>NQ Bull Call Spread — PROFIT</t>
        </is>
      </c>
    </row>
    <row r="46">
      <c r="A46" s="19" t="inlineStr">
        <is>
          <t>2026-07-01</t>
        </is>
      </c>
      <c r="B46" s="19" t="inlineStr">
        <is>
          <t>MNQ</t>
        </is>
      </c>
      <c r="C46" s="19" t="n">
        <v>36</v>
      </c>
      <c r="D46" s="19" t="n">
        <v>10.8</v>
      </c>
      <c r="E46" s="19" t="n">
        <v>18</v>
      </c>
      <c r="F46" s="19" t="n">
        <v>0.72</v>
      </c>
      <c r="G46" s="19" t="n">
        <v>29.52</v>
      </c>
      <c r="H46" s="19" t="n">
        <v>59.04</v>
      </c>
      <c r="I46" s="19" t="inlineStr">
        <is>
          <t>MNQ Bull Call Spread — FLAT</t>
        </is>
      </c>
    </row>
    <row r="47">
      <c r="A47" s="19" t="inlineStr">
        <is>
          <t>2026-07-02</t>
        </is>
      </c>
      <c r="B47" s="19" t="inlineStr">
        <is>
          <t>NQ</t>
        </is>
      </c>
      <c r="C47" s="19" t="n">
        <v>4</v>
      </c>
      <c r="D47" s="19" t="n">
        <v>4.72</v>
      </c>
      <c r="E47" s="19" t="n">
        <v>10</v>
      </c>
      <c r="F47" s="19" t="n">
        <v>0.08</v>
      </c>
      <c r="G47" s="19" t="n">
        <v>14.8</v>
      </c>
      <c r="H47" s="19" t="n">
        <v>29.6</v>
      </c>
      <c r="I47" s="19" t="inlineStr">
        <is>
          <t>NQ Bull Call Spread — PROFIT</t>
        </is>
      </c>
    </row>
    <row r="48">
      <c r="A48" s="19" t="inlineStr">
        <is>
          <t>2026-07-02</t>
        </is>
      </c>
      <c r="B48" s="19" t="inlineStr">
        <is>
          <t>MNQ</t>
        </is>
      </c>
      <c r="C48" s="19" t="n">
        <v>37</v>
      </c>
      <c r="D48" s="19" t="n">
        <v>11.1</v>
      </c>
      <c r="E48" s="19" t="n">
        <v>18.5</v>
      </c>
      <c r="F48" s="19" t="n">
        <v>0.74</v>
      </c>
      <c r="G48" s="19" t="n">
        <v>30.34</v>
      </c>
      <c r="H48" s="19" t="n">
        <v>60.68</v>
      </c>
      <c r="I48" s="19" t="inlineStr">
        <is>
          <t>MNQ Bull Call Spread — PROFIT</t>
        </is>
      </c>
    </row>
    <row r="49">
      <c r="A49" s="19" t="inlineStr">
        <is>
          <t>2026-07-02</t>
        </is>
      </c>
      <c r="B49" s="19" t="inlineStr">
        <is>
          <t>NQ</t>
        </is>
      </c>
      <c r="C49" s="19" t="n">
        <v>4</v>
      </c>
      <c r="D49" s="19" t="n">
        <v>4.72</v>
      </c>
      <c r="E49" s="19" t="n">
        <v>10</v>
      </c>
      <c r="F49" s="19" t="n">
        <v>0.08</v>
      </c>
      <c r="G49" s="19" t="n">
        <v>14.8</v>
      </c>
      <c r="H49" s="19" t="n">
        <v>29.6</v>
      </c>
      <c r="I49" s="19" t="inlineStr">
        <is>
          <t>NQ Bull Call Spread — STOP LOSS</t>
        </is>
      </c>
    </row>
    <row r="50">
      <c r="A50" s="19" t="inlineStr">
        <is>
          <t>2026-07-02</t>
        </is>
      </c>
      <c r="B50" s="19" t="inlineStr">
        <is>
          <t>MNQ</t>
        </is>
      </c>
      <c r="C50" s="19" t="n">
        <v>34</v>
      </c>
      <c r="D50" s="19" t="n">
        <v>10.2</v>
      </c>
      <c r="E50" s="19" t="n">
        <v>17</v>
      </c>
      <c r="F50" s="19" t="n">
        <v>0.68</v>
      </c>
      <c r="G50" s="19" t="n">
        <v>27.88</v>
      </c>
      <c r="H50" s="19" t="n">
        <v>55.76</v>
      </c>
      <c r="I50" s="19" t="inlineStr">
        <is>
          <t>MNQ Bull Call Spread — STOP LOSS</t>
        </is>
      </c>
    </row>
    <row r="51">
      <c r="A51" s="19" t="inlineStr">
        <is>
          <t>2026-07-06</t>
        </is>
      </c>
      <c r="B51" s="19" t="inlineStr">
        <is>
          <t>NQ</t>
        </is>
      </c>
      <c r="C51" s="19" t="n">
        <v>6</v>
      </c>
      <c r="D51" s="19" t="n">
        <v>7.08</v>
      </c>
      <c r="E51" s="19" t="n">
        <v>15</v>
      </c>
      <c r="F51" s="19" t="n">
        <v>0.12</v>
      </c>
      <c r="G51" s="19" t="n">
        <v>22.2</v>
      </c>
      <c r="H51" s="19" t="n">
        <v>44.4</v>
      </c>
      <c r="I51" s="19" t="inlineStr">
        <is>
          <t>NQ Bull Call Spread — STOP LOSS</t>
        </is>
      </c>
    </row>
    <row r="52">
      <c r="A52" s="19" t="inlineStr">
        <is>
          <t>2026-07-06</t>
        </is>
      </c>
      <c r="B52" s="19" t="inlineStr">
        <is>
          <t>MNQ</t>
        </is>
      </c>
      <c r="C52" s="19" t="n">
        <v>57</v>
      </c>
      <c r="D52" s="19" t="n">
        <v>17.1</v>
      </c>
      <c r="E52" s="19" t="n">
        <v>28.5</v>
      </c>
      <c r="F52" s="19" t="n">
        <v>1.14</v>
      </c>
      <c r="G52" s="19" t="n">
        <v>46.74</v>
      </c>
      <c r="H52" s="19" t="n">
        <v>93.48</v>
      </c>
      <c r="I52" s="19" t="inlineStr">
        <is>
          <t>MNQ Bull Call Spread — STOP LOSS</t>
        </is>
      </c>
    </row>
    <row r="53">
      <c r="A53" s="19" t="inlineStr">
        <is>
          <t>2026-07-06</t>
        </is>
      </c>
      <c r="B53" s="19" t="inlineStr">
        <is>
          <t>NQ</t>
        </is>
      </c>
      <c r="C53" s="19" t="n">
        <v>5</v>
      </c>
      <c r="D53" s="19" t="n">
        <v>5.9</v>
      </c>
      <c r="E53" s="19" t="n">
        <v>12.5</v>
      </c>
      <c r="F53" s="19" t="n">
        <v>0.1</v>
      </c>
      <c r="G53" s="19" t="n">
        <v>18.5</v>
      </c>
      <c r="H53" s="19" t="n">
        <v>37</v>
      </c>
      <c r="I53" s="19" t="inlineStr">
        <is>
          <t>NQ Bull Call Spread — PROFIT</t>
        </is>
      </c>
    </row>
    <row r="54">
      <c r="A54" s="19" t="inlineStr">
        <is>
          <t>2026-07-06</t>
        </is>
      </c>
      <c r="B54" s="19" t="inlineStr">
        <is>
          <t>MNQ</t>
        </is>
      </c>
      <c r="C54" s="19" t="n">
        <v>48</v>
      </c>
      <c r="D54" s="19" t="n">
        <v>14.4</v>
      </c>
      <c r="E54" s="19" t="n">
        <v>24</v>
      </c>
      <c r="F54" s="19" t="n">
        <v>0.96</v>
      </c>
      <c r="G54" s="19" t="n">
        <v>39.36</v>
      </c>
      <c r="H54" s="19" t="n">
        <v>78.72</v>
      </c>
      <c r="I54" s="19" t="inlineStr">
        <is>
          <t>MNQ Bull Call Spread — PROFIT</t>
        </is>
      </c>
    </row>
    <row r="55">
      <c r="A55" s="19" t="inlineStr">
        <is>
          <t>2026-07-07</t>
        </is>
      </c>
      <c r="B55" s="19" t="inlineStr">
        <is>
          <t>NQ</t>
        </is>
      </c>
      <c r="C55" s="19" t="n">
        <v>5</v>
      </c>
      <c r="D55" s="19" t="n">
        <v>5.9</v>
      </c>
      <c r="E55" s="19" t="n">
        <v>12.5</v>
      </c>
      <c r="F55" s="19" t="n">
        <v>0.1</v>
      </c>
      <c r="G55" s="19" t="n">
        <v>18.5</v>
      </c>
      <c r="H55" s="19" t="n">
        <v>37</v>
      </c>
      <c r="I55" s="19" t="inlineStr">
        <is>
          <t>NQ Bull Call Spread — STOP LOSS</t>
        </is>
      </c>
    </row>
    <row r="56">
      <c r="A56" s="19" t="inlineStr">
        <is>
          <t>2026-07-07</t>
        </is>
      </c>
      <c r="B56" s="19" t="inlineStr">
        <is>
          <t>MNQ</t>
        </is>
      </c>
      <c r="C56" s="19" t="n">
        <v>51</v>
      </c>
      <c r="D56" s="19" t="n">
        <v>15.3</v>
      </c>
      <c r="E56" s="19" t="n">
        <v>25.5</v>
      </c>
      <c r="F56" s="19" t="n">
        <v>1.02</v>
      </c>
      <c r="G56" s="19" t="n">
        <v>41.82</v>
      </c>
      <c r="H56" s="19" t="n">
        <v>83.64</v>
      </c>
      <c r="I56" s="19" t="inlineStr">
        <is>
          <t>MNQ Bull Call Spread — FLAT</t>
        </is>
      </c>
    </row>
    <row r="57">
      <c r="A57" s="19" t="inlineStr">
        <is>
          <t>2026-07-07</t>
        </is>
      </c>
      <c r="B57" s="19" t="inlineStr">
        <is>
          <t>NQ</t>
        </is>
      </c>
      <c r="C57" s="19" t="n">
        <v>4</v>
      </c>
      <c r="D57" s="19" t="n">
        <v>4.72</v>
      </c>
      <c r="E57" s="19" t="n">
        <v>10</v>
      </c>
      <c r="F57" s="19" t="n">
        <v>0.08</v>
      </c>
      <c r="G57" s="19" t="n">
        <v>14.8</v>
      </c>
      <c r="H57" s="19" t="n">
        <v>29.6</v>
      </c>
      <c r="I57" s="19" t="inlineStr">
        <is>
          <t>NQ Bull Call Spread — PROFIT</t>
        </is>
      </c>
    </row>
    <row r="58">
      <c r="A58" s="19" t="inlineStr">
        <is>
          <t>2026-07-07</t>
        </is>
      </c>
      <c r="B58" s="19" t="inlineStr">
        <is>
          <t>MNQ</t>
        </is>
      </c>
      <c r="C58" s="19" t="n">
        <v>54</v>
      </c>
      <c r="D58" s="19" t="n">
        <v>16.2</v>
      </c>
      <c r="E58" s="19" t="n">
        <v>27</v>
      </c>
      <c r="F58" s="19" t="n">
        <v>1.08</v>
      </c>
      <c r="G58" s="19" t="n">
        <v>44.28</v>
      </c>
      <c r="H58" s="19" t="n">
        <v>88.56</v>
      </c>
      <c r="I58" s="19" t="inlineStr">
        <is>
          <t>MNQ Bull Call Spread — STOP LOSS</t>
        </is>
      </c>
    </row>
    <row r="59">
      <c r="A59" s="19" t="inlineStr">
        <is>
          <t>2026-07-08</t>
        </is>
      </c>
      <c r="B59" s="19" t="inlineStr">
        <is>
          <t>NQ</t>
        </is>
      </c>
      <c r="C59" s="19" t="n">
        <v>5</v>
      </c>
      <c r="D59" s="19" t="n">
        <v>5.9</v>
      </c>
      <c r="E59" s="19" t="n">
        <v>12.5</v>
      </c>
      <c r="F59" s="19" t="n">
        <v>0.1</v>
      </c>
      <c r="G59" s="19" t="n">
        <v>18.5</v>
      </c>
      <c r="H59" s="19" t="n">
        <v>37</v>
      </c>
      <c r="I59" s="19" t="inlineStr">
        <is>
          <t>NQ Bull Call Spread — STOP LOSS</t>
        </is>
      </c>
    </row>
    <row r="60">
      <c r="A60" s="19" t="inlineStr">
        <is>
          <t>2026-07-08</t>
        </is>
      </c>
      <c r="B60" s="19" t="inlineStr">
        <is>
          <t>MNQ</t>
        </is>
      </c>
      <c r="C60" s="19" t="n">
        <v>52</v>
      </c>
      <c r="D60" s="19" t="n">
        <v>15.6</v>
      </c>
      <c r="E60" s="19" t="n">
        <v>26</v>
      </c>
      <c r="F60" s="19" t="n">
        <v>1.04</v>
      </c>
      <c r="G60" s="19" t="n">
        <v>42.64</v>
      </c>
      <c r="H60" s="19" t="n">
        <v>85.28</v>
      </c>
      <c r="I60" s="19" t="inlineStr">
        <is>
          <t>MNQ Bull Call Spread — PROFIT</t>
        </is>
      </c>
    </row>
    <row r="61">
      <c r="A61" s="19" t="inlineStr">
        <is>
          <t>2026-07-08</t>
        </is>
      </c>
      <c r="B61" s="19" t="inlineStr">
        <is>
          <t>NQ</t>
        </is>
      </c>
      <c r="C61" s="19" t="n">
        <v>4</v>
      </c>
      <c r="D61" s="19" t="n">
        <v>4.72</v>
      </c>
      <c r="E61" s="19" t="n">
        <v>10</v>
      </c>
      <c r="F61" s="19" t="n">
        <v>0.08</v>
      </c>
      <c r="G61" s="19" t="n">
        <v>14.8</v>
      </c>
      <c r="H61" s="19" t="n">
        <v>29.6</v>
      </c>
      <c r="I61" s="19" t="inlineStr">
        <is>
          <t>NQ Bull Call Spread — FLAT</t>
        </is>
      </c>
    </row>
    <row r="62">
      <c r="A62" s="19" t="inlineStr">
        <is>
          <t>2026-07-08</t>
        </is>
      </c>
      <c r="B62" s="19" t="inlineStr">
        <is>
          <t>MNQ</t>
        </is>
      </c>
      <c r="C62" s="19" t="n">
        <v>47</v>
      </c>
      <c r="D62" s="19" t="n">
        <v>14.1</v>
      </c>
      <c r="E62" s="19" t="n">
        <v>23.5</v>
      </c>
      <c r="F62" s="19" t="n">
        <v>0.9399999999999999</v>
      </c>
      <c r="G62" s="19" t="n">
        <v>38.54</v>
      </c>
      <c r="H62" s="19" t="n">
        <v>77.08</v>
      </c>
      <c r="I62" s="19" t="inlineStr">
        <is>
          <t>MNQ Bull Call Spread — STOP LOSS</t>
        </is>
      </c>
    </row>
    <row r="63">
      <c r="A63" s="19" t="inlineStr">
        <is>
          <t>2026-07-09</t>
        </is>
      </c>
      <c r="B63" s="19" t="inlineStr">
        <is>
          <t>NQ</t>
        </is>
      </c>
      <c r="C63" s="19" t="n">
        <v>4</v>
      </c>
      <c r="D63" s="19" t="n">
        <v>4.72</v>
      </c>
      <c r="E63" s="19" t="n">
        <v>10</v>
      </c>
      <c r="F63" s="19" t="n">
        <v>0.08</v>
      </c>
      <c r="G63" s="19" t="n">
        <v>14.8</v>
      </c>
      <c r="H63" s="19" t="n">
        <v>29.6</v>
      </c>
      <c r="I63" s="19" t="inlineStr">
        <is>
          <t>NQ Bull Call Spread — PROFIT</t>
        </is>
      </c>
    </row>
    <row r="64">
      <c r="A64" s="19" t="inlineStr">
        <is>
          <t>2026-07-09</t>
        </is>
      </c>
      <c r="B64" s="19" t="inlineStr">
        <is>
          <t>MNQ</t>
        </is>
      </c>
      <c r="C64" s="19" t="n">
        <v>48</v>
      </c>
      <c r="D64" s="19" t="n">
        <v>14.4</v>
      </c>
      <c r="E64" s="19" t="n">
        <v>24</v>
      </c>
      <c r="F64" s="19" t="n">
        <v>0.96</v>
      </c>
      <c r="G64" s="19" t="n">
        <v>39.36</v>
      </c>
      <c r="H64" s="19" t="n">
        <v>78.72</v>
      </c>
      <c r="I64" s="19" t="inlineStr">
        <is>
          <t>MNQ Bull Call Spread — PROFIT</t>
        </is>
      </c>
    </row>
    <row r="65">
      <c r="A65" s="19" t="inlineStr">
        <is>
          <t>2026-07-09</t>
        </is>
      </c>
      <c r="B65" s="19" t="inlineStr">
        <is>
          <t>NQ</t>
        </is>
      </c>
      <c r="C65" s="19" t="n">
        <v>5</v>
      </c>
      <c r="D65" s="19" t="n">
        <v>5.9</v>
      </c>
      <c r="E65" s="19" t="n">
        <v>12.5</v>
      </c>
      <c r="F65" s="19" t="n">
        <v>0.1</v>
      </c>
      <c r="G65" s="19" t="n">
        <v>18.5</v>
      </c>
      <c r="H65" s="19" t="n">
        <v>37</v>
      </c>
      <c r="I65" s="19" t="inlineStr">
        <is>
          <t>NQ Bull Call Spread — PROFIT</t>
        </is>
      </c>
    </row>
    <row r="66">
      <c r="A66" s="19" t="inlineStr">
        <is>
          <t>2026-07-09</t>
        </is>
      </c>
      <c r="B66" s="19" t="inlineStr">
        <is>
          <t>MNQ</t>
        </is>
      </c>
      <c r="C66" s="19" t="n">
        <v>44</v>
      </c>
      <c r="D66" s="19" t="n">
        <v>13.2</v>
      </c>
      <c r="E66" s="19" t="n">
        <v>22</v>
      </c>
      <c r="F66" s="19" t="n">
        <v>0.88</v>
      </c>
      <c r="G66" s="19" t="n">
        <v>36.08</v>
      </c>
      <c r="H66" s="19" t="n">
        <v>72.16</v>
      </c>
      <c r="I66" s="19" t="inlineStr">
        <is>
          <t>MNQ Bull Call Spread — PROFIT</t>
        </is>
      </c>
    </row>
    <row r="67">
      <c r="A67" s="19" t="inlineStr">
        <is>
          <t>2026-07-10</t>
        </is>
      </c>
      <c r="B67" s="19" t="inlineStr">
        <is>
          <t>NQ</t>
        </is>
      </c>
      <c r="C67" s="19" t="n">
        <v>5</v>
      </c>
      <c r="D67" s="19" t="n">
        <v>5.9</v>
      </c>
      <c r="E67" s="19" t="n">
        <v>12.5</v>
      </c>
      <c r="F67" s="19" t="n">
        <v>0.1</v>
      </c>
      <c r="G67" s="19" t="n">
        <v>18.5</v>
      </c>
      <c r="H67" s="19" t="n">
        <v>37</v>
      </c>
      <c r="I67" s="19" t="inlineStr">
        <is>
          <t>NQ Bull Call Spread — PROFIT</t>
        </is>
      </c>
    </row>
    <row r="68">
      <c r="A68" s="19" t="inlineStr">
        <is>
          <t>2026-07-10</t>
        </is>
      </c>
      <c r="B68" s="19" t="inlineStr">
        <is>
          <t>MNQ</t>
        </is>
      </c>
      <c r="C68" s="19" t="n">
        <v>41</v>
      </c>
      <c r="D68" s="19" t="n">
        <v>12.3</v>
      </c>
      <c r="E68" s="19" t="n">
        <v>20.5</v>
      </c>
      <c r="F68" s="19" t="n">
        <v>0.82</v>
      </c>
      <c r="G68" s="19" t="n">
        <v>33.62</v>
      </c>
      <c r="H68" s="19" t="n">
        <v>67.23999999999999</v>
      </c>
      <c r="I68" s="19" t="inlineStr">
        <is>
          <t>MNQ Bull Call Spread — PROFIT</t>
        </is>
      </c>
    </row>
    <row r="69">
      <c r="A69" s="19" t="inlineStr">
        <is>
          <t>2026-07-10</t>
        </is>
      </c>
      <c r="B69" s="19" t="inlineStr">
        <is>
          <t>NQ</t>
        </is>
      </c>
      <c r="C69" s="19" t="n">
        <v>5</v>
      </c>
      <c r="D69" s="19" t="n">
        <v>5.9</v>
      </c>
      <c r="E69" s="19" t="n">
        <v>12.5</v>
      </c>
      <c r="F69" s="19" t="n">
        <v>0.1</v>
      </c>
      <c r="G69" s="19" t="n">
        <v>18.5</v>
      </c>
      <c r="H69" s="19" t="n">
        <v>37</v>
      </c>
      <c r="I69" s="19" t="inlineStr">
        <is>
          <t>NQ Bull Call Spread — PROFIT</t>
        </is>
      </c>
    </row>
    <row r="70">
      <c r="A70" s="19" t="inlineStr">
        <is>
          <t>2026-07-10</t>
        </is>
      </c>
      <c r="B70" s="19" t="inlineStr">
        <is>
          <t>MNQ</t>
        </is>
      </c>
      <c r="C70" s="19" t="n">
        <v>42</v>
      </c>
      <c r="D70" s="19" t="n">
        <v>12.6</v>
      </c>
      <c r="E70" s="19" t="n">
        <v>21</v>
      </c>
      <c r="F70" s="19" t="n">
        <v>0.84</v>
      </c>
      <c r="G70" s="19" t="n">
        <v>34.44</v>
      </c>
      <c r="H70" s="19" t="n">
        <v>68.88</v>
      </c>
      <c r="I70" s="19" t="inlineStr">
        <is>
          <t>MNQ Bull Call Spread — STOP LOSS</t>
        </is>
      </c>
    </row>
    <row r="71">
      <c r="A71" s="19" t="inlineStr">
        <is>
          <t>2026-07-13</t>
        </is>
      </c>
      <c r="B71" s="19" t="inlineStr">
        <is>
          <t>NQ</t>
        </is>
      </c>
      <c r="C71" s="19" t="n">
        <v>6</v>
      </c>
      <c r="D71" s="19" t="n">
        <v>7.08</v>
      </c>
      <c r="E71" s="19" t="n">
        <v>15</v>
      </c>
      <c r="F71" s="19" t="n">
        <v>0.12</v>
      </c>
      <c r="G71" s="19" t="n">
        <v>22.2</v>
      </c>
      <c r="H71" s="19" t="n">
        <v>44.4</v>
      </c>
      <c r="I71" s="19" t="inlineStr">
        <is>
          <t>NQ Bull Call Spread — PROFIT</t>
        </is>
      </c>
    </row>
    <row r="72">
      <c r="A72" s="19" t="inlineStr">
        <is>
          <t>2026-07-13</t>
        </is>
      </c>
      <c r="B72" s="19" t="inlineStr">
        <is>
          <t>MNQ</t>
        </is>
      </c>
      <c r="C72" s="19" t="n">
        <v>60</v>
      </c>
      <c r="D72" s="19" t="n">
        <v>18</v>
      </c>
      <c r="E72" s="19" t="n">
        <v>30</v>
      </c>
      <c r="F72" s="19" t="n">
        <v>1.2</v>
      </c>
      <c r="G72" s="19" t="n">
        <v>49.2</v>
      </c>
      <c r="H72" s="19" t="n">
        <v>98.40000000000001</v>
      </c>
      <c r="I72" s="19" t="inlineStr">
        <is>
          <t>MNQ Bull Call Spread — PROFIT</t>
        </is>
      </c>
    </row>
    <row r="73">
      <c r="A73" s="19" t="inlineStr">
        <is>
          <t>2026-07-13</t>
        </is>
      </c>
      <c r="B73" s="19" t="inlineStr">
        <is>
          <t>NQ</t>
        </is>
      </c>
      <c r="C73" s="19" t="n">
        <v>8</v>
      </c>
      <c r="D73" s="19" t="n">
        <v>9.44</v>
      </c>
      <c r="E73" s="19" t="n">
        <v>20</v>
      </c>
      <c r="F73" s="19" t="n">
        <v>0.16</v>
      </c>
      <c r="G73" s="19" t="n">
        <v>29.6</v>
      </c>
      <c r="H73" s="19" t="n">
        <v>59.2</v>
      </c>
      <c r="I73" s="19" t="inlineStr">
        <is>
          <t>NQ Bull Call Spread — PROFIT</t>
        </is>
      </c>
    </row>
    <row r="74">
      <c r="A74" s="19" t="inlineStr">
        <is>
          <t>2026-07-13</t>
        </is>
      </c>
      <c r="B74" s="19" t="inlineStr">
        <is>
          <t>MNQ</t>
        </is>
      </c>
      <c r="C74" s="19" t="n">
        <v>75</v>
      </c>
      <c r="D74" s="19" t="n">
        <v>22.5</v>
      </c>
      <c r="E74" s="19" t="n">
        <v>37.5</v>
      </c>
      <c r="F74" s="19" t="n">
        <v>1.5</v>
      </c>
      <c r="G74" s="19" t="n">
        <v>61.5</v>
      </c>
      <c r="H74" s="19" t="n">
        <v>123</v>
      </c>
      <c r="I74" s="19" t="inlineStr">
        <is>
          <t>MNQ Bull Call Spread — FLAT</t>
        </is>
      </c>
    </row>
    <row r="75">
      <c r="A75" s="19" t="inlineStr">
        <is>
          <t>2026-07-14</t>
        </is>
      </c>
      <c r="B75" s="19" t="inlineStr">
        <is>
          <t>NQ</t>
        </is>
      </c>
      <c r="C75" s="19" t="n">
        <v>8</v>
      </c>
      <c r="D75" s="19" t="n">
        <v>9.44</v>
      </c>
      <c r="E75" s="19" t="n">
        <v>20</v>
      </c>
      <c r="F75" s="19" t="n">
        <v>0.16</v>
      </c>
      <c r="G75" s="19" t="n">
        <v>29.6</v>
      </c>
      <c r="H75" s="19" t="n">
        <v>59.2</v>
      </c>
      <c r="I75" s="19" t="inlineStr">
        <is>
          <t>NQ Bull Call Spread — STOP LOSS</t>
        </is>
      </c>
    </row>
    <row r="76">
      <c r="A76" s="19" t="inlineStr">
        <is>
          <t>2026-07-14</t>
        </is>
      </c>
      <c r="B76" s="19" t="inlineStr">
        <is>
          <t>MNQ</t>
        </is>
      </c>
      <c r="C76" s="19" t="n">
        <v>73</v>
      </c>
      <c r="D76" s="19" t="n">
        <v>21.9</v>
      </c>
      <c r="E76" s="19" t="n">
        <v>36.5</v>
      </c>
      <c r="F76" s="19" t="n">
        <v>1.46</v>
      </c>
      <c r="G76" s="19" t="n">
        <v>59.86</v>
      </c>
      <c r="H76" s="19" t="n">
        <v>119.72</v>
      </c>
      <c r="I76" s="19" t="inlineStr">
        <is>
          <t>MNQ Bull Call Spread — STOP LOSS</t>
        </is>
      </c>
    </row>
    <row r="77">
      <c r="A77" s="19" t="inlineStr">
        <is>
          <t>2026-07-14</t>
        </is>
      </c>
      <c r="B77" s="19" t="inlineStr">
        <is>
          <t>NQ</t>
        </is>
      </c>
      <c r="C77" s="19" t="n">
        <v>8</v>
      </c>
      <c r="D77" s="19" t="n">
        <v>9.44</v>
      </c>
      <c r="E77" s="19" t="n">
        <v>20</v>
      </c>
      <c r="F77" s="19" t="n">
        <v>0.16</v>
      </c>
      <c r="G77" s="19" t="n">
        <v>29.6</v>
      </c>
      <c r="H77" s="19" t="n">
        <v>59.2</v>
      </c>
      <c r="I77" s="19" t="inlineStr">
        <is>
          <t>NQ Bull Call Spread — PROFIT</t>
        </is>
      </c>
    </row>
    <row r="78">
      <c r="A78" s="19" t="inlineStr">
        <is>
          <t>2026-07-14</t>
        </is>
      </c>
      <c r="B78" s="19" t="inlineStr">
        <is>
          <t>MNQ</t>
        </is>
      </c>
      <c r="C78" s="19" t="n">
        <v>62</v>
      </c>
      <c r="D78" s="19" t="n">
        <v>18.6</v>
      </c>
      <c r="E78" s="19" t="n">
        <v>31</v>
      </c>
      <c r="F78" s="19" t="n">
        <v>1.24</v>
      </c>
      <c r="G78" s="19" t="n">
        <v>50.84</v>
      </c>
      <c r="H78" s="19" t="n">
        <v>101.68</v>
      </c>
      <c r="I78" s="19" t="inlineStr">
        <is>
          <t>MNQ Bull Call Spread — PROFIT</t>
        </is>
      </c>
    </row>
    <row r="79">
      <c r="A79" s="19" t="inlineStr">
        <is>
          <t>2026-07-15</t>
        </is>
      </c>
      <c r="B79" s="19" t="inlineStr">
        <is>
          <t>NQ</t>
        </is>
      </c>
      <c r="C79" s="19" t="n">
        <v>6</v>
      </c>
      <c r="D79" s="19" t="n">
        <v>7.08</v>
      </c>
      <c r="E79" s="19" t="n">
        <v>15</v>
      </c>
      <c r="F79" s="19" t="n">
        <v>0.12</v>
      </c>
      <c r="G79" s="19" t="n">
        <v>22.2</v>
      </c>
      <c r="H79" s="19" t="n">
        <v>44.4</v>
      </c>
      <c r="I79" s="19" t="inlineStr">
        <is>
          <t>NQ Bull Call Spread — PROFIT</t>
        </is>
      </c>
    </row>
    <row r="80">
      <c r="A80" s="19" t="inlineStr">
        <is>
          <t>2026-07-15</t>
        </is>
      </c>
      <c r="B80" s="19" t="inlineStr">
        <is>
          <t>MNQ</t>
        </is>
      </c>
      <c r="C80" s="19" t="n">
        <v>66</v>
      </c>
      <c r="D80" s="19" t="n">
        <v>19.8</v>
      </c>
      <c r="E80" s="19" t="n">
        <v>33</v>
      </c>
      <c r="F80" s="19" t="n">
        <v>1.32</v>
      </c>
      <c r="G80" s="19" t="n">
        <v>54.12</v>
      </c>
      <c r="H80" s="19" t="n">
        <v>108.24</v>
      </c>
      <c r="I80" s="19" t="inlineStr">
        <is>
          <t>MNQ Bull Call Spread — FLAT</t>
        </is>
      </c>
    </row>
    <row r="81">
      <c r="A81" s="19" t="inlineStr">
        <is>
          <t>2026-07-15</t>
        </is>
      </c>
      <c r="B81" s="19" t="inlineStr">
        <is>
          <t>NQ</t>
        </is>
      </c>
      <c r="C81" s="19" t="n">
        <v>8</v>
      </c>
      <c r="D81" s="19" t="n">
        <v>9.44</v>
      </c>
      <c r="E81" s="19" t="n">
        <v>20</v>
      </c>
      <c r="F81" s="19" t="n">
        <v>0.16</v>
      </c>
      <c r="G81" s="19" t="n">
        <v>29.6</v>
      </c>
      <c r="H81" s="19" t="n">
        <v>59.2</v>
      </c>
      <c r="I81" s="19" t="inlineStr">
        <is>
          <t>NQ Bull Call Spread — PROFIT</t>
        </is>
      </c>
    </row>
    <row r="82">
      <c r="A82" s="19" t="inlineStr">
        <is>
          <t>2026-07-15</t>
        </is>
      </c>
      <c r="B82" s="19" t="inlineStr">
        <is>
          <t>MNQ</t>
        </is>
      </c>
      <c r="C82" s="19" t="n">
        <v>72</v>
      </c>
      <c r="D82" s="19" t="n">
        <v>21.6</v>
      </c>
      <c r="E82" s="19" t="n">
        <v>36</v>
      </c>
      <c r="F82" s="19" t="n">
        <v>1.44</v>
      </c>
      <c r="G82" s="19" t="n">
        <v>59.04</v>
      </c>
      <c r="H82" s="19" t="n">
        <v>118.08</v>
      </c>
      <c r="I82" s="19" t="inlineStr">
        <is>
          <t>MNQ Bull Call Spread — PROFIT</t>
        </is>
      </c>
    </row>
    <row r="83">
      <c r="A83" s="19" t="inlineStr">
        <is>
          <t>2026-07-16</t>
        </is>
      </c>
      <c r="B83" s="19" t="inlineStr">
        <is>
          <t>NQ</t>
        </is>
      </c>
      <c r="C83" s="19" t="n">
        <v>7</v>
      </c>
      <c r="D83" s="19" t="n">
        <v>8.26</v>
      </c>
      <c r="E83" s="19" t="n">
        <v>17.5</v>
      </c>
      <c r="F83" s="19" t="n">
        <v>0.14</v>
      </c>
      <c r="G83" s="19" t="n">
        <v>25.9</v>
      </c>
      <c r="H83" s="19" t="n">
        <v>51.8</v>
      </c>
      <c r="I83" s="19" t="inlineStr">
        <is>
          <t>NQ Bull Call Spread — STOP LOSS</t>
        </is>
      </c>
    </row>
    <row r="84">
      <c r="A84" s="19" t="inlineStr">
        <is>
          <t>2026-07-16</t>
        </is>
      </c>
      <c r="B84" s="19" t="inlineStr">
        <is>
          <t>MNQ</t>
        </is>
      </c>
      <c r="C84" s="19" t="n">
        <v>65</v>
      </c>
      <c r="D84" s="19" t="n">
        <v>19.5</v>
      </c>
      <c r="E84" s="19" t="n">
        <v>32.5</v>
      </c>
      <c r="F84" s="19" t="n">
        <v>1.3</v>
      </c>
      <c r="G84" s="19" t="n">
        <v>53.3</v>
      </c>
      <c r="H84" s="19" t="n">
        <v>106.6</v>
      </c>
      <c r="I84" s="19" t="inlineStr">
        <is>
          <t>MNQ Bull Call Spread — PROFIT</t>
        </is>
      </c>
    </row>
    <row r="85">
      <c r="A85" s="19" t="inlineStr">
        <is>
          <t>2026-07-16</t>
        </is>
      </c>
      <c r="B85" s="19" t="inlineStr">
        <is>
          <t>NQ</t>
        </is>
      </c>
      <c r="C85" s="19" t="n">
        <v>6</v>
      </c>
      <c r="D85" s="19" t="n">
        <v>7.08</v>
      </c>
      <c r="E85" s="19" t="n">
        <v>15</v>
      </c>
      <c r="F85" s="19" t="n">
        <v>0.12</v>
      </c>
      <c r="G85" s="19" t="n">
        <v>22.2</v>
      </c>
      <c r="H85" s="19" t="n">
        <v>44.4</v>
      </c>
      <c r="I85" s="19" t="inlineStr">
        <is>
          <t>NQ Bull Call Spread — PROFIT</t>
        </is>
      </c>
    </row>
    <row r="86">
      <c r="A86" s="19" t="inlineStr">
        <is>
          <t>2026-07-16</t>
        </is>
      </c>
      <c r="B86" s="19" t="inlineStr">
        <is>
          <t>MNQ</t>
        </is>
      </c>
      <c r="C86" s="19" t="n">
        <v>64</v>
      </c>
      <c r="D86" s="19" t="n">
        <v>19.2</v>
      </c>
      <c r="E86" s="19" t="n">
        <v>32</v>
      </c>
      <c r="F86" s="19" t="n">
        <v>1.28</v>
      </c>
      <c r="G86" s="19" t="n">
        <v>52.48</v>
      </c>
      <c r="H86" s="19" t="n">
        <v>104.96</v>
      </c>
      <c r="I86" s="19" t="inlineStr">
        <is>
          <t>MNQ Bull Call Spread — STOP LOSS</t>
        </is>
      </c>
    </row>
    <row r="87">
      <c r="A87" s="19" t="inlineStr">
        <is>
          <t>2026-07-17</t>
        </is>
      </c>
      <c r="B87" s="19" t="inlineStr">
        <is>
          <t>NQ</t>
        </is>
      </c>
      <c r="C87" s="19" t="n">
        <v>4</v>
      </c>
      <c r="D87" s="19" t="n">
        <v>4.72</v>
      </c>
      <c r="E87" s="19" t="n">
        <v>10</v>
      </c>
      <c r="F87" s="19" t="n">
        <v>0.08</v>
      </c>
      <c r="G87" s="19" t="n">
        <v>14.8</v>
      </c>
      <c r="H87" s="19" t="n">
        <v>29.6</v>
      </c>
      <c r="I87" s="19" t="inlineStr">
        <is>
          <t>NQ Bull Call Spread — FLAT</t>
        </is>
      </c>
    </row>
    <row r="88">
      <c r="A88" s="19" t="inlineStr">
        <is>
          <t>2026-07-17</t>
        </is>
      </c>
      <c r="B88" s="19" t="inlineStr">
        <is>
          <t>MNQ</t>
        </is>
      </c>
      <c r="C88" s="19" t="n">
        <v>37</v>
      </c>
      <c r="D88" s="19" t="n">
        <v>11.1</v>
      </c>
      <c r="E88" s="19" t="n">
        <v>18.5</v>
      </c>
      <c r="F88" s="19" t="n">
        <v>0.74</v>
      </c>
      <c r="G88" s="19" t="n">
        <v>30.34</v>
      </c>
      <c r="H88" s="19" t="n">
        <v>60.68</v>
      </c>
      <c r="I88" s="19" t="inlineStr">
        <is>
          <t>MNQ Bull Call Spread — PROFIT</t>
        </is>
      </c>
    </row>
    <row r="89">
      <c r="A89" s="19" t="inlineStr">
        <is>
          <t>2026-07-17</t>
        </is>
      </c>
      <c r="B89" s="19" t="inlineStr">
        <is>
          <t>NQ</t>
        </is>
      </c>
      <c r="C89" s="19" t="n">
        <v>4</v>
      </c>
      <c r="D89" s="19" t="n">
        <v>4.72</v>
      </c>
      <c r="E89" s="19" t="n">
        <v>10</v>
      </c>
      <c r="F89" s="19" t="n">
        <v>0.08</v>
      </c>
      <c r="G89" s="19" t="n">
        <v>14.8</v>
      </c>
      <c r="H89" s="19" t="n">
        <v>29.6</v>
      </c>
      <c r="I89" s="19" t="inlineStr">
        <is>
          <t>NQ Bull Call Spread — PROFIT</t>
        </is>
      </c>
    </row>
    <row r="90">
      <c r="A90" s="19" t="inlineStr">
        <is>
          <t>2026-07-17</t>
        </is>
      </c>
      <c r="B90" s="19" t="inlineStr">
        <is>
          <t>MNQ</t>
        </is>
      </c>
      <c r="C90" s="19" t="n">
        <v>39</v>
      </c>
      <c r="D90" s="19" t="n">
        <v>11.7</v>
      </c>
      <c r="E90" s="19" t="n">
        <v>19.5</v>
      </c>
      <c r="F90" s="19" t="n">
        <v>0.78</v>
      </c>
      <c r="G90" s="19" t="n">
        <v>31.98</v>
      </c>
      <c r="H90" s="19" t="n">
        <v>63.96</v>
      </c>
      <c r="I90" s="19" t="inlineStr">
        <is>
          <t>MNQ Bull Call Spread — FLAT</t>
        </is>
      </c>
    </row>
    <row r="91">
      <c r="A91" s="19" t="inlineStr">
        <is>
          <t>2026-07-20</t>
        </is>
      </c>
      <c r="B91" s="19" t="inlineStr">
        <is>
          <t>NQ</t>
        </is>
      </c>
      <c r="C91" s="19" t="n">
        <v>4</v>
      </c>
      <c r="D91" s="19" t="n">
        <v>4.72</v>
      </c>
      <c r="E91" s="19" t="n">
        <v>10</v>
      </c>
      <c r="F91" s="19" t="n">
        <v>0.08</v>
      </c>
      <c r="G91" s="19" t="n">
        <v>14.8</v>
      </c>
      <c r="H91" s="19" t="n">
        <v>29.6</v>
      </c>
      <c r="I91" s="19" t="inlineStr">
        <is>
          <t>NQ Bull Call Spread — FLAT</t>
        </is>
      </c>
    </row>
    <row r="92">
      <c r="A92" s="19" t="inlineStr">
        <is>
          <t>2026-07-20</t>
        </is>
      </c>
      <c r="B92" s="19" t="inlineStr">
        <is>
          <t>MNQ</t>
        </is>
      </c>
      <c r="C92" s="19" t="n">
        <v>36</v>
      </c>
      <c r="D92" s="19" t="n">
        <v>10.8</v>
      </c>
      <c r="E92" s="19" t="n">
        <v>18</v>
      </c>
      <c r="F92" s="19" t="n">
        <v>0.72</v>
      </c>
      <c r="G92" s="19" t="n">
        <v>29.52</v>
      </c>
      <c r="H92" s="19" t="n">
        <v>59.04</v>
      </c>
      <c r="I92" s="19" t="inlineStr">
        <is>
          <t>MNQ Bull Call Spread — FLAT</t>
        </is>
      </c>
    </row>
    <row r="93">
      <c r="A93" s="19" t="inlineStr">
        <is>
          <t>2026-07-20</t>
        </is>
      </c>
      <c r="B93" s="19" t="inlineStr">
        <is>
          <t>NQ</t>
        </is>
      </c>
      <c r="C93" s="19" t="n">
        <v>4</v>
      </c>
      <c r="D93" s="19" t="n">
        <v>4.72</v>
      </c>
      <c r="E93" s="19" t="n">
        <v>10</v>
      </c>
      <c r="F93" s="19" t="n">
        <v>0.08</v>
      </c>
      <c r="G93" s="19" t="n">
        <v>14.8</v>
      </c>
      <c r="H93" s="19" t="n">
        <v>29.6</v>
      </c>
      <c r="I93" s="19" t="inlineStr">
        <is>
          <t>NQ Bull Call Spread — FLAT</t>
        </is>
      </c>
    </row>
    <row r="94">
      <c r="A94" s="19" t="inlineStr">
        <is>
          <t>2026-07-20</t>
        </is>
      </c>
      <c r="B94" s="19" t="inlineStr">
        <is>
          <t>MNQ</t>
        </is>
      </c>
      <c r="C94" s="19" t="n">
        <v>43</v>
      </c>
      <c r="D94" s="19" t="n">
        <v>12.9</v>
      </c>
      <c r="E94" s="19" t="n">
        <v>21.5</v>
      </c>
      <c r="F94" s="19" t="n">
        <v>0.86</v>
      </c>
      <c r="G94" s="19" t="n">
        <v>35.26</v>
      </c>
      <c r="H94" s="19" t="n">
        <v>70.52</v>
      </c>
      <c r="I94" s="19" t="inlineStr">
        <is>
          <t>MNQ Bull Call Spread — STOP LOSS</t>
        </is>
      </c>
    </row>
    <row r="95">
      <c r="A95" s="19" t="inlineStr">
        <is>
          <t>2026-07-21</t>
        </is>
      </c>
      <c r="B95" s="19" t="inlineStr">
        <is>
          <t>NQ</t>
        </is>
      </c>
      <c r="C95" s="19" t="n">
        <v>4</v>
      </c>
      <c r="D95" s="19" t="n">
        <v>4.72</v>
      </c>
      <c r="E95" s="19" t="n">
        <v>10</v>
      </c>
      <c r="F95" s="19" t="n">
        <v>0.08</v>
      </c>
      <c r="G95" s="19" t="n">
        <v>14.8</v>
      </c>
      <c r="H95" s="19" t="n">
        <v>29.6</v>
      </c>
      <c r="I95" s="19" t="inlineStr">
        <is>
          <t>NQ Bull Call Spread — PROFIT</t>
        </is>
      </c>
    </row>
    <row r="96">
      <c r="A96" s="19" t="inlineStr">
        <is>
          <t>2026-07-21</t>
        </is>
      </c>
      <c r="B96" s="19" t="inlineStr">
        <is>
          <t>MNQ</t>
        </is>
      </c>
      <c r="C96" s="19" t="n">
        <v>41</v>
      </c>
      <c r="D96" s="19" t="n">
        <v>12.3</v>
      </c>
      <c r="E96" s="19" t="n">
        <v>20.5</v>
      </c>
      <c r="F96" s="19" t="n">
        <v>0.82</v>
      </c>
      <c r="G96" s="19" t="n">
        <v>33.62</v>
      </c>
      <c r="H96" s="19" t="n">
        <v>67.23999999999999</v>
      </c>
      <c r="I96" s="19" t="inlineStr">
        <is>
          <t>MNQ Bull Call Spread — STOP LOSS</t>
        </is>
      </c>
    </row>
    <row r="97">
      <c r="A97" s="19" t="inlineStr">
        <is>
          <t>2026-07-21</t>
        </is>
      </c>
      <c r="B97" s="19" t="inlineStr">
        <is>
          <t>NQ</t>
        </is>
      </c>
      <c r="C97" s="19" t="n">
        <v>3</v>
      </c>
      <c r="D97" s="19" t="n">
        <v>3.54</v>
      </c>
      <c r="E97" s="19" t="n">
        <v>7.5</v>
      </c>
      <c r="F97" s="19" t="n">
        <v>0.06</v>
      </c>
      <c r="G97" s="19" t="n">
        <v>11.1</v>
      </c>
      <c r="H97" s="19" t="n">
        <v>22.2</v>
      </c>
      <c r="I97" s="19" t="inlineStr">
        <is>
          <t>NQ Bull Call Spread — PROFIT</t>
        </is>
      </c>
    </row>
    <row r="98">
      <c r="A98" s="19" t="inlineStr">
        <is>
          <t>2026-07-21</t>
        </is>
      </c>
      <c r="B98" s="19" t="inlineStr">
        <is>
          <t>MNQ</t>
        </is>
      </c>
      <c r="C98" s="19" t="n">
        <v>35</v>
      </c>
      <c r="D98" s="19" t="n">
        <v>10.5</v>
      </c>
      <c r="E98" s="19" t="n">
        <v>17.5</v>
      </c>
      <c r="F98" s="19" t="n">
        <v>0.7</v>
      </c>
      <c r="G98" s="19" t="n">
        <v>28.7</v>
      </c>
      <c r="H98" s="19" t="n">
        <v>57.4</v>
      </c>
      <c r="I98" s="19" t="inlineStr">
        <is>
          <t>MNQ Bull Call Spread — PROFIT</t>
        </is>
      </c>
    </row>
    <row r="99">
      <c r="A99" s="19" t="inlineStr">
        <is>
          <t>2026-07-22</t>
        </is>
      </c>
      <c r="B99" s="19" t="inlineStr">
        <is>
          <t>NQ</t>
        </is>
      </c>
      <c r="C99" s="19" t="n">
        <v>4</v>
      </c>
      <c r="D99" s="19" t="n">
        <v>4.72</v>
      </c>
      <c r="E99" s="19" t="n">
        <v>10</v>
      </c>
      <c r="F99" s="19" t="n">
        <v>0.08</v>
      </c>
      <c r="G99" s="19" t="n">
        <v>14.8</v>
      </c>
      <c r="H99" s="19" t="n">
        <v>29.6</v>
      </c>
      <c r="I99" s="19" t="inlineStr">
        <is>
          <t>NQ Bull Call Spread — STOP LOSS</t>
        </is>
      </c>
    </row>
    <row r="100">
      <c r="A100" s="19" t="inlineStr">
        <is>
          <t>2026-07-22</t>
        </is>
      </c>
      <c r="B100" s="19" t="inlineStr">
        <is>
          <t>MNQ</t>
        </is>
      </c>
      <c r="C100" s="19" t="n">
        <v>37</v>
      </c>
      <c r="D100" s="19" t="n">
        <v>11.1</v>
      </c>
      <c r="E100" s="19" t="n">
        <v>18.5</v>
      </c>
      <c r="F100" s="19" t="n">
        <v>0.74</v>
      </c>
      <c r="G100" s="19" t="n">
        <v>30.34</v>
      </c>
      <c r="H100" s="19" t="n">
        <v>60.68</v>
      </c>
      <c r="I100" s="19" t="inlineStr">
        <is>
          <t>MNQ Bull Call Spread — STOP LOSS</t>
        </is>
      </c>
    </row>
    <row r="101">
      <c r="A101" s="19" t="inlineStr">
        <is>
          <t>2026-07-22</t>
        </is>
      </c>
      <c r="B101" s="19" t="inlineStr">
        <is>
          <t>NQ</t>
        </is>
      </c>
      <c r="C101" s="19" t="n">
        <v>4</v>
      </c>
      <c r="D101" s="19" t="n">
        <v>4.72</v>
      </c>
      <c r="E101" s="19" t="n">
        <v>10</v>
      </c>
      <c r="F101" s="19" t="n">
        <v>0.08</v>
      </c>
      <c r="G101" s="19" t="n">
        <v>14.8</v>
      </c>
      <c r="H101" s="19" t="n">
        <v>29.6</v>
      </c>
      <c r="I101" s="19" t="inlineStr">
        <is>
          <t>NQ Bull Call Spread — PROFIT</t>
        </is>
      </c>
    </row>
    <row r="102">
      <c r="A102" s="19" t="inlineStr">
        <is>
          <t>2026-07-22</t>
        </is>
      </c>
      <c r="B102" s="19" t="inlineStr">
        <is>
          <t>MNQ</t>
        </is>
      </c>
      <c r="C102" s="19" t="n">
        <v>38</v>
      </c>
      <c r="D102" s="19" t="n">
        <v>11.4</v>
      </c>
      <c r="E102" s="19" t="n">
        <v>19</v>
      </c>
      <c r="F102" s="19" t="n">
        <v>0.76</v>
      </c>
      <c r="G102" s="19" t="n">
        <v>31.16</v>
      </c>
      <c r="H102" s="19" t="n">
        <v>62.32</v>
      </c>
      <c r="I102" s="19" t="inlineStr">
        <is>
          <t>MNQ Bull Call Spread — PROFIT</t>
        </is>
      </c>
    </row>
    <row r="103">
      <c r="A103" s="19" t="inlineStr">
        <is>
          <t>2026-07-23</t>
        </is>
      </c>
      <c r="B103" s="19" t="inlineStr">
        <is>
          <t>NQ</t>
        </is>
      </c>
      <c r="C103" s="19" t="n">
        <v>4</v>
      </c>
      <c r="D103" s="19" t="n">
        <v>4.72</v>
      </c>
      <c r="E103" s="19" t="n">
        <v>10</v>
      </c>
      <c r="F103" s="19" t="n">
        <v>0.08</v>
      </c>
      <c r="G103" s="19" t="n">
        <v>14.8</v>
      </c>
      <c r="H103" s="19" t="n">
        <v>29.6</v>
      </c>
      <c r="I103" s="19" t="inlineStr">
        <is>
          <t>NQ Bull Call Spread — STOP LOSS</t>
        </is>
      </c>
    </row>
    <row r="104">
      <c r="A104" s="19" t="inlineStr">
        <is>
          <t>2026-07-23</t>
        </is>
      </c>
      <c r="B104" s="19" t="inlineStr">
        <is>
          <t>MNQ</t>
        </is>
      </c>
      <c r="C104" s="19" t="n">
        <v>42</v>
      </c>
      <c r="D104" s="19" t="n">
        <v>12.6</v>
      </c>
      <c r="E104" s="19" t="n">
        <v>21</v>
      </c>
      <c r="F104" s="19" t="n">
        <v>0.84</v>
      </c>
      <c r="G104" s="19" t="n">
        <v>34.44</v>
      </c>
      <c r="H104" s="19" t="n">
        <v>68.88</v>
      </c>
      <c r="I104" s="19" t="inlineStr">
        <is>
          <t>MNQ Bull Call Spread — FLAT</t>
        </is>
      </c>
    </row>
    <row r="105">
      <c r="A105" s="19" t="inlineStr">
        <is>
          <t>2026-07-23</t>
        </is>
      </c>
      <c r="B105" s="19" t="inlineStr">
        <is>
          <t>NQ</t>
        </is>
      </c>
      <c r="C105" s="19" t="n">
        <v>4</v>
      </c>
      <c r="D105" s="19" t="n">
        <v>4.72</v>
      </c>
      <c r="E105" s="19" t="n">
        <v>10</v>
      </c>
      <c r="F105" s="19" t="n">
        <v>0.08</v>
      </c>
      <c r="G105" s="19" t="n">
        <v>14.8</v>
      </c>
      <c r="H105" s="19" t="n">
        <v>29.6</v>
      </c>
      <c r="I105" s="19" t="inlineStr">
        <is>
          <t>NQ Bull Call Spread — PROFIT</t>
        </is>
      </c>
    </row>
    <row r="106">
      <c r="A106" s="19" t="inlineStr">
        <is>
          <t>2026-07-23</t>
        </is>
      </c>
      <c r="B106" s="19" t="inlineStr">
        <is>
          <t>MNQ</t>
        </is>
      </c>
      <c r="C106" s="19" t="n">
        <v>37</v>
      </c>
      <c r="D106" s="19" t="n">
        <v>11.1</v>
      </c>
      <c r="E106" s="19" t="n">
        <v>18.5</v>
      </c>
      <c r="F106" s="19" t="n">
        <v>0.74</v>
      </c>
      <c r="G106" s="19" t="n">
        <v>30.34</v>
      </c>
      <c r="H106" s="19" t="n">
        <v>60.68</v>
      </c>
      <c r="I106" s="19" t="inlineStr">
        <is>
          <t>MNQ Bull Call Spread — PROFIT</t>
        </is>
      </c>
    </row>
    <row r="107">
      <c r="A107" s="19" t="inlineStr">
        <is>
          <t>2026-07-24</t>
        </is>
      </c>
      <c r="B107" s="19" t="inlineStr">
        <is>
          <t>NQ</t>
        </is>
      </c>
      <c r="C107" s="19" t="n">
        <v>4</v>
      </c>
      <c r="D107" s="19" t="n">
        <v>4.72</v>
      </c>
      <c r="E107" s="19" t="n">
        <v>10</v>
      </c>
      <c r="F107" s="19" t="n">
        <v>0.08</v>
      </c>
      <c r="G107" s="19" t="n">
        <v>14.8</v>
      </c>
      <c r="H107" s="19" t="n">
        <v>29.6</v>
      </c>
      <c r="I107" s="19" t="inlineStr">
        <is>
          <t>NQ Bull Call Spread — PROFIT</t>
        </is>
      </c>
    </row>
    <row r="108">
      <c r="A108" s="19" t="inlineStr">
        <is>
          <t>2026-07-24</t>
        </is>
      </c>
      <c r="B108" s="19" t="inlineStr">
        <is>
          <t>MNQ</t>
        </is>
      </c>
      <c r="C108" s="19" t="n">
        <v>39</v>
      </c>
      <c r="D108" s="19" t="n">
        <v>11.7</v>
      </c>
      <c r="E108" s="19" t="n">
        <v>19.5</v>
      </c>
      <c r="F108" s="19" t="n">
        <v>0.78</v>
      </c>
      <c r="G108" s="19" t="n">
        <v>31.98</v>
      </c>
      <c r="H108" s="19" t="n">
        <v>63.96</v>
      </c>
      <c r="I108" s="19" t="inlineStr">
        <is>
          <t>MNQ Bull Call Spread — FLAT</t>
        </is>
      </c>
    </row>
    <row r="109">
      <c r="A109" s="19" t="inlineStr">
        <is>
          <t>2026-07-24</t>
        </is>
      </c>
      <c r="B109" s="19" t="inlineStr">
        <is>
          <t>NQ</t>
        </is>
      </c>
      <c r="C109" s="19" t="n">
        <v>3</v>
      </c>
      <c r="D109" s="19" t="n">
        <v>3.54</v>
      </c>
      <c r="E109" s="19" t="n">
        <v>7.5</v>
      </c>
      <c r="F109" s="19" t="n">
        <v>0.06</v>
      </c>
      <c r="G109" s="19" t="n">
        <v>11.1</v>
      </c>
      <c r="H109" s="19" t="n">
        <v>22.2</v>
      </c>
      <c r="I109" s="19" t="inlineStr">
        <is>
          <t>NQ Bull Call Spread — FLAT</t>
        </is>
      </c>
    </row>
    <row r="110">
      <c r="A110" s="19" t="inlineStr">
        <is>
          <t>2026-07-24</t>
        </is>
      </c>
      <c r="B110" s="19" t="inlineStr">
        <is>
          <t>MNQ</t>
        </is>
      </c>
      <c r="C110" s="19" t="n">
        <v>45</v>
      </c>
      <c r="D110" s="19" t="n">
        <v>13.5</v>
      </c>
      <c r="E110" s="19" t="n">
        <v>22.5</v>
      </c>
      <c r="F110" s="19" t="n">
        <v>0.9</v>
      </c>
      <c r="G110" s="19" t="n">
        <v>36.9</v>
      </c>
      <c r="H110" s="19" t="n">
        <v>73.8</v>
      </c>
      <c r="I110" s="19" t="inlineStr">
        <is>
          <t>MNQ Bull Call Spread — PROFIT</t>
        </is>
      </c>
    </row>
    <row r="111">
      <c r="A111" s="19" t="inlineStr">
        <is>
          <t>2026-07-27</t>
        </is>
      </c>
      <c r="B111" s="19" t="inlineStr">
        <is>
          <t>NQ</t>
        </is>
      </c>
      <c r="C111" s="19" t="n">
        <v>4</v>
      </c>
      <c r="D111" s="19" t="n">
        <v>4.72</v>
      </c>
      <c r="E111" s="19" t="n">
        <v>10</v>
      </c>
      <c r="F111" s="19" t="n">
        <v>0.08</v>
      </c>
      <c r="G111" s="19" t="n">
        <v>14.8</v>
      </c>
      <c r="H111" s="19" t="n">
        <v>29.6</v>
      </c>
      <c r="I111" s="19" t="inlineStr">
        <is>
          <t>NQ Bull Call Spread — PROFIT</t>
        </is>
      </c>
    </row>
    <row r="112">
      <c r="A112" s="19" t="inlineStr">
        <is>
          <t>2026-07-27</t>
        </is>
      </c>
      <c r="B112" s="19" t="inlineStr">
        <is>
          <t>MNQ</t>
        </is>
      </c>
      <c r="C112" s="19" t="n">
        <v>46</v>
      </c>
      <c r="D112" s="19" t="n">
        <v>13.8</v>
      </c>
      <c r="E112" s="19" t="n">
        <v>23</v>
      </c>
      <c r="F112" s="19" t="n">
        <v>0.92</v>
      </c>
      <c r="G112" s="19" t="n">
        <v>37.72</v>
      </c>
      <c r="H112" s="19" t="n">
        <v>75.44</v>
      </c>
      <c r="I112" s="19" t="inlineStr">
        <is>
          <t>MNQ Bull Call Spread — PROFIT</t>
        </is>
      </c>
    </row>
    <row r="113">
      <c r="A113" s="19" t="inlineStr">
        <is>
          <t>2026-07-27</t>
        </is>
      </c>
      <c r="B113" s="19" t="inlineStr">
        <is>
          <t>NQ</t>
        </is>
      </c>
      <c r="C113" s="19" t="n">
        <v>3</v>
      </c>
      <c r="D113" s="19" t="n">
        <v>3.54</v>
      </c>
      <c r="E113" s="19" t="n">
        <v>7.5</v>
      </c>
      <c r="F113" s="19" t="n">
        <v>0.06</v>
      </c>
      <c r="G113" s="19" t="n">
        <v>11.1</v>
      </c>
      <c r="H113" s="19" t="n">
        <v>22.2</v>
      </c>
      <c r="I113" s="19" t="inlineStr">
        <is>
          <t>NQ Bull Call Spread — PROFIT</t>
        </is>
      </c>
    </row>
    <row r="114">
      <c r="A114" s="19" t="inlineStr">
        <is>
          <t>2026-07-27</t>
        </is>
      </c>
      <c r="B114" s="19" t="inlineStr">
        <is>
          <t>MNQ</t>
        </is>
      </c>
      <c r="C114" s="19" t="n">
        <v>34</v>
      </c>
      <c r="D114" s="19" t="n">
        <v>10.2</v>
      </c>
      <c r="E114" s="19" t="n">
        <v>17</v>
      </c>
      <c r="F114" s="19" t="n">
        <v>0.68</v>
      </c>
      <c r="G114" s="19" t="n">
        <v>27.88</v>
      </c>
      <c r="H114" s="19" t="n">
        <v>55.76</v>
      </c>
      <c r="I114" s="19" t="inlineStr">
        <is>
          <t>MNQ Bull Call Spread — FLAT</t>
        </is>
      </c>
    </row>
    <row r="115">
      <c r="A115" s="19" t="inlineStr">
        <is>
          <t>2026-07-28</t>
        </is>
      </c>
      <c r="B115" s="19" t="inlineStr">
        <is>
          <t>NQ</t>
        </is>
      </c>
      <c r="C115" s="19" t="n">
        <v>4</v>
      </c>
      <c r="D115" s="19" t="n">
        <v>4.72</v>
      </c>
      <c r="E115" s="19" t="n">
        <v>10</v>
      </c>
      <c r="F115" s="19" t="n">
        <v>0.08</v>
      </c>
      <c r="G115" s="19" t="n">
        <v>14.8</v>
      </c>
      <c r="H115" s="19" t="n">
        <v>29.6</v>
      </c>
      <c r="I115" s="19" t="inlineStr">
        <is>
          <t>NQ Bull Call Spread — PROFIT</t>
        </is>
      </c>
    </row>
    <row r="116">
      <c r="A116" s="19" t="inlineStr">
        <is>
          <t>2026-07-28</t>
        </is>
      </c>
      <c r="B116" s="19" t="inlineStr">
        <is>
          <t>MNQ</t>
        </is>
      </c>
      <c r="C116" s="19" t="n">
        <v>43</v>
      </c>
      <c r="D116" s="19" t="n">
        <v>12.9</v>
      </c>
      <c r="E116" s="19" t="n">
        <v>21.5</v>
      </c>
      <c r="F116" s="19" t="n">
        <v>0.86</v>
      </c>
      <c r="G116" s="19" t="n">
        <v>35.26</v>
      </c>
      <c r="H116" s="19" t="n">
        <v>70.52</v>
      </c>
      <c r="I116" s="19" t="inlineStr">
        <is>
          <t>MNQ Bull Call Spread — PROFIT</t>
        </is>
      </c>
    </row>
    <row r="117">
      <c r="A117" s="19" t="inlineStr">
        <is>
          <t>2026-07-28</t>
        </is>
      </c>
      <c r="B117" s="19" t="inlineStr">
        <is>
          <t>NQ</t>
        </is>
      </c>
      <c r="C117" s="19" t="n">
        <v>3</v>
      </c>
      <c r="D117" s="19" t="n">
        <v>3.54</v>
      </c>
      <c r="E117" s="19" t="n">
        <v>7.5</v>
      </c>
      <c r="F117" s="19" t="n">
        <v>0.06</v>
      </c>
      <c r="G117" s="19" t="n">
        <v>11.1</v>
      </c>
      <c r="H117" s="19" t="n">
        <v>22.2</v>
      </c>
      <c r="I117" s="19" t="inlineStr">
        <is>
          <t>NQ Bull Call Spread — STOP LOSS</t>
        </is>
      </c>
    </row>
    <row r="118">
      <c r="A118" s="19" t="inlineStr">
        <is>
          <t>2026-07-28</t>
        </is>
      </c>
      <c r="B118" s="19" t="inlineStr">
        <is>
          <t>MNQ</t>
        </is>
      </c>
      <c r="C118" s="19" t="n">
        <v>43</v>
      </c>
      <c r="D118" s="19" t="n">
        <v>12.9</v>
      </c>
      <c r="E118" s="19" t="n">
        <v>21.5</v>
      </c>
      <c r="F118" s="19" t="n">
        <v>0.86</v>
      </c>
      <c r="G118" s="19" t="n">
        <v>35.26</v>
      </c>
      <c r="H118" s="19" t="n">
        <v>70.52</v>
      </c>
      <c r="I118" s="19" t="inlineStr">
        <is>
          <t>MNQ Bull Call Spread — FLAT</t>
        </is>
      </c>
    </row>
    <row r="119">
      <c r="A119" s="19" t="inlineStr">
        <is>
          <t>2026-07-29</t>
        </is>
      </c>
      <c r="B119" s="19" t="inlineStr">
        <is>
          <t>NQ</t>
        </is>
      </c>
      <c r="C119" s="19" t="n">
        <v>4</v>
      </c>
      <c r="D119" s="19" t="n">
        <v>4.72</v>
      </c>
      <c r="E119" s="19" t="n">
        <v>10</v>
      </c>
      <c r="F119" s="19" t="n">
        <v>0.08</v>
      </c>
      <c r="G119" s="19" t="n">
        <v>14.8</v>
      </c>
      <c r="H119" s="19" t="n">
        <v>29.6</v>
      </c>
      <c r="I119" s="19" t="inlineStr">
        <is>
          <t>NQ Bull Call Spread — FLAT</t>
        </is>
      </c>
    </row>
    <row r="120">
      <c r="A120" s="19" t="inlineStr">
        <is>
          <t>2026-07-29</t>
        </is>
      </c>
      <c r="B120" s="19" t="inlineStr">
        <is>
          <t>MNQ</t>
        </is>
      </c>
      <c r="C120" s="19" t="n">
        <v>38</v>
      </c>
      <c r="D120" s="19" t="n">
        <v>11.4</v>
      </c>
      <c r="E120" s="19" t="n">
        <v>19</v>
      </c>
      <c r="F120" s="19" t="n">
        <v>0.76</v>
      </c>
      <c r="G120" s="19" t="n">
        <v>31.16</v>
      </c>
      <c r="H120" s="19" t="n">
        <v>62.32</v>
      </c>
      <c r="I120" s="19" t="inlineStr">
        <is>
          <t>MNQ Bull Call Spread — PROFIT</t>
        </is>
      </c>
    </row>
    <row r="121">
      <c r="A121" s="19" t="inlineStr">
        <is>
          <t>2026-07-29</t>
        </is>
      </c>
      <c r="B121" s="19" t="inlineStr">
        <is>
          <t>NQ</t>
        </is>
      </c>
      <c r="C121" s="19" t="n">
        <v>4</v>
      </c>
      <c r="D121" s="19" t="n">
        <v>4.72</v>
      </c>
      <c r="E121" s="19" t="n">
        <v>10</v>
      </c>
      <c r="F121" s="19" t="n">
        <v>0.08</v>
      </c>
      <c r="G121" s="19" t="n">
        <v>14.8</v>
      </c>
      <c r="H121" s="19" t="n">
        <v>29.6</v>
      </c>
      <c r="I121" s="19" t="inlineStr">
        <is>
          <t>NQ Bull Call Spread — PROFIT</t>
        </is>
      </c>
    </row>
    <row r="122">
      <c r="A122" s="19" t="inlineStr">
        <is>
          <t>2026-07-29</t>
        </is>
      </c>
      <c r="B122" s="19" t="inlineStr">
        <is>
          <t>MNQ</t>
        </is>
      </c>
      <c r="C122" s="19" t="n">
        <v>36</v>
      </c>
      <c r="D122" s="19" t="n">
        <v>10.8</v>
      </c>
      <c r="E122" s="19" t="n">
        <v>18</v>
      </c>
      <c r="F122" s="19" t="n">
        <v>0.72</v>
      </c>
      <c r="G122" s="19" t="n">
        <v>29.52</v>
      </c>
      <c r="H122" s="19" t="n">
        <v>59.04</v>
      </c>
      <c r="I122" s="19" t="inlineStr">
        <is>
          <t>MNQ Bull Call Spread — PROFIT</t>
        </is>
      </c>
    </row>
    <row r="123">
      <c r="A123" s="19" t="inlineStr">
        <is>
          <t>2026-07-30</t>
        </is>
      </c>
      <c r="B123" s="19" t="inlineStr">
        <is>
          <t>NQ</t>
        </is>
      </c>
      <c r="C123" s="19" t="n">
        <v>4</v>
      </c>
      <c r="D123" s="19" t="n">
        <v>4.72</v>
      </c>
      <c r="E123" s="19" t="n">
        <v>10</v>
      </c>
      <c r="F123" s="19" t="n">
        <v>0.08</v>
      </c>
      <c r="G123" s="19" t="n">
        <v>14.8</v>
      </c>
      <c r="H123" s="19" t="n">
        <v>29.6</v>
      </c>
      <c r="I123" s="19" t="inlineStr">
        <is>
          <t>NQ Bull Call Spread — PROFIT</t>
        </is>
      </c>
    </row>
    <row r="124">
      <c r="A124" s="19" t="inlineStr">
        <is>
          <t>2026-07-30</t>
        </is>
      </c>
      <c r="B124" s="19" t="inlineStr">
        <is>
          <t>MNQ</t>
        </is>
      </c>
      <c r="C124" s="19" t="n">
        <v>37</v>
      </c>
      <c r="D124" s="19" t="n">
        <v>11.1</v>
      </c>
      <c r="E124" s="19" t="n">
        <v>18.5</v>
      </c>
      <c r="F124" s="19" t="n">
        <v>0.74</v>
      </c>
      <c r="G124" s="19" t="n">
        <v>30.34</v>
      </c>
      <c r="H124" s="19" t="n">
        <v>60.68</v>
      </c>
      <c r="I124" s="19" t="inlineStr">
        <is>
          <t>MNQ Bull Call Spread — STOP LOSS</t>
        </is>
      </c>
    </row>
    <row r="125">
      <c r="A125" s="19" t="inlineStr">
        <is>
          <t>2026-07-30</t>
        </is>
      </c>
      <c r="B125" s="19" t="inlineStr">
        <is>
          <t>NQ</t>
        </is>
      </c>
      <c r="C125" s="19" t="n">
        <v>3</v>
      </c>
      <c r="D125" s="19" t="n">
        <v>3.54</v>
      </c>
      <c r="E125" s="19" t="n">
        <v>7.5</v>
      </c>
      <c r="F125" s="19" t="n">
        <v>0.06</v>
      </c>
      <c r="G125" s="19" t="n">
        <v>11.1</v>
      </c>
      <c r="H125" s="19" t="n">
        <v>22.2</v>
      </c>
      <c r="I125" s="19" t="inlineStr">
        <is>
          <t>NQ Bull Call Spread — PROFIT</t>
        </is>
      </c>
    </row>
    <row r="126">
      <c r="A126" s="19" t="inlineStr">
        <is>
          <t>2026-07-30</t>
        </is>
      </c>
      <c r="B126" s="19" t="inlineStr">
        <is>
          <t>MNQ</t>
        </is>
      </c>
      <c r="C126" s="19" t="n">
        <v>45</v>
      </c>
      <c r="D126" s="19" t="n">
        <v>13.5</v>
      </c>
      <c r="E126" s="19" t="n">
        <v>22.5</v>
      </c>
      <c r="F126" s="19" t="n">
        <v>0.9</v>
      </c>
      <c r="G126" s="19" t="n">
        <v>36.9</v>
      </c>
      <c r="H126" s="19" t="n">
        <v>73.8</v>
      </c>
      <c r="I126" s="19" t="inlineStr">
        <is>
          <t>MNQ Bull Call Spread — FLAT</t>
        </is>
      </c>
    </row>
    <row r="127">
      <c r="A127" s="19" t="inlineStr">
        <is>
          <t>2026-07-31</t>
        </is>
      </c>
      <c r="B127" s="19" t="inlineStr">
        <is>
          <t>NQ</t>
        </is>
      </c>
      <c r="C127" s="19" t="n">
        <v>3</v>
      </c>
      <c r="D127" s="19" t="n">
        <v>3.54</v>
      </c>
      <c r="E127" s="19" t="n">
        <v>7.5</v>
      </c>
      <c r="F127" s="19" t="n">
        <v>0.06</v>
      </c>
      <c r="G127" s="19" t="n">
        <v>11.1</v>
      </c>
      <c r="H127" s="19" t="n">
        <v>22.2</v>
      </c>
      <c r="I127" s="19" t="inlineStr">
        <is>
          <t>NQ Bull Call Spread — PROFIT</t>
        </is>
      </c>
    </row>
    <row r="128">
      <c r="A128" s="19" t="inlineStr">
        <is>
          <t>2026-07-31</t>
        </is>
      </c>
      <c r="B128" s="19" t="inlineStr">
        <is>
          <t>MNQ</t>
        </is>
      </c>
      <c r="C128" s="19" t="n">
        <v>37</v>
      </c>
      <c r="D128" s="19" t="n">
        <v>11.1</v>
      </c>
      <c r="E128" s="19" t="n">
        <v>18.5</v>
      </c>
      <c r="F128" s="19" t="n">
        <v>0.74</v>
      </c>
      <c r="G128" s="19" t="n">
        <v>30.34</v>
      </c>
      <c r="H128" s="19" t="n">
        <v>60.68</v>
      </c>
      <c r="I128" s="19" t="inlineStr">
        <is>
          <t>MNQ Bull Call Spread — PROFIT</t>
        </is>
      </c>
    </row>
    <row r="129">
      <c r="A129" s="19" t="inlineStr">
        <is>
          <t>2026-07-31</t>
        </is>
      </c>
      <c r="B129" s="19" t="inlineStr">
        <is>
          <t>NQ</t>
        </is>
      </c>
      <c r="C129" s="19" t="n">
        <v>3</v>
      </c>
      <c r="D129" s="19" t="n">
        <v>3.54</v>
      </c>
      <c r="E129" s="19" t="n">
        <v>7.5</v>
      </c>
      <c r="F129" s="19" t="n">
        <v>0.06</v>
      </c>
      <c r="G129" s="19" t="n">
        <v>11.1</v>
      </c>
      <c r="H129" s="19" t="n">
        <v>22.2</v>
      </c>
      <c r="I129" s="19" t="inlineStr">
        <is>
          <t>NQ Bull Call Spread — FLAT</t>
        </is>
      </c>
    </row>
    <row r="130">
      <c r="A130" s="19" t="inlineStr">
        <is>
          <t>2026-07-31</t>
        </is>
      </c>
      <c r="B130" s="19" t="inlineStr">
        <is>
          <t>MNQ</t>
        </is>
      </c>
      <c r="C130" s="19" t="n">
        <v>42</v>
      </c>
      <c r="D130" s="19" t="n">
        <v>12.6</v>
      </c>
      <c r="E130" s="19" t="n">
        <v>21</v>
      </c>
      <c r="F130" s="19" t="n">
        <v>0.84</v>
      </c>
      <c r="G130" s="19" t="n">
        <v>34.44</v>
      </c>
      <c r="H130" s="19" t="n">
        <v>68.88</v>
      </c>
      <c r="I130" s="19" t="inlineStr">
        <is>
          <t>MNQ Bull Call Spread — PROFIT</t>
        </is>
      </c>
    </row>
    <row r="131">
      <c r="A131" s="19" t="inlineStr">
        <is>
          <t>2026-08-03</t>
        </is>
      </c>
      <c r="B131" s="19" t="inlineStr">
        <is>
          <t>NQ</t>
        </is>
      </c>
      <c r="C131" s="19" t="n">
        <v>4</v>
      </c>
      <c r="D131" s="19" t="n">
        <v>4.72</v>
      </c>
      <c r="E131" s="19" t="n">
        <v>10</v>
      </c>
      <c r="F131" s="19" t="n">
        <v>0.08</v>
      </c>
      <c r="G131" s="19" t="n">
        <v>14.8</v>
      </c>
      <c r="H131" s="19" t="n">
        <v>29.6</v>
      </c>
      <c r="I131" s="19" t="inlineStr">
        <is>
          <t>NQ Bull Call Spread — PROFIT</t>
        </is>
      </c>
    </row>
    <row r="132">
      <c r="A132" s="19" t="inlineStr">
        <is>
          <t>2026-08-03</t>
        </is>
      </c>
      <c r="B132" s="19" t="inlineStr">
        <is>
          <t>MNQ</t>
        </is>
      </c>
      <c r="C132" s="19" t="n">
        <v>43</v>
      </c>
      <c r="D132" s="19" t="n">
        <v>12.9</v>
      </c>
      <c r="E132" s="19" t="n">
        <v>21.5</v>
      </c>
      <c r="F132" s="19" t="n">
        <v>0.86</v>
      </c>
      <c r="G132" s="19" t="n">
        <v>35.26</v>
      </c>
      <c r="H132" s="19" t="n">
        <v>70.52</v>
      </c>
      <c r="I132" s="19" t="inlineStr">
        <is>
          <t>MNQ Bull Call Spread — FLAT</t>
        </is>
      </c>
    </row>
    <row r="133">
      <c r="A133" s="19" t="inlineStr">
        <is>
          <t>2026-08-03</t>
        </is>
      </c>
      <c r="B133" s="19" t="inlineStr">
        <is>
          <t>NQ</t>
        </is>
      </c>
      <c r="C133" s="19" t="n">
        <v>3</v>
      </c>
      <c r="D133" s="19" t="n">
        <v>3.54</v>
      </c>
      <c r="E133" s="19" t="n">
        <v>7.5</v>
      </c>
      <c r="F133" s="19" t="n">
        <v>0.06</v>
      </c>
      <c r="G133" s="19" t="n">
        <v>11.1</v>
      </c>
      <c r="H133" s="19" t="n">
        <v>22.2</v>
      </c>
      <c r="I133" s="19" t="inlineStr">
        <is>
          <t>NQ Bull Call Spread — PROFIT</t>
        </is>
      </c>
    </row>
    <row r="134">
      <c r="A134" s="19" t="inlineStr">
        <is>
          <t>2026-08-03</t>
        </is>
      </c>
      <c r="B134" s="19" t="inlineStr">
        <is>
          <t>MNQ</t>
        </is>
      </c>
      <c r="C134" s="19" t="n">
        <v>44</v>
      </c>
      <c r="D134" s="19" t="n">
        <v>13.2</v>
      </c>
      <c r="E134" s="19" t="n">
        <v>22</v>
      </c>
      <c r="F134" s="19" t="n">
        <v>0.88</v>
      </c>
      <c r="G134" s="19" t="n">
        <v>36.08</v>
      </c>
      <c r="H134" s="19" t="n">
        <v>72.16</v>
      </c>
      <c r="I134" s="19" t="inlineStr">
        <is>
          <t>MNQ Bull Call Spread — STOP LOSS</t>
        </is>
      </c>
    </row>
    <row r="135">
      <c r="A135" s="19" t="inlineStr">
        <is>
          <t>2026-08-04</t>
        </is>
      </c>
      <c r="B135" s="19" t="inlineStr">
        <is>
          <t>NQ</t>
        </is>
      </c>
      <c r="C135" s="19" t="n">
        <v>3</v>
      </c>
      <c r="D135" s="19" t="n">
        <v>3.54</v>
      </c>
      <c r="E135" s="19" t="n">
        <v>7.5</v>
      </c>
      <c r="F135" s="19" t="n">
        <v>0.06</v>
      </c>
      <c r="G135" s="19" t="n">
        <v>11.1</v>
      </c>
      <c r="H135" s="19" t="n">
        <v>22.2</v>
      </c>
      <c r="I135" s="19" t="inlineStr">
        <is>
          <t>NQ Bull Call Spread — STOP LOSS</t>
        </is>
      </c>
    </row>
    <row r="136">
      <c r="A136" s="19" t="inlineStr">
        <is>
          <t>2026-08-04</t>
        </is>
      </c>
      <c r="B136" s="19" t="inlineStr">
        <is>
          <t>MNQ</t>
        </is>
      </c>
      <c r="C136" s="19" t="n">
        <v>36</v>
      </c>
      <c r="D136" s="19" t="n">
        <v>10.8</v>
      </c>
      <c r="E136" s="19" t="n">
        <v>18</v>
      </c>
      <c r="F136" s="19" t="n">
        <v>0.72</v>
      </c>
      <c r="G136" s="19" t="n">
        <v>29.52</v>
      </c>
      <c r="H136" s="19" t="n">
        <v>59.04</v>
      </c>
      <c r="I136" s="19" t="inlineStr">
        <is>
          <t>MNQ Bull Call Spread — PROFIT</t>
        </is>
      </c>
    </row>
    <row r="137">
      <c r="A137" s="19" t="inlineStr">
        <is>
          <t>2026-08-04</t>
        </is>
      </c>
      <c r="B137" s="19" t="inlineStr">
        <is>
          <t>NQ</t>
        </is>
      </c>
      <c r="C137" s="19" t="n">
        <v>4</v>
      </c>
      <c r="D137" s="19" t="n">
        <v>4.72</v>
      </c>
      <c r="E137" s="19" t="n">
        <v>10</v>
      </c>
      <c r="F137" s="19" t="n">
        <v>0.08</v>
      </c>
      <c r="G137" s="19" t="n">
        <v>14.8</v>
      </c>
      <c r="H137" s="19" t="n">
        <v>29.6</v>
      </c>
      <c r="I137" s="19" t="inlineStr">
        <is>
          <t>NQ Bull Call Spread — STOP LOSS</t>
        </is>
      </c>
    </row>
    <row r="138">
      <c r="A138" s="19" t="inlineStr">
        <is>
          <t>2026-08-04</t>
        </is>
      </c>
      <c r="B138" s="19" t="inlineStr">
        <is>
          <t>MNQ</t>
        </is>
      </c>
      <c r="C138" s="19" t="n">
        <v>45</v>
      </c>
      <c r="D138" s="19" t="n">
        <v>13.5</v>
      </c>
      <c r="E138" s="19" t="n">
        <v>22.5</v>
      </c>
      <c r="F138" s="19" t="n">
        <v>0.9</v>
      </c>
      <c r="G138" s="19" t="n">
        <v>36.9</v>
      </c>
      <c r="H138" s="19" t="n">
        <v>73.8</v>
      </c>
      <c r="I138" s="19" t="inlineStr">
        <is>
          <t>MNQ Bull Call Spread — FLAT</t>
        </is>
      </c>
    </row>
    <row r="139">
      <c r="A139" s="19" t="inlineStr">
        <is>
          <t>2026-08-05</t>
        </is>
      </c>
      <c r="B139" s="19" t="inlineStr">
        <is>
          <t>NQ</t>
        </is>
      </c>
      <c r="C139" s="19" t="n">
        <v>3</v>
      </c>
      <c r="D139" s="19" t="n">
        <v>3.54</v>
      </c>
      <c r="E139" s="19" t="n">
        <v>7.5</v>
      </c>
      <c r="F139" s="19" t="n">
        <v>0.06</v>
      </c>
      <c r="G139" s="19" t="n">
        <v>11.1</v>
      </c>
      <c r="H139" s="19" t="n">
        <v>22.2</v>
      </c>
      <c r="I139" s="19" t="inlineStr">
        <is>
          <t>NQ Bull Call Spread — STOP LOSS</t>
        </is>
      </c>
    </row>
    <row r="140">
      <c r="A140" s="19" t="inlineStr">
        <is>
          <t>2026-08-05</t>
        </is>
      </c>
      <c r="B140" s="19" t="inlineStr">
        <is>
          <t>MNQ</t>
        </is>
      </c>
      <c r="C140" s="19" t="n">
        <v>39</v>
      </c>
      <c r="D140" s="19" t="n">
        <v>11.7</v>
      </c>
      <c r="E140" s="19" t="n">
        <v>19.5</v>
      </c>
      <c r="F140" s="19" t="n">
        <v>0.78</v>
      </c>
      <c r="G140" s="19" t="n">
        <v>31.98</v>
      </c>
      <c r="H140" s="19" t="n">
        <v>63.96</v>
      </c>
      <c r="I140" s="19" t="inlineStr">
        <is>
          <t>MNQ Bull Call Spread — PROFIT</t>
        </is>
      </c>
    </row>
    <row r="141">
      <c r="A141" s="19" t="inlineStr">
        <is>
          <t>2026-08-05</t>
        </is>
      </c>
      <c r="B141" s="19" t="inlineStr">
        <is>
          <t>NQ</t>
        </is>
      </c>
      <c r="C141" s="19" t="n">
        <v>3</v>
      </c>
      <c r="D141" s="19" t="n">
        <v>3.54</v>
      </c>
      <c r="E141" s="19" t="n">
        <v>7.5</v>
      </c>
      <c r="F141" s="19" t="n">
        <v>0.06</v>
      </c>
      <c r="G141" s="19" t="n">
        <v>11.1</v>
      </c>
      <c r="H141" s="19" t="n">
        <v>22.2</v>
      </c>
      <c r="I141" s="19" t="inlineStr">
        <is>
          <t>NQ Bull Call Spread — PROFIT</t>
        </is>
      </c>
    </row>
    <row r="142">
      <c r="A142" s="19" t="inlineStr">
        <is>
          <t>2026-08-05</t>
        </is>
      </c>
      <c r="B142" s="19" t="inlineStr">
        <is>
          <t>MNQ</t>
        </is>
      </c>
      <c r="C142" s="19" t="n">
        <v>34</v>
      </c>
      <c r="D142" s="19" t="n">
        <v>10.2</v>
      </c>
      <c r="E142" s="19" t="n">
        <v>17</v>
      </c>
      <c r="F142" s="19" t="n">
        <v>0.68</v>
      </c>
      <c r="G142" s="19" t="n">
        <v>27.88</v>
      </c>
      <c r="H142" s="19" t="n">
        <v>55.76</v>
      </c>
      <c r="I142" s="19" t="inlineStr">
        <is>
          <t>MNQ Bull Call Spread — STOP LOSS</t>
        </is>
      </c>
    </row>
    <row r="143">
      <c r="A143" s="19" t="inlineStr">
        <is>
          <t>2026-08-06</t>
        </is>
      </c>
      <c r="B143" s="19" t="inlineStr">
        <is>
          <t>NQ</t>
        </is>
      </c>
      <c r="C143" s="19" t="n">
        <v>4</v>
      </c>
      <c r="D143" s="19" t="n">
        <v>4.72</v>
      </c>
      <c r="E143" s="19" t="n">
        <v>10</v>
      </c>
      <c r="F143" s="19" t="n">
        <v>0.08</v>
      </c>
      <c r="G143" s="19" t="n">
        <v>14.8</v>
      </c>
      <c r="H143" s="19" t="n">
        <v>29.6</v>
      </c>
      <c r="I143" s="19" t="inlineStr">
        <is>
          <t>NQ Bull Call Spread — PROFIT</t>
        </is>
      </c>
    </row>
    <row r="144">
      <c r="A144" s="19" t="inlineStr">
        <is>
          <t>2026-08-06</t>
        </is>
      </c>
      <c r="B144" s="19" t="inlineStr">
        <is>
          <t>MNQ</t>
        </is>
      </c>
      <c r="C144" s="19" t="n">
        <v>44</v>
      </c>
      <c r="D144" s="19" t="n">
        <v>13.2</v>
      </c>
      <c r="E144" s="19" t="n">
        <v>22</v>
      </c>
      <c r="F144" s="19" t="n">
        <v>0.88</v>
      </c>
      <c r="G144" s="19" t="n">
        <v>36.08</v>
      </c>
      <c r="H144" s="19" t="n">
        <v>72.16</v>
      </c>
      <c r="I144" s="19" t="inlineStr">
        <is>
          <t>MNQ Bull Call Spread — PROFIT</t>
        </is>
      </c>
    </row>
    <row r="145">
      <c r="A145" s="19" t="inlineStr">
        <is>
          <t>2026-08-07</t>
        </is>
      </c>
      <c r="B145" s="19" t="inlineStr">
        <is>
          <t>NQ</t>
        </is>
      </c>
      <c r="C145" s="19" t="n">
        <v>5</v>
      </c>
      <c r="D145" s="19" t="n">
        <v>5.9</v>
      </c>
      <c r="E145" s="19" t="n">
        <v>12.5</v>
      </c>
      <c r="F145" s="19" t="n">
        <v>0.1</v>
      </c>
      <c r="G145" s="19" t="n">
        <v>18.5</v>
      </c>
      <c r="H145" s="19" t="n">
        <v>37</v>
      </c>
      <c r="I145" s="19" t="inlineStr">
        <is>
          <t>NQ Bull Call Spread — PROFIT</t>
        </is>
      </c>
    </row>
    <row r="146">
      <c r="A146" s="19" t="inlineStr">
        <is>
          <t>2026-08-07</t>
        </is>
      </c>
      <c r="B146" s="19" t="inlineStr">
        <is>
          <t>MNQ</t>
        </is>
      </c>
      <c r="C146" s="19" t="n">
        <v>43</v>
      </c>
      <c r="D146" s="19" t="n">
        <v>12.9</v>
      </c>
      <c r="E146" s="19" t="n">
        <v>21.5</v>
      </c>
      <c r="F146" s="19" t="n">
        <v>0.86</v>
      </c>
      <c r="G146" s="19" t="n">
        <v>35.26</v>
      </c>
      <c r="H146" s="19" t="n">
        <v>70.52</v>
      </c>
      <c r="I146" s="19" t="inlineStr">
        <is>
          <t>MNQ Bull Call Spread — STOP LOSS</t>
        </is>
      </c>
    </row>
    <row r="147">
      <c r="A147" s="19" t="inlineStr">
        <is>
          <t>2026-08-07</t>
        </is>
      </c>
      <c r="B147" s="19" t="inlineStr">
        <is>
          <t>NQ</t>
        </is>
      </c>
      <c r="C147" s="19" t="n">
        <v>5</v>
      </c>
      <c r="D147" s="19" t="n">
        <v>5.9</v>
      </c>
      <c r="E147" s="19" t="n">
        <v>12.5</v>
      </c>
      <c r="F147" s="19" t="n">
        <v>0.1</v>
      </c>
      <c r="G147" s="19" t="n">
        <v>18.5</v>
      </c>
      <c r="H147" s="19" t="n">
        <v>37</v>
      </c>
      <c r="I147" s="19" t="inlineStr">
        <is>
          <t>NQ Bull Call Spread — PROFIT</t>
        </is>
      </c>
    </row>
    <row r="148">
      <c r="A148" s="19" t="inlineStr">
        <is>
          <t>2026-08-07</t>
        </is>
      </c>
      <c r="B148" s="19" t="inlineStr">
        <is>
          <t>MNQ</t>
        </is>
      </c>
      <c r="C148" s="19" t="n">
        <v>53</v>
      </c>
      <c r="D148" s="19" t="n">
        <v>15.9</v>
      </c>
      <c r="E148" s="19" t="n">
        <v>26.5</v>
      </c>
      <c r="F148" s="19" t="n">
        <v>1.06</v>
      </c>
      <c r="G148" s="19" t="n">
        <v>43.46</v>
      </c>
      <c r="H148" s="19" t="n">
        <v>86.92</v>
      </c>
      <c r="I148" s="19" t="inlineStr">
        <is>
          <t>MNQ Bull Call Spread — STOP LOSS</t>
        </is>
      </c>
    </row>
    <row r="149">
      <c r="A149" s="19" t="inlineStr">
        <is>
          <t>2026-08-10</t>
        </is>
      </c>
      <c r="B149" s="19" t="inlineStr">
        <is>
          <t>NQ</t>
        </is>
      </c>
      <c r="C149" s="19" t="n">
        <v>4</v>
      </c>
      <c r="D149" s="19" t="n">
        <v>4.72</v>
      </c>
      <c r="E149" s="19" t="n">
        <v>10</v>
      </c>
      <c r="F149" s="19" t="n">
        <v>0.08</v>
      </c>
      <c r="G149" s="19" t="n">
        <v>14.8</v>
      </c>
      <c r="H149" s="19" t="n">
        <v>29.6</v>
      </c>
      <c r="I149" s="19" t="inlineStr">
        <is>
          <t>NQ Bull Call Spread — FLAT</t>
        </is>
      </c>
    </row>
    <row r="150">
      <c r="A150" s="19" t="inlineStr">
        <is>
          <t>2026-08-10</t>
        </is>
      </c>
      <c r="B150" s="19" t="inlineStr">
        <is>
          <t>MNQ</t>
        </is>
      </c>
      <c r="C150" s="19" t="n">
        <v>53</v>
      </c>
      <c r="D150" s="19" t="n">
        <v>15.9</v>
      </c>
      <c r="E150" s="19" t="n">
        <v>26.5</v>
      </c>
      <c r="F150" s="19" t="n">
        <v>1.06</v>
      </c>
      <c r="G150" s="19" t="n">
        <v>43.46</v>
      </c>
      <c r="H150" s="19" t="n">
        <v>86.92</v>
      </c>
      <c r="I150" s="19" t="inlineStr">
        <is>
          <t>MNQ Bull Call Spread — STOP LOSS</t>
        </is>
      </c>
    </row>
    <row r="151">
      <c r="A151" s="19" t="inlineStr">
        <is>
          <t>2026-08-10</t>
        </is>
      </c>
      <c r="B151" s="19" t="inlineStr">
        <is>
          <t>NQ</t>
        </is>
      </c>
      <c r="C151" s="19" t="n">
        <v>4</v>
      </c>
      <c r="D151" s="19" t="n">
        <v>4.72</v>
      </c>
      <c r="E151" s="19" t="n">
        <v>10</v>
      </c>
      <c r="F151" s="19" t="n">
        <v>0.08</v>
      </c>
      <c r="G151" s="19" t="n">
        <v>14.8</v>
      </c>
      <c r="H151" s="19" t="n">
        <v>29.6</v>
      </c>
      <c r="I151" s="19" t="inlineStr">
        <is>
          <t>NQ Bull Call Spread — PROFIT</t>
        </is>
      </c>
    </row>
    <row r="152">
      <c r="A152" s="19" t="inlineStr">
        <is>
          <t>2026-08-10</t>
        </is>
      </c>
      <c r="B152" s="19" t="inlineStr">
        <is>
          <t>MNQ</t>
        </is>
      </c>
      <c r="C152" s="19" t="n">
        <v>43</v>
      </c>
      <c r="D152" s="19" t="n">
        <v>12.9</v>
      </c>
      <c r="E152" s="19" t="n">
        <v>21.5</v>
      </c>
      <c r="F152" s="19" t="n">
        <v>0.86</v>
      </c>
      <c r="G152" s="19" t="n">
        <v>35.26</v>
      </c>
      <c r="H152" s="19" t="n">
        <v>70.52</v>
      </c>
      <c r="I152" s="19" t="inlineStr">
        <is>
          <t>MNQ Bull Call Spread — STOP LOSS</t>
        </is>
      </c>
    </row>
    <row r="153">
      <c r="A153" s="19" t="inlineStr">
        <is>
          <t>2026-08-11</t>
        </is>
      </c>
      <c r="B153" s="19" t="inlineStr">
        <is>
          <t>NQ</t>
        </is>
      </c>
      <c r="C153" s="19" t="n">
        <v>5</v>
      </c>
      <c r="D153" s="19" t="n">
        <v>5.9</v>
      </c>
      <c r="E153" s="19" t="n">
        <v>12.5</v>
      </c>
      <c r="F153" s="19" t="n">
        <v>0.1</v>
      </c>
      <c r="G153" s="19" t="n">
        <v>18.5</v>
      </c>
      <c r="H153" s="19" t="n">
        <v>37</v>
      </c>
      <c r="I153" s="19" t="inlineStr">
        <is>
          <t>NQ Bull Call Spread — STOP LOSS</t>
        </is>
      </c>
    </row>
    <row r="154">
      <c r="A154" s="19" t="inlineStr">
        <is>
          <t>2026-08-11</t>
        </is>
      </c>
      <c r="B154" s="19" t="inlineStr">
        <is>
          <t>MNQ</t>
        </is>
      </c>
      <c r="C154" s="19" t="n">
        <v>54</v>
      </c>
      <c r="D154" s="19" t="n">
        <v>16.2</v>
      </c>
      <c r="E154" s="19" t="n">
        <v>27</v>
      </c>
      <c r="F154" s="19" t="n">
        <v>1.08</v>
      </c>
      <c r="G154" s="19" t="n">
        <v>44.28</v>
      </c>
      <c r="H154" s="19" t="n">
        <v>88.56</v>
      </c>
      <c r="I154" s="19" t="inlineStr">
        <is>
          <t>MNQ Bull Call Spread — PROFIT</t>
        </is>
      </c>
    </row>
    <row r="155">
      <c r="A155" s="19" t="inlineStr">
        <is>
          <t>2026-08-11</t>
        </is>
      </c>
      <c r="B155" s="19" t="inlineStr">
        <is>
          <t>NQ</t>
        </is>
      </c>
      <c r="C155" s="19" t="n">
        <v>6</v>
      </c>
      <c r="D155" s="19" t="n">
        <v>7.08</v>
      </c>
      <c r="E155" s="19" t="n">
        <v>15</v>
      </c>
      <c r="F155" s="19" t="n">
        <v>0.12</v>
      </c>
      <c r="G155" s="19" t="n">
        <v>22.2</v>
      </c>
      <c r="H155" s="19" t="n">
        <v>44.4</v>
      </c>
      <c r="I155" s="19" t="inlineStr">
        <is>
          <t>NQ Bull Call Spread — PROFIT</t>
        </is>
      </c>
    </row>
    <row r="156">
      <c r="A156" s="19" t="inlineStr">
        <is>
          <t>2026-08-11</t>
        </is>
      </c>
      <c r="B156" s="19" t="inlineStr">
        <is>
          <t>MNQ</t>
        </is>
      </c>
      <c r="C156" s="19" t="n">
        <v>44</v>
      </c>
      <c r="D156" s="19" t="n">
        <v>13.2</v>
      </c>
      <c r="E156" s="19" t="n">
        <v>22</v>
      </c>
      <c r="F156" s="19" t="n">
        <v>0.88</v>
      </c>
      <c r="G156" s="19" t="n">
        <v>36.08</v>
      </c>
      <c r="H156" s="19" t="n">
        <v>72.16</v>
      </c>
      <c r="I156" s="19" t="inlineStr">
        <is>
          <t>MNQ Bull Call Spread — PROFIT</t>
        </is>
      </c>
    </row>
    <row r="157">
      <c r="A157" s="19" t="inlineStr">
        <is>
          <t>2026-08-12</t>
        </is>
      </c>
      <c r="B157" s="19" t="inlineStr">
        <is>
          <t>NQ</t>
        </is>
      </c>
      <c r="C157" s="19" t="n">
        <v>4</v>
      </c>
      <c r="D157" s="19" t="n">
        <v>4.72</v>
      </c>
      <c r="E157" s="19" t="n">
        <v>10</v>
      </c>
      <c r="F157" s="19" t="n">
        <v>0.08</v>
      </c>
      <c r="G157" s="19" t="n">
        <v>14.8</v>
      </c>
      <c r="H157" s="19" t="n">
        <v>29.6</v>
      </c>
      <c r="I157" s="19" t="inlineStr">
        <is>
          <t>NQ Bull Call Spread — PROFIT</t>
        </is>
      </c>
    </row>
    <row r="158">
      <c r="A158" s="19" t="inlineStr">
        <is>
          <t>2026-08-12</t>
        </is>
      </c>
      <c r="B158" s="19" t="inlineStr">
        <is>
          <t>MNQ</t>
        </is>
      </c>
      <c r="C158" s="19" t="n">
        <v>45</v>
      </c>
      <c r="D158" s="19" t="n">
        <v>13.5</v>
      </c>
      <c r="E158" s="19" t="n">
        <v>22.5</v>
      </c>
      <c r="F158" s="19" t="n">
        <v>0.9</v>
      </c>
      <c r="G158" s="19" t="n">
        <v>36.9</v>
      </c>
      <c r="H158" s="19" t="n">
        <v>73.8</v>
      </c>
      <c r="I158" s="19" t="inlineStr">
        <is>
          <t>MNQ Bull Call Spread — PROFIT</t>
        </is>
      </c>
    </row>
    <row r="159">
      <c r="A159" s="19" t="inlineStr">
        <is>
          <t>2026-08-12</t>
        </is>
      </c>
      <c r="B159" s="19" t="inlineStr">
        <is>
          <t>NQ</t>
        </is>
      </c>
      <c r="C159" s="19" t="n">
        <v>4</v>
      </c>
      <c r="D159" s="19" t="n">
        <v>4.72</v>
      </c>
      <c r="E159" s="19" t="n">
        <v>10</v>
      </c>
      <c r="F159" s="19" t="n">
        <v>0.08</v>
      </c>
      <c r="G159" s="19" t="n">
        <v>14.8</v>
      </c>
      <c r="H159" s="19" t="n">
        <v>29.6</v>
      </c>
      <c r="I159" s="19" t="inlineStr">
        <is>
          <t>NQ Bull Call Spread — FLAT</t>
        </is>
      </c>
    </row>
    <row r="160">
      <c r="A160" s="19" t="inlineStr">
        <is>
          <t>2026-08-12</t>
        </is>
      </c>
      <c r="B160" s="19" t="inlineStr">
        <is>
          <t>MNQ</t>
        </is>
      </c>
      <c r="C160" s="19" t="n">
        <v>56</v>
      </c>
      <c r="D160" s="19" t="n">
        <v>16.8</v>
      </c>
      <c r="E160" s="19" t="n">
        <v>28</v>
      </c>
      <c r="F160" s="19" t="n">
        <v>1.12</v>
      </c>
      <c r="G160" s="19" t="n">
        <v>45.92</v>
      </c>
      <c r="H160" s="19" t="n">
        <v>91.84</v>
      </c>
      <c r="I160" s="19" t="inlineStr">
        <is>
          <t>MNQ Bull Call Spread — STOP LOSS</t>
        </is>
      </c>
    </row>
    <row r="161">
      <c r="A161" s="19" t="inlineStr">
        <is>
          <t>2026-08-13</t>
        </is>
      </c>
      <c r="B161" s="19" t="inlineStr">
        <is>
          <t>NQ</t>
        </is>
      </c>
      <c r="C161" s="19" t="n">
        <v>4</v>
      </c>
      <c r="D161" s="19" t="n">
        <v>4.72</v>
      </c>
      <c r="E161" s="19" t="n">
        <v>10</v>
      </c>
      <c r="F161" s="19" t="n">
        <v>0.08</v>
      </c>
      <c r="G161" s="19" t="n">
        <v>14.8</v>
      </c>
      <c r="H161" s="19" t="n">
        <v>29.6</v>
      </c>
      <c r="I161" s="19" t="inlineStr">
        <is>
          <t>NQ Bull Call Spread — PROFIT</t>
        </is>
      </c>
    </row>
    <row r="162">
      <c r="A162" s="19" t="inlineStr">
        <is>
          <t>2026-08-13</t>
        </is>
      </c>
      <c r="B162" s="19" t="inlineStr">
        <is>
          <t>MNQ</t>
        </is>
      </c>
      <c r="C162" s="19" t="n">
        <v>54</v>
      </c>
      <c r="D162" s="19" t="n">
        <v>16.2</v>
      </c>
      <c r="E162" s="19" t="n">
        <v>27</v>
      </c>
      <c r="F162" s="19" t="n">
        <v>1.08</v>
      </c>
      <c r="G162" s="19" t="n">
        <v>44.28</v>
      </c>
      <c r="H162" s="19" t="n">
        <v>88.56</v>
      </c>
      <c r="I162" s="19" t="inlineStr">
        <is>
          <t>MNQ Bull Call Spread — STOP LOSS</t>
        </is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</cols>
  <sheetData>
    <row r="1" ht="32" customHeight="1">
      <c r="A1" s="3" t="inlineStr">
        <is>
          <t>PAPER TRADING — PERFORMANCE SUMMARY</t>
        </is>
      </c>
    </row>
    <row r="2" ht="22" customHeight="1">
      <c r="A2" s="4" t="inlineStr">
        <is>
          <t>NQ — Bull Call Spread</t>
        </is>
      </c>
    </row>
    <row r="3">
      <c r="A3" s="5" t="inlineStr">
        <is>
          <t>Total Trades</t>
        </is>
      </c>
      <c r="B3" s="6">
        <f>COUNTA(NQ_Trades!A3:A1000)</f>
        <v/>
      </c>
      <c r="C3" s="6" t="inlineStr">
        <is>
          <t>NQ</t>
        </is>
      </c>
      <c r="D3" s="6" t="inlineStr"/>
    </row>
    <row r="4">
      <c r="A4" s="5" t="inlineStr">
        <is>
          <t>Wins</t>
        </is>
      </c>
      <c r="B4" s="6">
        <f>COUNTIF(NQ_Trades!Y3:Y1000,"PROFIT")</f>
        <v/>
      </c>
      <c r="C4" s="6" t="inlineStr">
        <is>
          <t>NQ</t>
        </is>
      </c>
      <c r="D4" s="6" t="inlineStr"/>
    </row>
    <row r="5">
      <c r="A5" s="5" t="inlineStr">
        <is>
          <t>Losses</t>
        </is>
      </c>
      <c r="B5" s="6">
        <f>COUNTIF(NQ_Trades!Y3:Y1000,"STOP LOSS")</f>
        <v/>
      </c>
      <c r="C5" s="6" t="inlineStr">
        <is>
          <t>NQ</t>
        </is>
      </c>
      <c r="D5" s="6" t="inlineStr"/>
    </row>
    <row r="6">
      <c r="A6" s="5" t="inlineStr">
        <is>
          <t>Flat</t>
        </is>
      </c>
      <c r="B6" s="6">
        <f>COUNTIF(NQ_Trades!Y3:Y1000,"FLAT")</f>
        <v/>
      </c>
      <c r="C6" s="6" t="inlineStr">
        <is>
          <t>NQ</t>
        </is>
      </c>
      <c r="D6" s="6" t="inlineStr"/>
    </row>
    <row r="7">
      <c r="A7" s="5" t="inlineStr">
        <is>
          <t>Win Rate (%)</t>
        </is>
      </c>
      <c r="B7" s="6">
        <f>IFERROR(B4/B3*100,0)</f>
        <v/>
      </c>
      <c r="C7" s="6" t="inlineStr">
        <is>
          <t>NQ</t>
        </is>
      </c>
      <c r="D7" s="6" t="inlineStr"/>
    </row>
    <row r="8">
      <c r="A8" s="5" t="inlineStr">
        <is>
          <t>Gross P&amp;L ($)</t>
        </is>
      </c>
      <c r="B8" s="6">
        <f>IFERROR(SUM(NQ_Trades!R3:R1000),0)</f>
        <v/>
      </c>
      <c r="C8" s="6" t="inlineStr">
        <is>
          <t>NQ</t>
        </is>
      </c>
      <c r="D8" s="6" t="inlineStr"/>
    </row>
    <row r="9">
      <c r="A9" s="5" t="inlineStr">
        <is>
          <t>Total Fees ($)</t>
        </is>
      </c>
      <c r="B9" s="6">
        <f>IFERROR(SUM(NQ_Trades!V3:V1000),0)</f>
        <v/>
      </c>
      <c r="C9" s="6" t="inlineStr">
        <is>
          <t>NQ</t>
        </is>
      </c>
      <c r="D9" s="6" t="inlineStr"/>
    </row>
    <row r="10">
      <c r="A10" s="5" t="inlineStr">
        <is>
          <t>Net P&amp;L ($)</t>
        </is>
      </c>
      <c r="B10" s="6">
        <f>IFERROR(SUM(NQ_Trades!W3:W1000),0)</f>
        <v/>
      </c>
      <c r="C10" s="6" t="inlineStr">
        <is>
          <t>NQ</t>
        </is>
      </c>
      <c r="D10" s="6" t="inlineStr"/>
    </row>
    <row r="11">
      <c r="A11" s="5" t="inlineStr">
        <is>
          <t>Budget ($)</t>
        </is>
      </c>
      <c r="B11" s="6" t="n">
        <v>1000</v>
      </c>
      <c r="C11" s="6" t="inlineStr">
        <is>
          <t>NQ</t>
        </is>
      </c>
      <c r="D11" s="6" t="inlineStr"/>
    </row>
    <row r="12">
      <c r="A12" s="5" t="inlineStr">
        <is>
          <t>Return on Budget (%)</t>
        </is>
      </c>
      <c r="B12" s="6">
        <f>IFERROR(B10/B11*100,0)</f>
        <v/>
      </c>
      <c r="C12" s="6" t="inlineStr">
        <is>
          <t>NQ</t>
        </is>
      </c>
      <c r="D12" s="6" t="inlineStr"/>
    </row>
    <row r="13">
      <c r="A13" s="7" t="n"/>
      <c r="B13" s="7" t="n"/>
      <c r="C13" s="7" t="n"/>
      <c r="D13" s="7" t="n"/>
    </row>
    <row r="14" ht="22" customHeight="1">
      <c r="A14" s="8" t="inlineStr">
        <is>
          <t>MNQ — Bull Call Spread</t>
        </is>
      </c>
      <c r="B14" s="13" t="n"/>
      <c r="C14" s="13" t="n"/>
      <c r="D14" s="14" t="n"/>
    </row>
    <row r="15">
      <c r="A15" s="5" t="inlineStr">
        <is>
          <t>Total Trades</t>
        </is>
      </c>
      <c r="B15" s="6">
        <f>COUNTA(MNQ_Trades!A3:A1000)</f>
        <v/>
      </c>
      <c r="C15" s="6" t="inlineStr">
        <is>
          <t>MNQ</t>
        </is>
      </c>
      <c r="D15" s="6" t="inlineStr"/>
    </row>
    <row r="16">
      <c r="A16" s="5" t="inlineStr">
        <is>
          <t>Wins</t>
        </is>
      </c>
      <c r="B16" s="6">
        <f>COUNTIF(MNQ_Trades!Y3:Y1000,"PROFIT")</f>
        <v/>
      </c>
      <c r="C16" s="6" t="inlineStr">
        <is>
          <t>MNQ</t>
        </is>
      </c>
      <c r="D16" s="6" t="inlineStr"/>
    </row>
    <row r="17">
      <c r="A17" s="5" t="inlineStr">
        <is>
          <t>Losses</t>
        </is>
      </c>
      <c r="B17" s="6">
        <f>COUNTIF(MNQ_Trades!Y3:Y1000,"STOP LOSS")</f>
        <v/>
      </c>
      <c r="C17" s="6" t="inlineStr">
        <is>
          <t>MNQ</t>
        </is>
      </c>
      <c r="D17" s="6" t="inlineStr"/>
    </row>
    <row r="18">
      <c r="A18" s="5" t="inlineStr">
        <is>
          <t>Flat</t>
        </is>
      </c>
      <c r="B18" s="6">
        <f>COUNTIF(MNQ_Trades!Y3:Y1000,"FLAT")</f>
        <v/>
      </c>
      <c r="C18" s="6" t="inlineStr">
        <is>
          <t>MNQ</t>
        </is>
      </c>
      <c r="D18" s="6" t="inlineStr"/>
    </row>
    <row r="19">
      <c r="A19" s="5" t="inlineStr">
        <is>
          <t>Win Rate (%)</t>
        </is>
      </c>
      <c r="B19" s="6">
        <f>IFERROR(B16/B15*100,0)</f>
        <v/>
      </c>
      <c r="C19" s="6" t="inlineStr">
        <is>
          <t>MNQ</t>
        </is>
      </c>
      <c r="D19" s="6" t="inlineStr"/>
    </row>
    <row r="20">
      <c r="A20" s="5" t="inlineStr">
        <is>
          <t>Gross P&amp;L ($)</t>
        </is>
      </c>
      <c r="B20" s="6">
        <f>IFERROR(SUM(MNQ_Trades!R3:R1000),0)</f>
        <v/>
      </c>
      <c r="C20" s="6" t="inlineStr">
        <is>
          <t>MNQ</t>
        </is>
      </c>
      <c r="D20" s="6" t="inlineStr"/>
    </row>
    <row r="21">
      <c r="A21" s="5" t="inlineStr">
        <is>
          <t>Total Fees ($)</t>
        </is>
      </c>
      <c r="B21" s="6">
        <f>IFERROR(SUM(MNQ_Trades!V3:V1000),0)</f>
        <v/>
      </c>
      <c r="C21" s="6" t="inlineStr">
        <is>
          <t>MNQ</t>
        </is>
      </c>
      <c r="D21" s="6" t="inlineStr"/>
    </row>
    <row r="22">
      <c r="A22" s="5" t="inlineStr">
        <is>
          <t>Net P&amp;L ($)</t>
        </is>
      </c>
      <c r="B22" s="6">
        <f>IFERROR(SUM(MNQ_Trades!W3:W1000),0)</f>
        <v/>
      </c>
      <c r="C22" s="6" t="inlineStr">
        <is>
          <t>MNQ</t>
        </is>
      </c>
      <c r="D22" s="6" t="inlineStr"/>
    </row>
    <row r="23">
      <c r="A23" s="5" t="inlineStr">
        <is>
          <t>Budget ($)</t>
        </is>
      </c>
      <c r="B23" s="6" t="n">
        <v>1000</v>
      </c>
      <c r="C23" s="6" t="inlineStr">
        <is>
          <t>MNQ</t>
        </is>
      </c>
      <c r="D23" s="6" t="inlineStr"/>
    </row>
    <row r="24">
      <c r="A24" s="5" t="inlineStr">
        <is>
          <t>Return on Budget (%)</t>
        </is>
      </c>
      <c r="B24" s="6">
        <f>IFERROR(B22/B23*100,0)</f>
        <v/>
      </c>
      <c r="C24" s="6" t="inlineStr">
        <is>
          <t>MNQ</t>
        </is>
      </c>
      <c r="D24" s="6" t="inlineStr"/>
    </row>
    <row r="25">
      <c r="A25" s="7" t="n"/>
      <c r="B25" s="7" t="n"/>
      <c r="C25" s="7" t="n"/>
      <c r="D25" s="7" t="n"/>
    </row>
    <row r="26" ht="22" customHeight="1">
      <c r="A26" s="8" t="inlineStr">
        <is>
          <t>Combined Totals</t>
        </is>
      </c>
      <c r="B26" s="13" t="n"/>
      <c r="C26" s="13" t="n"/>
      <c r="D26" s="14" t="n"/>
    </row>
    <row r="27">
      <c r="A27" s="5" t="inlineStr">
        <is>
          <t>Total Net P&amp;L ($)</t>
        </is>
      </c>
      <c r="B27" s="6">
        <f>B10+B22</f>
        <v/>
      </c>
      <c r="C27" s="6" t="inlineStr"/>
      <c r="D27" s="6" t="inlineStr"/>
    </row>
    <row r="28">
      <c r="A28" s="5" t="inlineStr">
        <is>
          <t>Total Fees Paid ($)</t>
        </is>
      </c>
      <c r="B28" s="6">
        <f>B9+B21</f>
        <v/>
      </c>
      <c r="C28" s="6" t="inlineStr"/>
      <c r="D28" s="6" t="inlineStr"/>
    </row>
    <row r="29">
      <c r="A29" s="5" t="inlineStr">
        <is>
          <t>Overall Win Rate (%)</t>
        </is>
      </c>
      <c r="B29" s="6">
        <f>IFERROR((B4+B16)/(B3+B15)*100,0)</f>
        <v/>
      </c>
      <c r="C29" s="6" t="inlineStr"/>
      <c r="D29" s="6" t="inlineStr"/>
    </row>
  </sheetData>
  <mergeCells count="4">
    <mergeCell ref="A1:D1"/>
    <mergeCell ref="A14:D14"/>
    <mergeCell ref="A26:D26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8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NIFTY</t>
        </is>
      </c>
      <c r="C3" s="15" t="inlineStr">
        <is>
          <t>Bull Call Spread</t>
        </is>
      </c>
      <c r="D3" s="15" t="inlineStr">
        <is>
          <t>Bull Call Spread</t>
        </is>
      </c>
      <c r="E3" s="15" t="inlineStr">
        <is>
          <t>SKIP</t>
        </is>
      </c>
      <c r="F3" s="15" t="inlineStr">
        <is>
          <t>Conflicting — Price:BULLISH EMA:BEARISH</t>
        </is>
      </c>
      <c r="G3" s="15" t="n">
        <v>23385.72</v>
      </c>
      <c r="H3" s="15" t="n">
        <v>23538</v>
      </c>
      <c r="I3" s="15" t="inlineStr">
        <is>
          <t>2026-06-18</t>
        </is>
      </c>
      <c r="J3" s="15" t="inlineStr">
        <is>
          <t>WEEKLY</t>
        </is>
      </c>
      <c r="K3" s="15" t="n">
        <v>3</v>
      </c>
      <c r="L3" s="15" t="inlineStr">
        <is>
          <t>09:20 IST</t>
        </is>
      </c>
      <c r="M3" s="15" t="inlineStr">
        <is>
          <t>11:02 IST</t>
        </is>
      </c>
      <c r="N3" s="15" t="n">
        <v>23622.9</v>
      </c>
      <c r="O3" s="15" t="n">
        <v>23161.6</v>
      </c>
      <c r="P3" s="15" t="inlineStr">
        <is>
          <t>23600 CE</t>
        </is>
      </c>
      <c r="Q3" s="15" t="inlineStr">
        <is>
          <t>23700 CE</t>
        </is>
      </c>
      <c r="R3" s="15" t="n">
        <v>20</v>
      </c>
      <c r="S3" s="15" t="n">
        <v>75</v>
      </c>
      <c r="T3" s="15" t="n">
        <v>1500</v>
      </c>
      <c r="U3" s="15" t="n">
        <v>31.47</v>
      </c>
      <c r="V3" s="15" t="n">
        <v>22.03</v>
      </c>
      <c r="W3" s="15" t="n">
        <v>47205</v>
      </c>
      <c r="X3" s="15" t="n">
        <v>47259.63</v>
      </c>
      <c r="Y3" s="15" t="n">
        <v>102795</v>
      </c>
      <c r="Z3" s="15" t="n">
        <v>14161.5</v>
      </c>
      <c r="AA3" s="15" t="n">
        <v>14161.5</v>
      </c>
      <c r="AB3" s="15" t="n">
        <v>-14160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-14214.63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EMA9↑(23778.35&gt;23687.38)</t>
        </is>
      </c>
      <c r="G4" s="17" t="n">
        <v>23778.35</v>
      </c>
      <c r="H4" s="17" t="n">
        <v>23687.38</v>
      </c>
      <c r="I4" s="17" t="inlineStr">
        <is>
          <t>2026-06-18</t>
        </is>
      </c>
      <c r="J4" s="17" t="inlineStr">
        <is>
          <t>WEEKLY</t>
        </is>
      </c>
      <c r="K4" s="17" t="n">
        <v>0</v>
      </c>
      <c r="L4" s="17" t="inlineStr">
        <is>
          <t>09:20 IST</t>
        </is>
      </c>
      <c r="M4" s="17" t="inlineStr">
        <is>
          <t>10:29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26</v>
      </c>
      <c r="S4" s="17" t="n">
        <v>75</v>
      </c>
      <c r="T4" s="17" t="n">
        <v>1950</v>
      </c>
      <c r="U4" s="17" t="n">
        <v>24.87</v>
      </c>
      <c r="V4" s="17" t="n">
        <v>32.33</v>
      </c>
      <c r="W4" s="17" t="n">
        <v>48496.5</v>
      </c>
      <c r="X4" s="17" t="n">
        <v>48551.33</v>
      </c>
      <c r="Y4" s="17" t="n">
        <v>146503.5</v>
      </c>
      <c r="Z4" s="17" t="n">
        <v>14548.95</v>
      </c>
      <c r="AA4" s="17" t="n">
        <v>14548.95</v>
      </c>
      <c r="AB4" s="17" t="n">
        <v>14547</v>
      </c>
      <c r="AC4" s="17" t="n">
        <v>30</v>
      </c>
      <c r="AD4" s="17" t="n">
        <v>40</v>
      </c>
      <c r="AE4" s="17" t="n">
        <v>6.06</v>
      </c>
      <c r="AF4" s="17" t="n">
        <v>0.1</v>
      </c>
      <c r="AG4" s="17" t="n">
        <v>1.45</v>
      </c>
      <c r="AH4" s="17" t="n">
        <v>7.22</v>
      </c>
      <c r="AI4" s="17" t="n">
        <v>54.83</v>
      </c>
      <c r="AJ4" s="17" t="n">
        <v>14492.17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Bull Call Spread</t>
        </is>
      </c>
      <c r="D5" s="15" t="inlineStr">
        <is>
          <t>Bull Call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10:43 IST</t>
        </is>
      </c>
      <c r="N5" s="15" t="n">
        <v>24013.1</v>
      </c>
      <c r="O5" s="15" t="n">
        <v>24168</v>
      </c>
      <c r="P5" s="15" t="inlineStr">
        <is>
          <t>24000 CE</t>
        </is>
      </c>
      <c r="Q5" s="15" t="inlineStr">
        <is>
          <t>24100 CE</t>
        </is>
      </c>
      <c r="R5" s="15" t="n">
        <v>19</v>
      </c>
      <c r="S5" s="15" t="n">
        <v>75</v>
      </c>
      <c r="T5" s="15" t="n">
        <v>1425</v>
      </c>
      <c r="U5" s="15" t="n">
        <v>33.25</v>
      </c>
      <c r="V5" s="15" t="n">
        <v>23.27</v>
      </c>
      <c r="W5" s="15" t="n">
        <v>47381.25</v>
      </c>
      <c r="X5" s="15" t="n">
        <v>47435.91</v>
      </c>
      <c r="Y5" s="15" t="n">
        <v>95118.75</v>
      </c>
      <c r="Z5" s="15" t="n">
        <v>14214.38</v>
      </c>
      <c r="AA5" s="15" t="n">
        <v>14214.38</v>
      </c>
      <c r="AB5" s="15" t="n">
        <v>-14221.5</v>
      </c>
      <c r="AC5" s="15" t="n">
        <v>-30</v>
      </c>
      <c r="AD5" s="15" t="n">
        <v>40</v>
      </c>
      <c r="AE5" s="15" t="n">
        <v>5.92</v>
      </c>
      <c r="AF5" s="15" t="n">
        <v>0.09</v>
      </c>
      <c r="AG5" s="15" t="n">
        <v>1.42</v>
      </c>
      <c r="AH5" s="15" t="n">
        <v>7.22</v>
      </c>
      <c r="AI5" s="15" t="n">
        <v>54.66</v>
      </c>
      <c r="AJ5" s="15" t="n">
        <v>-14276.16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Price↑(24168.0&gt;24085.7) &amp; EMA9↑(23777.57&gt;23682.14)</t>
        </is>
      </c>
      <c r="G6" s="15" t="n">
        <v>23777.57</v>
      </c>
      <c r="H6" s="15" t="n">
        <v>23682.14</v>
      </c>
      <c r="I6" s="15" t="inlineStr">
        <is>
          <t>2026-06-25</t>
        </is>
      </c>
      <c r="J6" s="15" t="inlineStr">
        <is>
          <t>WEEKLY</t>
        </is>
      </c>
      <c r="K6" s="15" t="n">
        <v>6</v>
      </c>
      <c r="L6" s="15" t="inlineStr">
        <is>
          <t>09:20 IST</t>
        </is>
      </c>
      <c r="M6" s="15" t="inlineStr">
        <is>
          <t>10:31 IST</t>
        </is>
      </c>
      <c r="N6" s="15" t="n">
        <v>24168</v>
      </c>
      <c r="O6" s="15" t="n">
        <v>24085.7</v>
      </c>
      <c r="P6" s="15" t="inlineStr">
        <is>
          <t>24100 CE</t>
        </is>
      </c>
      <c r="Q6" s="15" t="inlineStr">
        <is>
          <t>24200 CE</t>
        </is>
      </c>
      <c r="R6" s="15" t="n">
        <v>23</v>
      </c>
      <c r="S6" s="15" t="n">
        <v>75</v>
      </c>
      <c r="T6" s="15" t="n">
        <v>1725</v>
      </c>
      <c r="U6" s="15" t="n">
        <v>27.64</v>
      </c>
      <c r="V6" s="15" t="n">
        <v>19.35</v>
      </c>
      <c r="W6" s="15" t="n">
        <v>47679</v>
      </c>
      <c r="X6" s="15" t="n">
        <v>47733.7</v>
      </c>
      <c r="Y6" s="15" t="n">
        <v>124821</v>
      </c>
      <c r="Z6" s="15" t="n">
        <v>14303.7</v>
      </c>
      <c r="AA6" s="15" t="n">
        <v>14303.7</v>
      </c>
      <c r="AB6" s="15" t="n">
        <v>-14300.25</v>
      </c>
      <c r="AC6" s="15" t="n">
        <v>-30</v>
      </c>
      <c r="AD6" s="15" t="n">
        <v>40</v>
      </c>
      <c r="AE6" s="15" t="n">
        <v>5.96</v>
      </c>
      <c r="AF6" s="15" t="n">
        <v>0.1</v>
      </c>
      <c r="AG6" s="15" t="n">
        <v>1.43</v>
      </c>
      <c r="AH6" s="15" t="n">
        <v>7.22</v>
      </c>
      <c r="AI6" s="15" t="n">
        <v>54.7</v>
      </c>
      <c r="AJ6" s="15" t="n">
        <v>-14354.95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NIFTY</t>
        </is>
      </c>
      <c r="C7" s="16" t="inlineStr">
        <is>
          <t>Bull Call Spread</t>
        </is>
      </c>
      <c r="D7" s="16" t="inlineStr">
        <is>
          <t>Bull Call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23824.22</v>
      </c>
      <c r="H7" s="16" t="n">
        <v>23714.31</v>
      </c>
      <c r="I7" s="16" t="inlineStr">
        <is>
          <t>2026-06-25</t>
        </is>
      </c>
      <c r="J7" s="16" t="inlineStr">
        <is>
          <t>WEEKLY</t>
        </is>
      </c>
      <c r="K7" s="16" t="n">
        <v>3</v>
      </c>
      <c r="L7" s="16" t="inlineStr">
        <is>
          <t>09:20 IST</t>
        </is>
      </c>
      <c r="M7" s="16" t="inlineStr">
        <is>
          <t>14:04 IST</t>
        </is>
      </c>
      <c r="N7" s="16" t="n">
        <v>24013.1</v>
      </c>
      <c r="O7" s="16" t="n">
        <v>24168</v>
      </c>
      <c r="P7" s="16" t="inlineStr">
        <is>
          <t>24000 CE</t>
        </is>
      </c>
      <c r="Q7" s="16" t="inlineStr">
        <is>
          <t>24100 CE</t>
        </is>
      </c>
      <c r="R7" s="16" t="n">
        <v>21</v>
      </c>
      <c r="S7" s="16" t="n">
        <v>75</v>
      </c>
      <c r="T7" s="16" t="n">
        <v>1575</v>
      </c>
      <c r="U7" s="16" t="n">
        <v>30.13</v>
      </c>
      <c r="V7" s="16" t="n">
        <v>29.89</v>
      </c>
      <c r="W7" s="16" t="n">
        <v>47454.75</v>
      </c>
      <c r="X7" s="16" t="n">
        <v>47509.42</v>
      </c>
      <c r="Y7" s="16" t="n">
        <v>110045.25</v>
      </c>
      <c r="Z7" s="16" t="n">
        <v>14236.42</v>
      </c>
      <c r="AA7" s="16" t="n">
        <v>14236.42</v>
      </c>
      <c r="AB7" s="16" t="n">
        <v>-378</v>
      </c>
      <c r="AC7" s="16" t="n">
        <v>-0.8</v>
      </c>
      <c r="AD7" s="16" t="n">
        <v>40</v>
      </c>
      <c r="AE7" s="16" t="n">
        <v>5.93</v>
      </c>
      <c r="AF7" s="16" t="n">
        <v>0.09</v>
      </c>
      <c r="AG7" s="16" t="n">
        <v>1.42</v>
      </c>
      <c r="AH7" s="16" t="n">
        <v>7.22</v>
      </c>
      <c r="AI7" s="16" t="n">
        <v>54.67</v>
      </c>
      <c r="AJ7" s="16" t="n">
        <v>-432.67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10:18 IST</t>
        </is>
      </c>
      <c r="N8" s="15" t="n">
        <v>24013.1</v>
      </c>
      <c r="O8" s="15" t="n">
        <v>24168</v>
      </c>
      <c r="P8" s="15" t="inlineStr">
        <is>
          <t>24000 CE</t>
        </is>
      </c>
      <c r="Q8" s="15" t="inlineStr">
        <is>
          <t>24100 CE</t>
        </is>
      </c>
      <c r="R8" s="15" t="n">
        <v>18</v>
      </c>
      <c r="S8" s="15" t="n">
        <v>75</v>
      </c>
      <c r="T8" s="15" t="n">
        <v>1350</v>
      </c>
      <c r="U8" s="15" t="n">
        <v>36.35</v>
      </c>
      <c r="V8" s="15" t="n">
        <v>25.45</v>
      </c>
      <c r="W8" s="15" t="n">
        <v>49072.5</v>
      </c>
      <c r="X8" s="15" t="n">
        <v>49127.42</v>
      </c>
      <c r="Y8" s="15" t="n">
        <v>85927.5</v>
      </c>
      <c r="Z8" s="15" t="n">
        <v>14721.75</v>
      </c>
      <c r="AA8" s="15" t="n">
        <v>14721.75</v>
      </c>
      <c r="AB8" s="15" t="n">
        <v>-14715</v>
      </c>
      <c r="AC8" s="15" t="n">
        <v>-30</v>
      </c>
      <c r="AD8" s="15" t="n">
        <v>40</v>
      </c>
      <c r="AE8" s="15" t="n">
        <v>6.13</v>
      </c>
      <c r="AF8" s="15" t="n">
        <v>0.1</v>
      </c>
      <c r="AG8" s="15" t="n">
        <v>1.47</v>
      </c>
      <c r="AH8" s="15" t="n">
        <v>7.22</v>
      </c>
      <c r="AI8" s="15" t="n">
        <v>54.92</v>
      </c>
      <c r="AJ8" s="15" t="n">
        <v>-14769.92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23868.63</v>
      </c>
      <c r="H9" s="17" t="n">
        <v>23767.86</v>
      </c>
      <c r="I9" s="17" t="inlineStr">
        <is>
          <t>2026-06-25</t>
        </is>
      </c>
      <c r="J9" s="17" t="inlineStr">
        <is>
          <t>WEEKLY</t>
        </is>
      </c>
      <c r="K9" s="17" t="n">
        <v>2</v>
      </c>
      <c r="L9" s="17" t="inlineStr">
        <is>
          <t>09:20 IST</t>
        </is>
      </c>
      <c r="M9" s="17" t="inlineStr">
        <is>
          <t>10:03 IST</t>
        </is>
      </c>
      <c r="N9" s="17" t="n">
        <v>23824.1</v>
      </c>
      <c r="O9" s="17" t="n">
        <v>24102.9</v>
      </c>
      <c r="P9" s="17" t="inlineStr">
        <is>
          <t>23800 CE</t>
        </is>
      </c>
      <c r="Q9" s="17" t="inlineStr">
        <is>
          <t>23900 CE</t>
        </is>
      </c>
      <c r="R9" s="17" t="n">
        <v>31</v>
      </c>
      <c r="S9" s="17" t="n">
        <v>75</v>
      </c>
      <c r="T9" s="17" t="n">
        <v>2325</v>
      </c>
      <c r="U9" s="17" t="n">
        <v>20.81</v>
      </c>
      <c r="V9" s="17" t="n">
        <v>27.05</v>
      </c>
      <c r="W9" s="17" t="n">
        <v>48383.25</v>
      </c>
      <c r="X9" s="17" t="n">
        <v>48438.06</v>
      </c>
      <c r="Y9" s="17" t="n">
        <v>184116.75</v>
      </c>
      <c r="Z9" s="17" t="n">
        <v>14514.98</v>
      </c>
      <c r="AA9" s="17" t="n">
        <v>14514.98</v>
      </c>
      <c r="AB9" s="17" t="n">
        <v>14508</v>
      </c>
      <c r="AC9" s="17" t="n">
        <v>30</v>
      </c>
      <c r="AD9" s="17" t="n">
        <v>40</v>
      </c>
      <c r="AE9" s="17" t="n">
        <v>6.05</v>
      </c>
      <c r="AF9" s="17" t="n">
        <v>0.1</v>
      </c>
      <c r="AG9" s="17" t="n">
        <v>1.45</v>
      </c>
      <c r="AH9" s="17" t="n">
        <v>7.22</v>
      </c>
      <c r="AI9" s="17" t="n">
        <v>54.81</v>
      </c>
      <c r="AJ9" s="17" t="n">
        <v>14453.19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11:19 IST</t>
        </is>
      </c>
      <c r="N10" s="17" t="n">
        <v>24102.9</v>
      </c>
      <c r="O10" s="17" t="n">
        <v>24013.1</v>
      </c>
      <c r="P10" s="17" t="inlineStr">
        <is>
          <t>24100 CE</t>
        </is>
      </c>
      <c r="Q10" s="17" t="inlineStr">
        <is>
          <t>24200 CE</t>
        </is>
      </c>
      <c r="R10" s="17" t="n">
        <v>27</v>
      </c>
      <c r="S10" s="17" t="n">
        <v>75</v>
      </c>
      <c r="T10" s="17" t="n">
        <v>2025</v>
      </c>
      <c r="U10" s="17" t="n">
        <v>23.46</v>
      </c>
      <c r="V10" s="17" t="n">
        <v>30.5</v>
      </c>
      <c r="W10" s="17" t="n">
        <v>47506.5</v>
      </c>
      <c r="X10" s="17" t="n">
        <v>47561.18</v>
      </c>
      <c r="Y10" s="17" t="n">
        <v>154993.5</v>
      </c>
      <c r="Z10" s="17" t="n">
        <v>14251.95</v>
      </c>
      <c r="AA10" s="17" t="n">
        <v>14251.95</v>
      </c>
      <c r="AB10" s="17" t="n">
        <v>14256</v>
      </c>
      <c r="AC10" s="17" t="n">
        <v>30</v>
      </c>
      <c r="AD10" s="17" t="n">
        <v>40</v>
      </c>
      <c r="AE10" s="17" t="n">
        <v>5.94</v>
      </c>
      <c r="AF10" s="17" t="n">
        <v>0.1</v>
      </c>
      <c r="AG10" s="17" t="n">
        <v>1.43</v>
      </c>
      <c r="AH10" s="17" t="n">
        <v>7.22</v>
      </c>
      <c r="AI10" s="17" t="n">
        <v>54.68</v>
      </c>
      <c r="AJ10" s="17" t="n">
        <v>14201.32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2026-06-24</t>
        </is>
      </c>
      <c r="B11" s="15" t="inlineStr">
        <is>
          <t>NIFTY</t>
        </is>
      </c>
      <c r="C11" s="15" t="inlineStr">
        <is>
          <t>Bull Call Spread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Price↑(24021.65&gt;23824.1) &amp; EMA9↑(23899.33&gt;23791.89)</t>
        </is>
      </c>
      <c r="H11" s="15" t="n">
        <v>23899.33</v>
      </c>
      <c r="I11" s="15" t="n">
        <v>23791.89</v>
      </c>
      <c r="J11" s="15" t="inlineStr">
        <is>
          <t>2026-06-25</t>
        </is>
      </c>
      <c r="K11" s="15" t="inlineStr">
        <is>
          <t>WEEKLY</t>
        </is>
      </c>
      <c r="L11" s="15" t="n">
        <v>1</v>
      </c>
      <c r="M11" s="15" t="inlineStr">
        <is>
          <t>09:20 IST</t>
        </is>
      </c>
      <c r="N11" s="15" t="inlineStr">
        <is>
          <t>10:51 IST</t>
        </is>
      </c>
      <c r="O11" s="15" t="n">
        <v>24021.65</v>
      </c>
      <c r="P11" s="15" t="n">
        <v>23824.1</v>
      </c>
      <c r="Q11" s="15" t="inlineStr">
        <is>
          <t>24000 CE</t>
        </is>
      </c>
      <c r="R11" s="15" t="inlineStr">
        <is>
          <t>24100 CE</t>
        </is>
      </c>
      <c r="S11" s="15" t="n">
        <v>45</v>
      </c>
      <c r="T11" s="15" t="n">
        <v>65</v>
      </c>
      <c r="U11" s="15" t="n">
        <v>2925</v>
      </c>
      <c r="V11" s="15" t="n">
        <v>16.39</v>
      </c>
      <c r="W11" s="15" t="n">
        <v>11.47</v>
      </c>
      <c r="X11" s="15" t="n">
        <v>47940.75</v>
      </c>
      <c r="Y11" s="15" t="n">
        <v>47995.49</v>
      </c>
      <c r="Z11" s="15" t="n">
        <v>244559.25</v>
      </c>
      <c r="AA11" s="15" t="n">
        <v>14382.23</v>
      </c>
      <c r="AB11" s="15" t="n">
        <v>14382.23</v>
      </c>
      <c r="AC11" s="15" t="n">
        <v>-14391</v>
      </c>
      <c r="AD11" s="15" t="n">
        <v>-30</v>
      </c>
      <c r="AE11" s="15" t="n">
        <v>40</v>
      </c>
      <c r="AF11" s="15" t="n">
        <v>5.99</v>
      </c>
      <c r="AG11" s="15" t="n">
        <v>0.1</v>
      </c>
      <c r="AH11" s="15" t="n">
        <v>1.44</v>
      </c>
      <c r="AI11" s="15" t="n">
        <v>7.22</v>
      </c>
      <c r="AJ11" s="15" t="n">
        <v>54.74</v>
      </c>
      <c r="AK11" s="15" t="n">
        <v>-14445.74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NIFTY</t>
        </is>
      </c>
      <c r="C12" s="16" t="inlineStr">
        <is>
          <t>Bull Call Spread</t>
        </is>
      </c>
      <c r="D12" s="16" t="inlineStr">
        <is>
          <t>Bull Call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23868.74</v>
      </c>
      <c r="I12" s="16" t="n">
        <v>23768.91</v>
      </c>
      <c r="J12" s="16" t="inlineStr">
        <is>
          <t>2026-06-25</t>
        </is>
      </c>
      <c r="K12" s="16" t="inlineStr">
        <is>
          <t>WEEKLY</t>
        </is>
      </c>
      <c r="L12" s="16" t="n">
        <v>1</v>
      </c>
      <c r="M12" s="16" t="inlineStr">
        <is>
          <t>09:20 IST</t>
        </is>
      </c>
      <c r="N12" s="16" t="inlineStr">
        <is>
          <t>15:03 IST</t>
        </is>
      </c>
      <c r="O12" s="16" t="n">
        <v>23824.1</v>
      </c>
      <c r="P12" s="16" t="n">
        <v>24102.9</v>
      </c>
      <c r="Q12" s="16" t="inlineStr">
        <is>
          <t>23800 CE</t>
        </is>
      </c>
      <c r="R12" s="16" t="inlineStr">
        <is>
          <t>23900 CE</t>
        </is>
      </c>
      <c r="S12" s="16" t="n">
        <v>41</v>
      </c>
      <c r="T12" s="16" t="n">
        <v>65</v>
      </c>
      <c r="U12" s="16" t="n">
        <v>2665</v>
      </c>
      <c r="V12" s="16" t="n">
        <v>17.94</v>
      </c>
      <c r="W12" s="16" t="n">
        <v>18.03</v>
      </c>
      <c r="X12" s="16" t="n">
        <v>47810.1</v>
      </c>
      <c r="Y12" s="16" t="n">
        <v>47864.82</v>
      </c>
      <c r="Z12" s="16" t="n">
        <v>218689.9</v>
      </c>
      <c r="AA12" s="16" t="n">
        <v>14343.03</v>
      </c>
      <c r="AB12" s="16" t="n">
        <v>14343.03</v>
      </c>
      <c r="AC12" s="16" t="n">
        <v>239.85</v>
      </c>
      <c r="AD12" s="16" t="n">
        <v>0.5</v>
      </c>
      <c r="AE12" s="16" t="n">
        <v>40</v>
      </c>
      <c r="AF12" s="16" t="n">
        <v>5.98</v>
      </c>
      <c r="AG12" s="16" t="n">
        <v>0.1</v>
      </c>
      <c r="AH12" s="16" t="n">
        <v>1.43</v>
      </c>
      <c r="AI12" s="16" t="n">
        <v>7.22</v>
      </c>
      <c r="AJ12" s="16" t="n">
        <v>54.72</v>
      </c>
      <c r="AK12" s="16" t="n">
        <v>185.13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5" t="inlineStr">
        <is>
          <t>2026-06-25</t>
        </is>
      </c>
      <c r="B13" s="15" t="inlineStr">
        <is>
          <t>NIFTY</t>
        </is>
      </c>
      <c r="C13" s="15" t="inlineStr">
        <is>
          <t>Bull Call Spread</t>
        </is>
      </c>
      <c r="D13" s="15" t="inlineStr">
        <is>
          <t>Bull Call Spread</t>
        </is>
      </c>
      <c r="E13" s="15" t="inlineStr">
        <is>
          <t>SIMULATED</t>
        </is>
      </c>
      <c r="F13" s="15" t="inlineStr">
        <is>
          <t>BULLISH</t>
        </is>
      </c>
      <c r="G13" s="15" t="inlineStr">
        <is>
          <t>Price↑(24056.0&gt;24021.65) &amp; EMA9↑(23930.53&gt;23806.47)</t>
        </is>
      </c>
      <c r="H13" s="15" t="n">
        <v>23930.53</v>
      </c>
      <c r="I13" s="15" t="n">
        <v>23806.47</v>
      </c>
      <c r="J13" s="15" t="inlineStr">
        <is>
          <t>2026-06-25</t>
        </is>
      </c>
      <c r="K13" s="15" t="inlineStr">
        <is>
          <t>WEEKLY</t>
        </is>
      </c>
      <c r="L13" s="15" t="n">
        <v>0</v>
      </c>
      <c r="M13" s="15" t="inlineStr">
        <is>
          <t>09:20 IST</t>
        </is>
      </c>
      <c r="N13" s="15" t="inlineStr">
        <is>
          <t>10:46 IST</t>
        </is>
      </c>
      <c r="O13" s="15" t="n">
        <v>24056</v>
      </c>
      <c r="P13" s="15" t="n">
        <v>24021.65</v>
      </c>
      <c r="Q13" s="15" t="inlineStr">
        <is>
          <t>24000 CE</t>
        </is>
      </c>
      <c r="R13" s="15" t="inlineStr">
        <is>
          <t>24100 CE</t>
        </is>
      </c>
      <c r="S13" s="15" t="n">
        <v>44</v>
      </c>
      <c r="T13" s="15" t="n">
        <v>65</v>
      </c>
      <c r="U13" s="15" t="n">
        <v>2860</v>
      </c>
      <c r="V13" s="15" t="n">
        <v>16.64</v>
      </c>
      <c r="W13" s="15" t="n">
        <v>11.65</v>
      </c>
      <c r="X13" s="15" t="n">
        <v>47590.4</v>
      </c>
      <c r="Y13" s="15" t="n">
        <v>47645.09</v>
      </c>
      <c r="Z13" s="15" t="n">
        <v>238409.6</v>
      </c>
      <c r="AA13" s="15" t="n">
        <v>14277.12</v>
      </c>
      <c r="AB13" s="15" t="n">
        <v>14277.12</v>
      </c>
      <c r="AC13" s="15" t="n">
        <v>-14271.4</v>
      </c>
      <c r="AD13" s="15" t="n">
        <v>-30</v>
      </c>
      <c r="AE13" s="15" t="n">
        <v>40</v>
      </c>
      <c r="AF13" s="15" t="n">
        <v>5.95</v>
      </c>
      <c r="AG13" s="15" t="n">
        <v>0.1</v>
      </c>
      <c r="AH13" s="15" t="n">
        <v>1.43</v>
      </c>
      <c r="AI13" s="15" t="n">
        <v>7.22</v>
      </c>
      <c r="AJ13" s="15" t="n">
        <v>54.69</v>
      </c>
      <c r="AK13" s="15" t="n">
        <v>-14326.09</v>
      </c>
      <c r="AL13" s="15" t="inlineStr">
        <is>
          <t>STOP LOSS</t>
        </is>
      </c>
      <c r="AM13" s="15" t="n">
        <v>50000</v>
      </c>
      <c r="AN13" s="15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Price↑(24021.65&gt;23824.1) &amp; EMA9↑(23899.17&gt;23781.51)</t>
        </is>
      </c>
      <c r="H14" s="17" t="n">
        <v>23899.17</v>
      </c>
      <c r="I14" s="17" t="n">
        <v>23781.51</v>
      </c>
      <c r="J14" s="17" t="inlineStr">
        <is>
          <t>2026-06-25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11:00 IST</t>
        </is>
      </c>
      <c r="O14" s="17" t="n">
        <v>24021.65</v>
      </c>
      <c r="P14" s="17" t="n">
        <v>23824.1</v>
      </c>
      <c r="Q14" s="17" t="inlineStr">
        <is>
          <t>24000 CE</t>
        </is>
      </c>
      <c r="R14" s="17" t="inlineStr">
        <is>
          <t>24100 CE</t>
        </is>
      </c>
      <c r="S14" s="17" t="n">
        <v>37</v>
      </c>
      <c r="T14" s="17" t="n">
        <v>65</v>
      </c>
      <c r="U14" s="17" t="n">
        <v>2405</v>
      </c>
      <c r="V14" s="17" t="n">
        <v>19.87</v>
      </c>
      <c r="W14" s="17" t="n">
        <v>25.83</v>
      </c>
      <c r="X14" s="17" t="n">
        <v>47787.35</v>
      </c>
      <c r="Y14" s="17" t="n">
        <v>47842.07</v>
      </c>
      <c r="Z14" s="17" t="n">
        <v>192712.65</v>
      </c>
      <c r="AA14" s="17" t="n">
        <v>14336.2</v>
      </c>
      <c r="AB14" s="17" t="n">
        <v>14336.2</v>
      </c>
      <c r="AC14" s="17" t="n">
        <v>14333.8</v>
      </c>
      <c r="AD14" s="17" t="n">
        <v>30</v>
      </c>
      <c r="AE14" s="17" t="n">
        <v>40</v>
      </c>
      <c r="AF14" s="17" t="n">
        <v>5.97</v>
      </c>
      <c r="AG14" s="17" t="n">
        <v>0.1</v>
      </c>
      <c r="AH14" s="17" t="n">
        <v>1.43</v>
      </c>
      <c r="AI14" s="17" t="n">
        <v>7.22</v>
      </c>
      <c r="AJ14" s="17" t="n">
        <v>54.72</v>
      </c>
      <c r="AK14" s="17" t="n">
        <v>14279.08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5" t="inlineStr">
        <is>
          <t>2026-06-26</t>
        </is>
      </c>
      <c r="B15" s="15" t="inlineStr">
        <is>
          <t>NIFTY</t>
        </is>
      </c>
      <c r="C15" s="15" t="inlineStr">
        <is>
          <t>Bull Call Spread</t>
        </is>
      </c>
      <c r="D15" s="15" t="inlineStr">
        <is>
          <t>Bull Call Spread</t>
        </is>
      </c>
      <c r="E15" s="15" t="inlineStr">
        <is>
          <t>SIMULATED</t>
        </is>
      </c>
      <c r="F15" s="15" t="inlineStr">
        <is>
          <t>BULLISH</t>
        </is>
      </c>
      <c r="G15" s="15" t="inlineStr">
        <is>
          <t>Price↑(24056.0&gt;24021.65) &amp; EMA9↑(23930.98&gt;23794.58)</t>
        </is>
      </c>
      <c r="H15" s="15" t="n">
        <v>23930.98</v>
      </c>
      <c r="I15" s="15" t="n">
        <v>23794.58</v>
      </c>
      <c r="J15" s="15" t="inlineStr">
        <is>
          <t>2026-07-02</t>
        </is>
      </c>
      <c r="K15" s="15" t="inlineStr">
        <is>
          <t>WEEKLY</t>
        </is>
      </c>
      <c r="L15" s="15" t="n">
        <v>6</v>
      </c>
      <c r="M15" s="15" t="inlineStr">
        <is>
          <t>09:20 IST</t>
        </is>
      </c>
      <c r="N15" s="15" t="inlineStr">
        <is>
          <t>11:06 IST</t>
        </is>
      </c>
      <c r="O15" s="15" t="n">
        <v>24056</v>
      </c>
      <c r="P15" s="15" t="n">
        <v>24021.65</v>
      </c>
      <c r="Q15" s="15" t="inlineStr">
        <is>
          <t>24000 CE</t>
        </is>
      </c>
      <c r="R15" s="15" t="inlineStr">
        <is>
          <t>24100 CE</t>
        </is>
      </c>
      <c r="S15" s="15" t="n">
        <v>22</v>
      </c>
      <c r="T15" s="15" t="n">
        <v>65</v>
      </c>
      <c r="U15" s="15" t="n">
        <v>1430</v>
      </c>
      <c r="V15" s="15" t="n">
        <v>33.82</v>
      </c>
      <c r="W15" s="15" t="n">
        <v>23.67</v>
      </c>
      <c r="X15" s="15" t="n">
        <v>48362.6</v>
      </c>
      <c r="Y15" s="15" t="n">
        <v>48417.41</v>
      </c>
      <c r="Z15" s="15" t="n">
        <v>94637.39999999999</v>
      </c>
      <c r="AA15" s="15" t="n">
        <v>14508.78</v>
      </c>
      <c r="AB15" s="15" t="n">
        <v>14508.78</v>
      </c>
      <c r="AC15" s="15" t="n">
        <v>-14514.5</v>
      </c>
      <c r="AD15" s="15" t="n">
        <v>-30</v>
      </c>
      <c r="AE15" s="15" t="n">
        <v>40</v>
      </c>
      <c r="AF15" s="15" t="n">
        <v>6.05</v>
      </c>
      <c r="AG15" s="15" t="n">
        <v>0.1</v>
      </c>
      <c r="AH15" s="15" t="n">
        <v>1.45</v>
      </c>
      <c r="AI15" s="15" t="n">
        <v>7.22</v>
      </c>
      <c r="AJ15" s="15" t="n">
        <v>54.81</v>
      </c>
      <c r="AK15" s="15" t="n">
        <v>-14569.31</v>
      </c>
      <c r="AL15" s="15" t="inlineStr">
        <is>
          <t>STOP LOSS</t>
        </is>
      </c>
      <c r="AM15" s="15" t="n">
        <v>50000</v>
      </c>
      <c r="AN15" s="15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12:10 IST</t>
        </is>
      </c>
      <c r="O16" s="17" t="n">
        <v>24056</v>
      </c>
      <c r="P16" s="17" t="n">
        <v>24021.65</v>
      </c>
      <c r="Q16" s="17" t="inlineStr">
        <is>
          <t>24000 CE</t>
        </is>
      </c>
      <c r="R16" s="17" t="inlineStr">
        <is>
          <t>24100 CE</t>
        </is>
      </c>
      <c r="S16" s="17" t="n">
        <v>23</v>
      </c>
      <c r="T16" s="17" t="n">
        <v>65</v>
      </c>
      <c r="U16" s="17" t="n">
        <v>1495</v>
      </c>
      <c r="V16" s="17" t="n">
        <v>32.43</v>
      </c>
      <c r="W16" s="17" t="n">
        <v>42.16</v>
      </c>
      <c r="X16" s="17" t="n">
        <v>48482.85</v>
      </c>
      <c r="Y16" s="17" t="n">
        <v>48537.68</v>
      </c>
      <c r="Z16" s="17" t="n">
        <v>101017.15</v>
      </c>
      <c r="AA16" s="17" t="n">
        <v>14544.85</v>
      </c>
      <c r="AB16" s="17" t="n">
        <v>14544.85</v>
      </c>
      <c r="AC16" s="17" t="n">
        <v>14546.35</v>
      </c>
      <c r="AD16" s="17" t="n">
        <v>30</v>
      </c>
      <c r="AE16" s="17" t="n">
        <v>40</v>
      </c>
      <c r="AF16" s="17" t="n">
        <v>6.06</v>
      </c>
      <c r="AG16" s="17" t="n">
        <v>0.1</v>
      </c>
      <c r="AH16" s="17" t="n">
        <v>1.45</v>
      </c>
      <c r="AI16" s="17" t="n">
        <v>7.22</v>
      </c>
      <c r="AJ16" s="17" t="n">
        <v>54.83</v>
      </c>
      <c r="AK16" s="17" t="n">
        <v>14491.52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10:07 IST</t>
        </is>
      </c>
      <c r="O17" s="15" t="n">
        <v>23946.25</v>
      </c>
      <c r="P17" s="15" t="n">
        <v>24056</v>
      </c>
      <c r="Q17" s="15" t="inlineStr">
        <is>
          <t>23900 CE</t>
        </is>
      </c>
      <c r="R17" s="15" t="inlineStr">
        <is>
          <t>24000 CE</t>
        </is>
      </c>
      <c r="S17" s="15" t="n">
        <v>22</v>
      </c>
      <c r="T17" s="15" t="n">
        <v>65</v>
      </c>
      <c r="U17" s="15" t="n">
        <v>1430</v>
      </c>
      <c r="V17" s="15" t="n">
        <v>34.33</v>
      </c>
      <c r="W17" s="15" t="n">
        <v>24.03</v>
      </c>
      <c r="X17" s="15" t="n">
        <v>49091.9</v>
      </c>
      <c r="Y17" s="15" t="n">
        <v>49146.83</v>
      </c>
      <c r="Z17" s="15" t="n">
        <v>93908.10000000001</v>
      </c>
      <c r="AA17" s="15" t="n">
        <v>14727.57</v>
      </c>
      <c r="AB17" s="15" t="n">
        <v>14727.57</v>
      </c>
      <c r="AC17" s="15" t="n">
        <v>-14729</v>
      </c>
      <c r="AD17" s="15" t="n">
        <v>-30</v>
      </c>
      <c r="AE17" s="15" t="n">
        <v>40</v>
      </c>
      <c r="AF17" s="15" t="n">
        <v>6.14</v>
      </c>
      <c r="AG17" s="15" t="n">
        <v>0.1</v>
      </c>
      <c r="AH17" s="15" t="n">
        <v>1.47</v>
      </c>
      <c r="AI17" s="15" t="n">
        <v>7.22</v>
      </c>
      <c r="AJ17" s="15" t="n">
        <v>54.93</v>
      </c>
      <c r="AK17" s="15" t="n">
        <v>-14783.93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2026-06-30</t>
        </is>
      </c>
      <c r="B18" s="17" t="inlineStr">
        <is>
          <t>NIFTY</t>
        </is>
      </c>
      <c r="C18" s="17" t="inlineStr">
        <is>
          <t>Bull Call Spread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Price↑(24056.0&gt;24021.65) &amp; EMA9↑(23931.75&gt;23779.81)</t>
        </is>
      </c>
      <c r="H18" s="17" t="n">
        <v>23931.75</v>
      </c>
      <c r="I18" s="17" t="n">
        <v>23779.81</v>
      </c>
      <c r="J18" s="17" t="inlineStr">
        <is>
          <t>2026-07-02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09:52 IST</t>
        </is>
      </c>
      <c r="O18" s="17" t="n">
        <v>24056</v>
      </c>
      <c r="P18" s="17" t="n">
        <v>24021.65</v>
      </c>
      <c r="Q18" s="17" t="inlineStr">
        <is>
          <t>24000 CE</t>
        </is>
      </c>
      <c r="R18" s="17" t="inlineStr">
        <is>
          <t>24100 CE</t>
        </is>
      </c>
      <c r="S18" s="17" t="n">
        <v>21</v>
      </c>
      <c r="T18" s="17" t="n">
        <v>65</v>
      </c>
      <c r="U18" s="17" t="n">
        <v>1365</v>
      </c>
      <c r="V18" s="17" t="n">
        <v>34.59</v>
      </c>
      <c r="W18" s="17" t="n">
        <v>44.97</v>
      </c>
      <c r="X18" s="17" t="n">
        <v>47215.35</v>
      </c>
      <c r="Y18" s="17" t="n">
        <v>47269.98</v>
      </c>
      <c r="Z18" s="17" t="n">
        <v>89284.64999999999</v>
      </c>
      <c r="AA18" s="17" t="n">
        <v>14164.6</v>
      </c>
      <c r="AB18" s="17" t="n">
        <v>14164.6</v>
      </c>
      <c r="AC18" s="17" t="n">
        <v>14168.7</v>
      </c>
      <c r="AD18" s="17" t="n">
        <v>30</v>
      </c>
      <c r="AE18" s="17" t="n">
        <v>40</v>
      </c>
      <c r="AF18" s="17" t="n">
        <v>5.9</v>
      </c>
      <c r="AG18" s="17" t="n">
        <v>0.09</v>
      </c>
      <c r="AH18" s="17" t="n">
        <v>1.42</v>
      </c>
      <c r="AI18" s="17" t="n">
        <v>7.22</v>
      </c>
      <c r="AJ18" s="17" t="n">
        <v>54.63</v>
      </c>
      <c r="AK18" s="17" t="n">
        <v>14114.07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23921.32</v>
      </c>
      <c r="I19" s="17" t="n">
        <v>23787.88</v>
      </c>
      <c r="J19" s="17" t="inlineStr">
        <is>
          <t>2026-07-02</t>
        </is>
      </c>
      <c r="K19" s="17" t="inlineStr">
        <is>
          <t>WEEKLY</t>
        </is>
      </c>
      <c r="L19" s="17" t="n">
        <v>2</v>
      </c>
      <c r="M19" s="17" t="inlineStr">
        <is>
          <t>09:20 IST</t>
        </is>
      </c>
      <c r="N19" s="17" t="inlineStr">
        <is>
          <t>12:08 IST</t>
        </is>
      </c>
      <c r="O19" s="17" t="n">
        <v>23865.75</v>
      </c>
      <c r="P19" s="17" t="n">
        <v>23946.25</v>
      </c>
      <c r="Q19" s="17" t="inlineStr">
        <is>
          <t>23800 CE</t>
        </is>
      </c>
      <c r="R19" s="17" t="inlineStr">
        <is>
          <t>23900 CE</t>
        </is>
      </c>
      <c r="S19" s="17" t="n">
        <v>37</v>
      </c>
      <c r="T19" s="17" t="n">
        <v>65</v>
      </c>
      <c r="U19" s="17" t="n">
        <v>2405</v>
      </c>
      <c r="V19" s="17" t="n">
        <v>20.13</v>
      </c>
      <c r="W19" s="17" t="n">
        <v>26.17</v>
      </c>
      <c r="X19" s="17" t="n">
        <v>48412.65</v>
      </c>
      <c r="Y19" s="17" t="n">
        <v>48467.47</v>
      </c>
      <c r="Z19" s="17" t="n">
        <v>192087.35</v>
      </c>
      <c r="AA19" s="17" t="n">
        <v>14523.8</v>
      </c>
      <c r="AB19" s="17" t="n">
        <v>14523.8</v>
      </c>
      <c r="AC19" s="17" t="n">
        <v>14526.2</v>
      </c>
      <c r="AD19" s="17" t="n">
        <v>30</v>
      </c>
      <c r="AE19" s="17" t="n">
        <v>40</v>
      </c>
      <c r="AF19" s="17" t="n">
        <v>6.05</v>
      </c>
      <c r="AG19" s="17" t="n">
        <v>0.1</v>
      </c>
      <c r="AH19" s="17" t="n">
        <v>1.45</v>
      </c>
      <c r="AI19" s="17" t="n">
        <v>7.22</v>
      </c>
      <c r="AJ19" s="17" t="n">
        <v>54.82</v>
      </c>
      <c r="AK19" s="17" t="n">
        <v>14471.38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09:56 IST</t>
        </is>
      </c>
      <c r="O20" s="17" t="n">
        <v>23946.25</v>
      </c>
      <c r="P20" s="17" t="n">
        <v>24056</v>
      </c>
      <c r="Q20" s="17" t="inlineStr">
        <is>
          <t>23900 CE</t>
        </is>
      </c>
      <c r="R20" s="17" t="inlineStr">
        <is>
          <t>24000 CE</t>
        </is>
      </c>
      <c r="S20" s="17" t="n">
        <v>48</v>
      </c>
      <c r="T20" s="17" t="n">
        <v>65</v>
      </c>
      <c r="U20" s="17" t="n">
        <v>3120</v>
      </c>
      <c r="V20" s="17" t="n">
        <v>15.17</v>
      </c>
      <c r="W20" s="17" t="n">
        <v>19.72</v>
      </c>
      <c r="X20" s="17" t="n">
        <v>47330.4</v>
      </c>
      <c r="Y20" s="17" t="n">
        <v>47385.05</v>
      </c>
      <c r="Z20" s="17" t="n">
        <v>264669.6</v>
      </c>
      <c r="AA20" s="17" t="n">
        <v>14199.12</v>
      </c>
      <c r="AB20" s="17" t="n">
        <v>14199.12</v>
      </c>
      <c r="AC20" s="17" t="n">
        <v>14196</v>
      </c>
      <c r="AD20" s="17" t="n">
        <v>30</v>
      </c>
      <c r="AE20" s="17" t="n">
        <v>40</v>
      </c>
      <c r="AF20" s="17" t="n">
        <v>5.92</v>
      </c>
      <c r="AG20" s="17" t="n">
        <v>0.09</v>
      </c>
      <c r="AH20" s="17" t="n">
        <v>1.42</v>
      </c>
      <c r="AI20" s="17" t="n">
        <v>7.22</v>
      </c>
      <c r="AJ20" s="17" t="n">
        <v>54.65</v>
      </c>
      <c r="AK20" s="17" t="n">
        <v>14141.35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6" t="inlineStr">
        <is>
          <t>2026-07-01</t>
        </is>
      </c>
      <c r="B21" s="16" t="inlineStr">
        <is>
          <t>NIFTY</t>
        </is>
      </c>
      <c r="C21" s="16" t="inlineStr">
        <is>
          <t>Bull Call Spread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BULLISH</t>
        </is>
      </c>
      <c r="G21" s="16" t="inlineStr">
        <is>
          <t>Price↑(24005.85&gt;23865.75) &amp; EMA9↑(23938.67&gt;23797.85)</t>
        </is>
      </c>
      <c r="H21" s="16" t="n">
        <v>23938.67</v>
      </c>
      <c r="I21" s="16" t="n">
        <v>23797.85</v>
      </c>
      <c r="J21" s="16" t="inlineStr">
        <is>
          <t>2026-07-02</t>
        </is>
      </c>
      <c r="K21" s="16" t="inlineStr">
        <is>
          <t>WEEKLY</t>
        </is>
      </c>
      <c r="L21" s="16" t="n">
        <v>1</v>
      </c>
      <c r="M21" s="16" t="inlineStr">
        <is>
          <t>09:20 IST</t>
        </is>
      </c>
      <c r="N21" s="16" t="inlineStr">
        <is>
          <t>14:25 IST</t>
        </is>
      </c>
      <c r="O21" s="16" t="n">
        <v>24005.85</v>
      </c>
      <c r="P21" s="16" t="n">
        <v>23865.75</v>
      </c>
      <c r="Q21" s="16" t="inlineStr">
        <is>
          <t>24000 CE</t>
        </is>
      </c>
      <c r="R21" s="16" t="inlineStr">
        <is>
          <t>24100 CE</t>
        </is>
      </c>
      <c r="S21" s="16" t="n">
        <v>33</v>
      </c>
      <c r="T21" s="16" t="n">
        <v>65</v>
      </c>
      <c r="U21" s="16" t="n">
        <v>2145</v>
      </c>
      <c r="V21" s="16" t="n">
        <v>22.04</v>
      </c>
      <c r="W21" s="16" t="n">
        <v>21.2</v>
      </c>
      <c r="X21" s="16" t="n">
        <v>47275.8</v>
      </c>
      <c r="Y21" s="16" t="n">
        <v>47330.44</v>
      </c>
      <c r="Z21" s="16" t="n">
        <v>167224.2</v>
      </c>
      <c r="AA21" s="16" t="n">
        <v>14182.74</v>
      </c>
      <c r="AB21" s="16" t="n">
        <v>14182.74</v>
      </c>
      <c r="AC21" s="16" t="n">
        <v>-1801.8</v>
      </c>
      <c r="AD21" s="16" t="n">
        <v>-3.8</v>
      </c>
      <c r="AE21" s="16" t="n">
        <v>40</v>
      </c>
      <c r="AF21" s="16" t="n">
        <v>5.91</v>
      </c>
      <c r="AG21" s="16" t="n">
        <v>0.09</v>
      </c>
      <c r="AH21" s="16" t="n">
        <v>1.42</v>
      </c>
      <c r="AI21" s="16" t="n">
        <v>7.22</v>
      </c>
      <c r="AJ21" s="16" t="n">
        <v>54.64</v>
      </c>
      <c r="AK21" s="16" t="n">
        <v>-1856.44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12:06 IST</t>
        </is>
      </c>
      <c r="O22" s="17" t="n">
        <v>23865.75</v>
      </c>
      <c r="P22" s="17" t="n">
        <v>23946.25</v>
      </c>
      <c r="Q22" s="17" t="inlineStr">
        <is>
          <t>23800 CE</t>
        </is>
      </c>
      <c r="R22" s="17" t="inlineStr">
        <is>
          <t>23900 CE</t>
        </is>
      </c>
      <c r="S22" s="17" t="n">
        <v>46</v>
      </c>
      <c r="T22" s="17" t="n">
        <v>65</v>
      </c>
      <c r="U22" s="17" t="n">
        <v>2990</v>
      </c>
      <c r="V22" s="17" t="n">
        <v>15.79</v>
      </c>
      <c r="W22" s="17" t="n">
        <v>20.53</v>
      </c>
      <c r="X22" s="17" t="n">
        <v>47212.1</v>
      </c>
      <c r="Y22" s="17" t="n">
        <v>47266.73</v>
      </c>
      <c r="Z22" s="17" t="n">
        <v>251787.9</v>
      </c>
      <c r="AA22" s="17" t="n">
        <v>14163.63</v>
      </c>
      <c r="AB22" s="17" t="n">
        <v>14163.63</v>
      </c>
      <c r="AC22" s="17" t="n">
        <v>14172.6</v>
      </c>
      <c r="AD22" s="17" t="n">
        <v>30</v>
      </c>
      <c r="AE22" s="17" t="n">
        <v>40</v>
      </c>
      <c r="AF22" s="17" t="n">
        <v>5.9</v>
      </c>
      <c r="AG22" s="17" t="n">
        <v>0.09</v>
      </c>
      <c r="AH22" s="17" t="n">
        <v>1.42</v>
      </c>
      <c r="AI22" s="17" t="n">
        <v>7.22</v>
      </c>
      <c r="AJ22" s="17" t="n">
        <v>54.63</v>
      </c>
      <c r="AK22" s="17" t="n">
        <v>14117.97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Price↑(24175.7&gt;24005.85) &amp; EMA9↑(23986.43&gt;23821.26)</t>
        </is>
      </c>
      <c r="H23" s="17" t="n">
        <v>23986.43</v>
      </c>
      <c r="I23" s="17" t="n">
        <v>23821.26</v>
      </c>
      <c r="J23" s="17" t="inlineStr">
        <is>
          <t>2026-07-02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11:28 IST</t>
        </is>
      </c>
      <c r="O23" s="17" t="n">
        <v>24175.7</v>
      </c>
      <c r="P23" s="17" t="n">
        <v>24005.85</v>
      </c>
      <c r="Q23" s="17" t="inlineStr">
        <is>
          <t>24100 CE</t>
        </is>
      </c>
      <c r="R23" s="17" t="inlineStr">
        <is>
          <t>24200 CE</t>
        </is>
      </c>
      <c r="S23" s="17" t="n">
        <v>32</v>
      </c>
      <c r="T23" s="17" t="n">
        <v>65</v>
      </c>
      <c r="U23" s="17" t="n">
        <v>2080</v>
      </c>
      <c r="V23" s="17" t="n">
        <v>23.24</v>
      </c>
      <c r="W23" s="17" t="n">
        <v>30.21</v>
      </c>
      <c r="X23" s="17" t="n">
        <v>48339.2</v>
      </c>
      <c r="Y23" s="17" t="n">
        <v>48394.01</v>
      </c>
      <c r="Z23" s="17" t="n">
        <v>159660.8</v>
      </c>
      <c r="AA23" s="17" t="n">
        <v>14501.76</v>
      </c>
      <c r="AB23" s="17" t="n">
        <v>14501.76</v>
      </c>
      <c r="AC23" s="17" t="n">
        <v>14497.6</v>
      </c>
      <c r="AD23" s="17" t="n">
        <v>30</v>
      </c>
      <c r="AE23" s="17" t="n">
        <v>40</v>
      </c>
      <c r="AF23" s="17" t="n">
        <v>6.04</v>
      </c>
      <c r="AG23" s="17" t="n">
        <v>0.1</v>
      </c>
      <c r="AH23" s="17" t="n">
        <v>1.45</v>
      </c>
      <c r="AI23" s="17" t="n">
        <v>7.22</v>
      </c>
      <c r="AJ23" s="17" t="n">
        <v>54.81</v>
      </c>
      <c r="AK23" s="17" t="n">
        <v>14442.79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12:19 IST</t>
        </is>
      </c>
      <c r="O24" s="17" t="n">
        <v>24005.85</v>
      </c>
      <c r="P24" s="17" t="n">
        <v>23865.75</v>
      </c>
      <c r="Q24" s="17" t="inlineStr">
        <is>
          <t>24000 CE</t>
        </is>
      </c>
      <c r="R24" s="17" t="inlineStr">
        <is>
          <t>24100 CE</t>
        </is>
      </c>
      <c r="S24" s="17" t="n">
        <v>48</v>
      </c>
      <c r="T24" s="17" t="n">
        <v>65</v>
      </c>
      <c r="U24" s="17" t="n">
        <v>3120</v>
      </c>
      <c r="V24" s="17" t="n">
        <v>15.26</v>
      </c>
      <c r="W24" s="17" t="n">
        <v>19.84</v>
      </c>
      <c r="X24" s="17" t="n">
        <v>47611.2</v>
      </c>
      <c r="Y24" s="17" t="n">
        <v>47665.89</v>
      </c>
      <c r="Z24" s="17" t="n">
        <v>264388.8</v>
      </c>
      <c r="AA24" s="17" t="n">
        <v>14283.36</v>
      </c>
      <c r="AB24" s="17" t="n">
        <v>14283.36</v>
      </c>
      <c r="AC24" s="17" t="n">
        <v>14289.6</v>
      </c>
      <c r="AD24" s="17" t="n">
        <v>30</v>
      </c>
      <c r="AE24" s="17" t="n">
        <v>40</v>
      </c>
      <c r="AF24" s="17" t="n">
        <v>5.95</v>
      </c>
      <c r="AG24" s="17" t="n">
        <v>0.1</v>
      </c>
      <c r="AH24" s="17" t="n">
        <v>1.43</v>
      </c>
      <c r="AI24" s="17" t="n">
        <v>7.22</v>
      </c>
      <c r="AJ24" s="17" t="n">
        <v>54.69</v>
      </c>
      <c r="AK24" s="17" t="n">
        <v>14234.91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10:39 IST</t>
        </is>
      </c>
      <c r="O25" s="17" t="n">
        <v>24270.85</v>
      </c>
      <c r="P25" s="17" t="n">
        <v>24175.7</v>
      </c>
      <c r="Q25" s="17" t="inlineStr">
        <is>
          <t>24200 CE</t>
        </is>
      </c>
      <c r="R25" s="17" t="inlineStr">
        <is>
          <t>24300 CE</t>
        </is>
      </c>
      <c r="S25" s="17" t="n">
        <v>19</v>
      </c>
      <c r="T25" s="17" t="n">
        <v>65</v>
      </c>
      <c r="U25" s="17" t="n">
        <v>1235</v>
      </c>
      <c r="V25" s="17" t="n">
        <v>38.93</v>
      </c>
      <c r="W25" s="17" t="n">
        <v>50.61</v>
      </c>
      <c r="X25" s="17" t="n">
        <v>48078.55</v>
      </c>
      <c r="Y25" s="17" t="n">
        <v>48133.32</v>
      </c>
      <c r="Z25" s="17" t="n">
        <v>75421.45</v>
      </c>
      <c r="AA25" s="17" t="n">
        <v>14423.57</v>
      </c>
      <c r="AB25" s="17" t="n">
        <v>14423.57</v>
      </c>
      <c r="AC25" s="17" t="n">
        <v>14424.8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54.77</v>
      </c>
      <c r="AK25" s="17" t="n">
        <v>14370.03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Bull Call Spread</t>
        </is>
      </c>
      <c r="D26" s="17" t="inlineStr">
        <is>
          <t>Bull Call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11:14 IST</t>
        </is>
      </c>
      <c r="O26" s="17" t="n">
        <v>24175.7</v>
      </c>
      <c r="P26" s="17" t="n">
        <v>24005.85</v>
      </c>
      <c r="Q26" s="17" t="inlineStr">
        <is>
          <t>24100 CE</t>
        </is>
      </c>
      <c r="R26" s="17" t="inlineStr">
        <is>
          <t>24200 CE</t>
        </is>
      </c>
      <c r="S26" s="17" t="n">
        <v>26</v>
      </c>
      <c r="T26" s="17" t="n">
        <v>65</v>
      </c>
      <c r="U26" s="17" t="n">
        <v>1690</v>
      </c>
      <c r="V26" s="17" t="n">
        <v>27.93</v>
      </c>
      <c r="W26" s="17" t="n">
        <v>36.31</v>
      </c>
      <c r="X26" s="17" t="n">
        <v>47201.7</v>
      </c>
      <c r="Y26" s="17" t="n">
        <v>47256.33</v>
      </c>
      <c r="Z26" s="17" t="n">
        <v>121798.3</v>
      </c>
      <c r="AA26" s="17" t="n">
        <v>14160.51</v>
      </c>
      <c r="AB26" s="17" t="n">
        <v>14160.51</v>
      </c>
      <c r="AC26" s="17" t="n">
        <v>14162.2</v>
      </c>
      <c r="AD26" s="17" t="n">
        <v>30</v>
      </c>
      <c r="AE26" s="17" t="n">
        <v>40</v>
      </c>
      <c r="AF26" s="17" t="n">
        <v>5.9</v>
      </c>
      <c r="AG26" s="17" t="n">
        <v>0.09</v>
      </c>
      <c r="AH26" s="17" t="n">
        <v>1.42</v>
      </c>
      <c r="AI26" s="17" t="n">
        <v>7.22</v>
      </c>
      <c r="AJ26" s="17" t="n">
        <v>54.63</v>
      </c>
      <c r="AK26" s="17" t="n">
        <v>14107.57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11:46 IST</t>
        </is>
      </c>
      <c r="O27" s="17" t="n">
        <v>24430.35</v>
      </c>
      <c r="P27" s="17" t="n">
        <v>24270.85</v>
      </c>
      <c r="Q27" s="17" t="inlineStr">
        <is>
          <t>24400 CE</t>
        </is>
      </c>
      <c r="R27" s="17" t="inlineStr">
        <is>
          <t>24500 CE</t>
        </is>
      </c>
      <c r="S27" s="17" t="n">
        <v>24</v>
      </c>
      <c r="T27" s="17" t="n">
        <v>65</v>
      </c>
      <c r="U27" s="17" t="n">
        <v>1560</v>
      </c>
      <c r="V27" s="17" t="n">
        <v>31.1</v>
      </c>
      <c r="W27" s="17" t="n">
        <v>40.43</v>
      </c>
      <c r="X27" s="17" t="n">
        <v>48516</v>
      </c>
      <c r="Y27" s="17" t="n">
        <v>48570.83</v>
      </c>
      <c r="Z27" s="17" t="n">
        <v>107484</v>
      </c>
      <c r="AA27" s="17" t="n">
        <v>14554.8</v>
      </c>
      <c r="AB27" s="17" t="n">
        <v>14554.8</v>
      </c>
      <c r="AC27" s="17" t="n">
        <v>14554.8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14499.97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5" t="inlineStr">
        <is>
          <t>2026-07-07</t>
        </is>
      </c>
      <c r="B28" s="15" t="inlineStr">
        <is>
          <t>NIFTY</t>
        </is>
      </c>
      <c r="C28" s="15" t="inlineStr">
        <is>
          <t>Bull Call Spread</t>
        </is>
      </c>
      <c r="D28" s="15" t="inlineStr">
        <is>
          <t>Bull Call Spread</t>
        </is>
      </c>
      <c r="E28" s="15" t="inlineStr">
        <is>
          <t>SIMULATED</t>
        </is>
      </c>
      <c r="F28" s="15" t="inlineStr">
        <is>
          <t>BULLISH</t>
        </is>
      </c>
      <c r="G28" s="15" t="inlineStr">
        <is>
          <t>Price↑(24270.85&gt;24175.7) &amp; EMA9↑(24043.47&gt;23837.96)</t>
        </is>
      </c>
      <c r="H28" s="15" t="n">
        <v>24043.47</v>
      </c>
      <c r="I28" s="15" t="n">
        <v>23837.96</v>
      </c>
      <c r="J28" s="15" t="inlineStr">
        <is>
          <t>2026-07-09</t>
        </is>
      </c>
      <c r="K28" s="15" t="inlineStr">
        <is>
          <t>WEEKLY</t>
        </is>
      </c>
      <c r="L28" s="15" t="n">
        <v>3</v>
      </c>
      <c r="M28" s="15" t="inlineStr">
        <is>
          <t>09:20 IST</t>
        </is>
      </c>
      <c r="N28" s="15" t="inlineStr">
        <is>
          <t>10:18 IST</t>
        </is>
      </c>
      <c r="O28" s="15" t="n">
        <v>24270.85</v>
      </c>
      <c r="P28" s="15" t="n">
        <v>24175.7</v>
      </c>
      <c r="Q28" s="15" t="inlineStr">
        <is>
          <t>24200 CE</t>
        </is>
      </c>
      <c r="R28" s="15" t="inlineStr">
        <is>
          <t>24300 CE</t>
        </is>
      </c>
      <c r="S28" s="15" t="n">
        <v>22</v>
      </c>
      <c r="T28" s="15" t="n">
        <v>65</v>
      </c>
      <c r="U28" s="15" t="n">
        <v>1430</v>
      </c>
      <c r="V28" s="15" t="n">
        <v>33.75</v>
      </c>
      <c r="W28" s="15" t="n">
        <v>23.62</v>
      </c>
      <c r="X28" s="15" t="n">
        <v>48262.5</v>
      </c>
      <c r="Y28" s="15" t="n">
        <v>48317.29</v>
      </c>
      <c r="Z28" s="15" t="n">
        <v>94737.5</v>
      </c>
      <c r="AA28" s="15" t="n">
        <v>14478.75</v>
      </c>
      <c r="AB28" s="15" t="n">
        <v>14478.75</v>
      </c>
      <c r="AC28" s="15" t="n">
        <v>-14485.9</v>
      </c>
      <c r="AD28" s="15" t="n">
        <v>-30</v>
      </c>
      <c r="AE28" s="15" t="n">
        <v>40</v>
      </c>
      <c r="AF28" s="15" t="n">
        <v>6.03</v>
      </c>
      <c r="AG28" s="15" t="n">
        <v>0.1</v>
      </c>
      <c r="AH28" s="15" t="n">
        <v>1.45</v>
      </c>
      <c r="AI28" s="15" t="n">
        <v>7.22</v>
      </c>
      <c r="AJ28" s="15" t="n">
        <v>54.79</v>
      </c>
      <c r="AK28" s="15" t="n">
        <v>-14540.69</v>
      </c>
      <c r="AL28" s="15" t="inlineStr">
        <is>
          <t>STOP LOSS</t>
        </is>
      </c>
      <c r="AM28" s="15" t="n">
        <v>50000</v>
      </c>
      <c r="AN28" s="15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09:56 IST</t>
        </is>
      </c>
      <c r="O29" s="17" t="n">
        <v>24398.7</v>
      </c>
      <c r="P29" s="17" t="n">
        <v>24430.35</v>
      </c>
      <c r="Q29" s="17" t="inlineStr">
        <is>
          <t>24300 CE</t>
        </is>
      </c>
      <c r="R29" s="17" t="inlineStr">
        <is>
          <t>24400 CE</t>
        </is>
      </c>
      <c r="S29" s="17" t="n">
        <v>35</v>
      </c>
      <c r="T29" s="17" t="n">
        <v>65</v>
      </c>
      <c r="U29" s="17" t="n">
        <v>2275</v>
      </c>
      <c r="V29" s="17" t="n">
        <v>21.27</v>
      </c>
      <c r="W29" s="17" t="n">
        <v>27.65</v>
      </c>
      <c r="X29" s="17" t="n">
        <v>48389.25</v>
      </c>
      <c r="Y29" s="17" t="n">
        <v>48444.06</v>
      </c>
      <c r="Z29" s="17" t="n">
        <v>179110.75</v>
      </c>
      <c r="AA29" s="17" t="n">
        <v>14516.77</v>
      </c>
      <c r="AB29" s="17" t="n">
        <v>14516.77</v>
      </c>
      <c r="AC29" s="17" t="n">
        <v>14514.5</v>
      </c>
      <c r="AD29" s="17" t="n">
        <v>30</v>
      </c>
      <c r="AE29" s="17" t="n">
        <v>40</v>
      </c>
      <c r="AF29" s="17" t="n">
        <v>6.05</v>
      </c>
      <c r="AG29" s="17" t="n">
        <v>0.1</v>
      </c>
      <c r="AH29" s="17" t="n">
        <v>1.45</v>
      </c>
      <c r="AI29" s="17" t="n">
        <v>7.22</v>
      </c>
      <c r="AJ29" s="17" t="n">
        <v>54.81</v>
      </c>
      <c r="AK29" s="17" t="n">
        <v>14459.69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Price↑(24430.35&gt;24270.85) &amp; EMA9↑(24120.45&gt;23875.28)</t>
        </is>
      </c>
      <c r="H30" s="15" t="n">
        <v>24120.45</v>
      </c>
      <c r="I30" s="15" t="n">
        <v>23875.28</v>
      </c>
      <c r="J30" s="15" t="inlineStr">
        <is>
          <t>2026-07-09</t>
        </is>
      </c>
      <c r="K30" s="15" t="inlineStr">
        <is>
          <t>WEEKLY</t>
        </is>
      </c>
      <c r="L30" s="15" t="n">
        <v>2</v>
      </c>
      <c r="M30" s="15" t="inlineStr">
        <is>
          <t>09:20 IST</t>
        </is>
      </c>
      <c r="N30" s="15" t="inlineStr">
        <is>
          <t>09:34 IST</t>
        </is>
      </c>
      <c r="O30" s="15" t="n">
        <v>24430.35</v>
      </c>
      <c r="P30" s="15" t="n">
        <v>24270.85</v>
      </c>
      <c r="Q30" s="15" t="inlineStr">
        <is>
          <t>24400 CE</t>
        </is>
      </c>
      <c r="R30" s="15" t="inlineStr">
        <is>
          <t>24500 CE</t>
        </is>
      </c>
      <c r="S30" s="15" t="n">
        <v>41</v>
      </c>
      <c r="T30" s="15" t="n">
        <v>65</v>
      </c>
      <c r="U30" s="15" t="n">
        <v>2665</v>
      </c>
      <c r="V30" s="15" t="n">
        <v>18.03</v>
      </c>
      <c r="W30" s="15" t="n">
        <v>12.62</v>
      </c>
      <c r="X30" s="15" t="n">
        <v>48049.95</v>
      </c>
      <c r="Y30" s="15" t="n">
        <v>48104.71</v>
      </c>
      <c r="Z30" s="15" t="n">
        <v>218450.05</v>
      </c>
      <c r="AA30" s="15" t="n">
        <v>14414.98</v>
      </c>
      <c r="AB30" s="15" t="n">
        <v>14414.98</v>
      </c>
      <c r="AC30" s="15" t="n">
        <v>-14417.65</v>
      </c>
      <c r="AD30" s="15" t="n">
        <v>-30</v>
      </c>
      <c r="AE30" s="15" t="n">
        <v>40</v>
      </c>
      <c r="AF30" s="15" t="n">
        <v>6.01</v>
      </c>
      <c r="AG30" s="15" t="n">
        <v>0.1</v>
      </c>
      <c r="AH30" s="15" t="n">
        <v>1.44</v>
      </c>
      <c r="AI30" s="15" t="n">
        <v>7.22</v>
      </c>
      <c r="AJ30" s="15" t="n">
        <v>54.76</v>
      </c>
      <c r="AK30" s="15" t="n">
        <v>-14472.41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Bull Call Spread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10:29 IST</t>
        </is>
      </c>
      <c r="O31" s="17" t="n">
        <v>23882.05</v>
      </c>
      <c r="P31" s="17" t="n">
        <v>24398.7</v>
      </c>
      <c r="Q31" s="17" t="inlineStr">
        <is>
          <t>23800 CE</t>
        </is>
      </c>
      <c r="R31" s="17" t="inlineStr">
        <is>
          <t>23900 CE</t>
        </is>
      </c>
      <c r="S31" s="17" t="n">
        <v>43</v>
      </c>
      <c r="T31" s="17" t="n">
        <v>65</v>
      </c>
      <c r="U31" s="17" t="n">
        <v>2795</v>
      </c>
      <c r="V31" s="17" t="n">
        <v>16.94</v>
      </c>
      <c r="W31" s="17" t="n">
        <v>22.02</v>
      </c>
      <c r="X31" s="17" t="n">
        <v>47347.3</v>
      </c>
      <c r="Y31" s="17" t="n">
        <v>47401.95</v>
      </c>
      <c r="Z31" s="17" t="n">
        <v>232152.7</v>
      </c>
      <c r="AA31" s="17" t="n">
        <v>14204.19</v>
      </c>
      <c r="AB31" s="17" t="n">
        <v>14204.19</v>
      </c>
      <c r="AC31" s="17" t="n">
        <v>14198.6</v>
      </c>
      <c r="AD31" s="17" t="n">
        <v>30</v>
      </c>
      <c r="AE31" s="17" t="n">
        <v>40</v>
      </c>
      <c r="AF31" s="17" t="n">
        <v>5.92</v>
      </c>
      <c r="AG31" s="17" t="n">
        <v>0.09</v>
      </c>
      <c r="AH31" s="17" t="n">
        <v>1.42</v>
      </c>
      <c r="AI31" s="17" t="n">
        <v>7.22</v>
      </c>
      <c r="AJ31" s="17" t="n">
        <v>54.65</v>
      </c>
      <c r="AK31" s="17" t="n">
        <v>14143.95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Bull Call Spread</t>
        </is>
      </c>
      <c r="D32" s="16" t="inlineStr">
        <is>
          <t>Bull Call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15:20 IST</t>
        </is>
      </c>
      <c r="O32" s="16" t="n">
        <v>24398.7</v>
      </c>
      <c r="P32" s="16" t="n">
        <v>24430.35</v>
      </c>
      <c r="Q32" s="16" t="inlineStr">
        <is>
          <t>24300 CE</t>
        </is>
      </c>
      <c r="R32" s="16" t="inlineStr">
        <is>
          <t>24400 CE</t>
        </is>
      </c>
      <c r="S32" s="16" t="n">
        <v>35</v>
      </c>
      <c r="T32" s="16" t="n">
        <v>65</v>
      </c>
      <c r="U32" s="16" t="n">
        <v>2275</v>
      </c>
      <c r="V32" s="16" t="n">
        <v>21.28</v>
      </c>
      <c r="W32" s="16" t="n">
        <v>20.79</v>
      </c>
      <c r="X32" s="16" t="n">
        <v>48412</v>
      </c>
      <c r="Y32" s="16" t="n">
        <v>48466.82</v>
      </c>
      <c r="Z32" s="16" t="n">
        <v>179088</v>
      </c>
      <c r="AA32" s="16" t="n">
        <v>14523.6</v>
      </c>
      <c r="AB32" s="16" t="n">
        <v>14523.6</v>
      </c>
      <c r="AC32" s="16" t="n">
        <v>-1114.75</v>
      </c>
      <c r="AD32" s="16" t="n">
        <v>-2.3</v>
      </c>
      <c r="AE32" s="16" t="n">
        <v>40</v>
      </c>
      <c r="AF32" s="16" t="n">
        <v>6.05</v>
      </c>
      <c r="AG32" s="16" t="n">
        <v>0.1</v>
      </c>
      <c r="AH32" s="16" t="n">
        <v>1.45</v>
      </c>
      <c r="AI32" s="16" t="n">
        <v>7.22</v>
      </c>
      <c r="AJ32" s="16" t="n">
        <v>54.82</v>
      </c>
      <c r="AK32" s="16" t="n">
        <v>-1169.57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Bull Call Spread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12:02 IST</t>
        </is>
      </c>
      <c r="O33" s="17" t="n">
        <v>23962.8</v>
      </c>
      <c r="P33" s="17" t="n">
        <v>23882.05</v>
      </c>
      <c r="Q33" s="17" t="inlineStr">
        <is>
          <t>23900 CE</t>
        </is>
      </c>
      <c r="R33" s="17" t="inlineStr">
        <is>
          <t>24000 CE</t>
        </is>
      </c>
      <c r="S33" s="17" t="n">
        <v>41</v>
      </c>
      <c r="T33" s="17" t="n">
        <v>65</v>
      </c>
      <c r="U33" s="17" t="n">
        <v>2665</v>
      </c>
      <c r="V33" s="17" t="n">
        <v>17.81</v>
      </c>
      <c r="W33" s="17" t="n">
        <v>23.15</v>
      </c>
      <c r="X33" s="17" t="n">
        <v>47463.65</v>
      </c>
      <c r="Y33" s="17" t="n">
        <v>47518.32</v>
      </c>
      <c r="Z33" s="17" t="n">
        <v>219036.35</v>
      </c>
      <c r="AA33" s="17" t="n">
        <v>14239.09</v>
      </c>
      <c r="AB33" s="17" t="n">
        <v>14239.09</v>
      </c>
      <c r="AC33" s="17" t="n">
        <v>14231.1</v>
      </c>
      <c r="AD33" s="17" t="n">
        <v>30</v>
      </c>
      <c r="AE33" s="17" t="n">
        <v>40</v>
      </c>
      <c r="AF33" s="17" t="n">
        <v>5.93</v>
      </c>
      <c r="AG33" s="17" t="n">
        <v>0.09</v>
      </c>
      <c r="AH33" s="17" t="n">
        <v>1.42</v>
      </c>
      <c r="AI33" s="17" t="n">
        <v>7.22</v>
      </c>
      <c r="AJ33" s="17" t="n">
        <v>54.67</v>
      </c>
      <c r="AK33" s="17" t="n">
        <v>14176.43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NIFTY</t>
        </is>
      </c>
      <c r="C34" s="16" t="inlineStr">
        <is>
          <t>Bull Call Spread</t>
        </is>
      </c>
      <c r="D34" s="16" t="inlineStr">
        <is>
          <t>Bull Call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24116.8</v>
      </c>
      <c r="I34" s="16" t="n">
        <v>23907.04</v>
      </c>
      <c r="J34" s="16" t="inlineStr">
        <is>
          <t>2026-07-09</t>
        </is>
      </c>
      <c r="K34" s="16" t="inlineStr">
        <is>
          <t>WEEKLY</t>
        </is>
      </c>
      <c r="L34" s="16" t="n">
        <v>0</v>
      </c>
      <c r="M34" s="16" t="inlineStr">
        <is>
          <t>09:20 IST</t>
        </is>
      </c>
      <c r="N34" s="16" t="inlineStr">
        <is>
          <t>13:36 IST</t>
        </is>
      </c>
      <c r="O34" s="16" t="n">
        <v>23882.05</v>
      </c>
      <c r="P34" s="16" t="n">
        <v>24398.7</v>
      </c>
      <c r="Q34" s="16" t="inlineStr">
        <is>
          <t>23800 CE</t>
        </is>
      </c>
      <c r="R34" s="16" t="inlineStr">
        <is>
          <t>23900 CE</t>
        </is>
      </c>
      <c r="S34" s="16" t="n">
        <v>39</v>
      </c>
      <c r="T34" s="16" t="n">
        <v>65</v>
      </c>
      <c r="U34" s="16" t="n">
        <v>2535</v>
      </c>
      <c r="V34" s="16" t="n">
        <v>18.97</v>
      </c>
      <c r="W34" s="16" t="n">
        <v>18.85</v>
      </c>
      <c r="X34" s="16" t="n">
        <v>48088.95</v>
      </c>
      <c r="Y34" s="16" t="n">
        <v>48143.72</v>
      </c>
      <c r="Z34" s="16" t="n">
        <v>205411.05</v>
      </c>
      <c r="AA34" s="16" t="n">
        <v>14426.68</v>
      </c>
      <c r="AB34" s="16" t="n">
        <v>14426.68</v>
      </c>
      <c r="AC34" s="16" t="n">
        <v>-304.2</v>
      </c>
      <c r="AD34" s="16" t="n">
        <v>-0.6</v>
      </c>
      <c r="AE34" s="16" t="n">
        <v>40</v>
      </c>
      <c r="AF34" s="16" t="n">
        <v>6.01</v>
      </c>
      <c r="AG34" s="16" t="n">
        <v>0.1</v>
      </c>
      <c r="AH34" s="16" t="n">
        <v>1.44</v>
      </c>
      <c r="AI34" s="16" t="n">
        <v>7.22</v>
      </c>
      <c r="AJ34" s="16" t="n">
        <v>54.77</v>
      </c>
      <c r="AK34" s="16" t="n">
        <v>-358.97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Price↑(24206.9&gt;23962.8) &amp; EMA9↑(24110.13&gt;23937.59)</t>
        </is>
      </c>
      <c r="H35" s="16" t="n">
        <v>24110.13</v>
      </c>
      <c r="I35" s="16" t="n">
        <v>23937.59</v>
      </c>
      <c r="J35" s="16" t="inlineStr">
        <is>
          <t>2026-07-16</t>
        </is>
      </c>
      <c r="K35" s="16" t="inlineStr">
        <is>
          <t>WEEKLY</t>
        </is>
      </c>
      <c r="L35" s="16" t="n">
        <v>6</v>
      </c>
      <c r="M35" s="16" t="inlineStr">
        <is>
          <t>09:20 IST</t>
        </is>
      </c>
      <c r="N35" s="16" t="inlineStr">
        <is>
          <t>13:56 IST</t>
        </is>
      </c>
      <c r="O35" s="16" t="n">
        <v>24206.9</v>
      </c>
      <c r="P35" s="16" t="n">
        <v>23962.8</v>
      </c>
      <c r="Q35" s="16" t="inlineStr">
        <is>
          <t>24200 CE</t>
        </is>
      </c>
      <c r="R35" s="16" t="inlineStr">
        <is>
          <t>24300 CE</t>
        </is>
      </c>
      <c r="S35" s="16" t="n">
        <v>20</v>
      </c>
      <c r="T35" s="16" t="n">
        <v>65</v>
      </c>
      <c r="U35" s="16" t="n">
        <v>1300</v>
      </c>
      <c r="V35" s="16" t="n">
        <v>37.17</v>
      </c>
      <c r="W35" s="16" t="n">
        <v>38.21</v>
      </c>
      <c r="X35" s="16" t="n">
        <v>48321</v>
      </c>
      <c r="Y35" s="16" t="n">
        <v>48375.8</v>
      </c>
      <c r="Z35" s="16" t="n">
        <v>81679</v>
      </c>
      <c r="AA35" s="16" t="n">
        <v>14496.3</v>
      </c>
      <c r="AB35" s="16" t="n">
        <v>14496.3</v>
      </c>
      <c r="AC35" s="16" t="n">
        <v>1352</v>
      </c>
      <c r="AD35" s="16" t="n">
        <v>2.8</v>
      </c>
      <c r="AE35" s="16" t="n">
        <v>40</v>
      </c>
      <c r="AF35" s="16" t="n">
        <v>6.04</v>
      </c>
      <c r="AG35" s="16" t="n">
        <v>0.1</v>
      </c>
      <c r="AH35" s="16" t="n">
        <v>1.45</v>
      </c>
      <c r="AI35" s="16" t="n">
        <v>7.22</v>
      </c>
      <c r="AJ35" s="16" t="n">
        <v>54.8</v>
      </c>
      <c r="AK35" s="16" t="n">
        <v>1297.2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2026-07-11</t>
        </is>
      </c>
      <c r="B36" s="16" t="inlineStr">
        <is>
          <t>NIFTY</t>
        </is>
      </c>
      <c r="C36" s="16" t="inlineStr">
        <is>
          <t>Bull Call Spread</t>
        </is>
      </c>
      <c r="D36" s="16" t="inlineStr">
        <is>
          <t>Bull Call Spread</t>
        </is>
      </c>
      <c r="E36" s="16" t="inlineStr">
        <is>
          <t>SIMULATED</t>
        </is>
      </c>
      <c r="F36" s="16" t="inlineStr">
        <is>
          <t>BULLISH</t>
        </is>
      </c>
      <c r="G36" s="16" t="inlineStr">
        <is>
          <t>Price↑(23962.8&gt;23882.05) &amp; EMA9↑(24085.94&gt;23910.66)</t>
        </is>
      </c>
      <c r="H36" s="16" t="n">
        <v>24085.94</v>
      </c>
      <c r="I36" s="16" t="n">
        <v>23910.66</v>
      </c>
      <c r="J36" s="16" t="inlineStr">
        <is>
          <t>2026-07-16</t>
        </is>
      </c>
      <c r="K36" s="16" t="inlineStr">
        <is>
          <t>WEEKLY</t>
        </is>
      </c>
      <c r="L36" s="16" t="n">
        <v>6</v>
      </c>
      <c r="M36" s="16" t="inlineStr">
        <is>
          <t>09:20 IST</t>
        </is>
      </c>
      <c r="N36" s="16" t="inlineStr">
        <is>
          <t>13:48 IST</t>
        </is>
      </c>
      <c r="O36" s="16" t="n">
        <v>23962.8</v>
      </c>
      <c r="P36" s="16" t="n">
        <v>23882.05</v>
      </c>
      <c r="Q36" s="16" t="inlineStr">
        <is>
          <t>23900 CE</t>
        </is>
      </c>
      <c r="R36" s="16" t="inlineStr">
        <is>
          <t>24000 CE</t>
        </is>
      </c>
      <c r="S36" s="16" t="n">
        <v>28</v>
      </c>
      <c r="T36" s="16" t="n">
        <v>65</v>
      </c>
      <c r="U36" s="16" t="n">
        <v>1820</v>
      </c>
      <c r="V36" s="16" t="n">
        <v>26.12</v>
      </c>
      <c r="W36" s="16" t="n">
        <v>25.48</v>
      </c>
      <c r="X36" s="16" t="n">
        <v>47538.4</v>
      </c>
      <c r="Y36" s="16" t="n">
        <v>47593.08</v>
      </c>
      <c r="Z36" s="16" t="n">
        <v>134461.6</v>
      </c>
      <c r="AA36" s="16" t="n">
        <v>14261.52</v>
      </c>
      <c r="AB36" s="16" t="n">
        <v>14261.52</v>
      </c>
      <c r="AC36" s="16" t="n">
        <v>-1164.8</v>
      </c>
      <c r="AD36" s="16" t="n">
        <v>-2.5</v>
      </c>
      <c r="AE36" s="16" t="n">
        <v>40</v>
      </c>
      <c r="AF36" s="16" t="n">
        <v>5.94</v>
      </c>
      <c r="AG36" s="16" t="n">
        <v>0.1</v>
      </c>
      <c r="AH36" s="16" t="n">
        <v>1.43</v>
      </c>
      <c r="AI36" s="16" t="n">
        <v>7.22</v>
      </c>
      <c r="AJ36" s="16" t="n">
        <v>54.68</v>
      </c>
      <c r="AK36" s="16" t="n">
        <v>-1219.48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NIFTY</t>
        </is>
      </c>
      <c r="C37" s="17" t="inlineStr">
        <is>
          <t>Bull Call Spread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Price↑(24211.0&gt;24206.9) &amp; EMA9↑(24129.89&gt;23962.6)</t>
        </is>
      </c>
      <c r="H37" s="17" t="n">
        <v>24129.89</v>
      </c>
      <c r="I37" s="17" t="n">
        <v>23962.6</v>
      </c>
      <c r="J37" s="17" t="inlineStr">
        <is>
          <t>2026-07-16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11:37 IST</t>
        </is>
      </c>
      <c r="O37" s="17" t="n">
        <v>24211</v>
      </c>
      <c r="P37" s="17" t="n">
        <v>24206.9</v>
      </c>
      <c r="Q37" s="17" t="inlineStr">
        <is>
          <t>24200 CE</t>
        </is>
      </c>
      <c r="R37" s="17" t="inlineStr">
        <is>
          <t>24300 CE</t>
        </is>
      </c>
      <c r="S37" s="17" t="n">
        <v>25</v>
      </c>
      <c r="T37" s="17" t="n">
        <v>65</v>
      </c>
      <c r="U37" s="17" t="n">
        <v>1625</v>
      </c>
      <c r="V37" s="17" t="n">
        <v>29.24</v>
      </c>
      <c r="W37" s="17" t="n">
        <v>38.01</v>
      </c>
      <c r="X37" s="17" t="n">
        <v>47515</v>
      </c>
      <c r="Y37" s="17" t="n">
        <v>47569.68</v>
      </c>
      <c r="Z37" s="17" t="n">
        <v>114985</v>
      </c>
      <c r="AA37" s="17" t="n">
        <v>14254.5</v>
      </c>
      <c r="AB37" s="17" t="n">
        <v>14254.5</v>
      </c>
      <c r="AC37" s="17" t="n">
        <v>14251.25</v>
      </c>
      <c r="AD37" s="17" t="n">
        <v>30</v>
      </c>
      <c r="AE37" s="17" t="n">
        <v>40</v>
      </c>
      <c r="AF37" s="17" t="n">
        <v>5.94</v>
      </c>
      <c r="AG37" s="17" t="n">
        <v>0.1</v>
      </c>
      <c r="AH37" s="17" t="n">
        <v>1.43</v>
      </c>
      <c r="AI37" s="17" t="n">
        <v>7.22</v>
      </c>
      <c r="AJ37" s="17" t="n">
        <v>54.68</v>
      </c>
      <c r="AK37" s="17" t="n">
        <v>14196.57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2026-07-14</t>
        </is>
      </c>
      <c r="B38" s="16" t="inlineStr">
        <is>
          <t>NIFTY</t>
        </is>
      </c>
      <c r="C38" s="16" t="inlineStr">
        <is>
          <t>Bull Call Spread</t>
        </is>
      </c>
      <c r="D38" s="16" t="inlineStr">
        <is>
          <t>Bull Call Spread</t>
        </is>
      </c>
      <c r="E38" s="16" t="inlineStr">
        <is>
          <t>SIMULATED</t>
        </is>
      </c>
      <c r="F38" s="16" t="inlineStr">
        <is>
          <t>BULLISH</t>
        </is>
      </c>
      <c r="G38" s="16" t="inlineStr">
        <is>
          <t>Price↑(24206.9&gt;23962.8) &amp; EMA9↑(24109.62&gt;23937.76)</t>
        </is>
      </c>
      <c r="H38" s="16" t="n">
        <v>24109.62</v>
      </c>
      <c r="I38" s="16" t="n">
        <v>23937.76</v>
      </c>
      <c r="J38" s="16" t="inlineStr">
        <is>
          <t>2026-07-16</t>
        </is>
      </c>
      <c r="K38" s="16" t="inlineStr">
        <is>
          <t>WEEKLY</t>
        </is>
      </c>
      <c r="L38" s="16" t="n">
        <v>3</v>
      </c>
      <c r="M38" s="16" t="inlineStr">
        <is>
          <t>09:20 IST</t>
        </is>
      </c>
      <c r="N38" s="16" t="inlineStr">
        <is>
          <t>15:03 IST</t>
        </is>
      </c>
      <c r="O38" s="16" t="n">
        <v>24206.9</v>
      </c>
      <c r="P38" s="16" t="n">
        <v>23962.8</v>
      </c>
      <c r="Q38" s="16" t="inlineStr">
        <is>
          <t>24200 CE</t>
        </is>
      </c>
      <c r="R38" s="16" t="inlineStr">
        <is>
          <t>24300 CE</t>
        </is>
      </c>
      <c r="S38" s="16" t="n">
        <v>22</v>
      </c>
      <c r="T38" s="16" t="n">
        <v>65</v>
      </c>
      <c r="U38" s="16" t="n">
        <v>1430</v>
      </c>
      <c r="V38" s="16" t="n">
        <v>34.05</v>
      </c>
      <c r="W38" s="16" t="n">
        <v>33.87</v>
      </c>
      <c r="X38" s="16" t="n">
        <v>48691.5</v>
      </c>
      <c r="Y38" s="16" t="n">
        <v>48746.36</v>
      </c>
      <c r="Z38" s="16" t="n">
        <v>94308.5</v>
      </c>
      <c r="AA38" s="16" t="n">
        <v>14607.45</v>
      </c>
      <c r="AB38" s="16" t="n">
        <v>14607.45</v>
      </c>
      <c r="AC38" s="16" t="n">
        <v>-257.4</v>
      </c>
      <c r="AD38" s="16" t="n">
        <v>-0.5</v>
      </c>
      <c r="AE38" s="16" t="n">
        <v>40</v>
      </c>
      <c r="AF38" s="16" t="n">
        <v>6.09</v>
      </c>
      <c r="AG38" s="16" t="n">
        <v>0.1</v>
      </c>
      <c r="AH38" s="16" t="n">
        <v>1.46</v>
      </c>
      <c r="AI38" s="16" t="n">
        <v>7.22</v>
      </c>
      <c r="AJ38" s="16" t="n">
        <v>54.86</v>
      </c>
      <c r="AK38" s="16" t="n">
        <v>-312.26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NIFTY</t>
        </is>
      </c>
      <c r="C39" s="15" t="inlineStr">
        <is>
          <t>Bull Call Spread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SKIP</t>
        </is>
      </c>
      <c r="G39" s="15" t="inlineStr">
        <is>
          <t>Conflicting — Price:BEARISH EMA:BULLISH</t>
        </is>
      </c>
      <c r="H39" s="15" t="n">
        <v>24131.43</v>
      </c>
      <c r="I39" s="15" t="n">
        <v>23974.58</v>
      </c>
      <c r="J39" s="15" t="inlineStr">
        <is>
          <t>2026-07-16</t>
        </is>
      </c>
      <c r="K39" s="15" t="inlineStr">
        <is>
          <t>WEEKLY</t>
        </is>
      </c>
      <c r="L39" s="15" t="n">
        <v>2</v>
      </c>
      <c r="M39" s="15" t="inlineStr">
        <is>
          <t>09:20 IST</t>
        </is>
      </c>
      <c r="N39" s="15" t="inlineStr">
        <is>
          <t>09:54 IST</t>
        </is>
      </c>
      <c r="O39" s="15" t="n">
        <v>24141.15</v>
      </c>
      <c r="P39" s="15" t="n">
        <v>24211</v>
      </c>
      <c r="Q39" s="15" t="inlineStr">
        <is>
          <t>24100 CE</t>
        </is>
      </c>
      <c r="R39" s="15" t="inlineStr">
        <is>
          <t>24200 CE</t>
        </is>
      </c>
      <c r="S39" s="15" t="n">
        <v>33</v>
      </c>
      <c r="T39" s="15" t="n">
        <v>65</v>
      </c>
      <c r="U39" s="15" t="n">
        <v>2145</v>
      </c>
      <c r="V39" s="15" t="n">
        <v>22.12</v>
      </c>
      <c r="W39" s="15" t="n">
        <v>15.48</v>
      </c>
      <c r="X39" s="15" t="n">
        <v>47447.4</v>
      </c>
      <c r="Y39" s="15" t="n">
        <v>47502.07</v>
      </c>
      <c r="Z39" s="15" t="n">
        <v>167052.6</v>
      </c>
      <c r="AA39" s="15" t="n">
        <v>14234.22</v>
      </c>
      <c r="AB39" s="15" t="n">
        <v>14234.22</v>
      </c>
      <c r="AC39" s="15" t="n">
        <v>-14242.8</v>
      </c>
      <c r="AD39" s="15" t="n">
        <v>-30</v>
      </c>
      <c r="AE39" s="15" t="n">
        <v>40</v>
      </c>
      <c r="AF39" s="15" t="n">
        <v>5.93</v>
      </c>
      <c r="AG39" s="15" t="n">
        <v>0.09</v>
      </c>
      <c r="AH39" s="15" t="n">
        <v>1.42</v>
      </c>
      <c r="AI39" s="15" t="n">
        <v>7.22</v>
      </c>
      <c r="AJ39" s="15" t="n">
        <v>54.67</v>
      </c>
      <c r="AK39" s="15" t="n">
        <v>-14297.47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Bull Call Spread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11:48 IST</t>
        </is>
      </c>
      <c r="O40" s="17" t="n">
        <v>24052.05</v>
      </c>
      <c r="P40" s="17" t="n">
        <v>24211</v>
      </c>
      <c r="Q40" s="17" t="inlineStr">
        <is>
          <t>24000 CE</t>
        </is>
      </c>
      <c r="R40" s="17" t="inlineStr">
        <is>
          <t>24100 CE</t>
        </is>
      </c>
      <c r="S40" s="17" t="n">
        <v>33</v>
      </c>
      <c r="T40" s="17" t="n">
        <v>65</v>
      </c>
      <c r="U40" s="17" t="n">
        <v>2145</v>
      </c>
      <c r="V40" s="17" t="n">
        <v>22.01</v>
      </c>
      <c r="W40" s="17" t="n">
        <v>28.61</v>
      </c>
      <c r="X40" s="17" t="n">
        <v>47211.45</v>
      </c>
      <c r="Y40" s="17" t="n">
        <v>47266.08</v>
      </c>
      <c r="Z40" s="17" t="n">
        <v>167288.55</v>
      </c>
      <c r="AA40" s="17" t="n">
        <v>14163.43</v>
      </c>
      <c r="AB40" s="17" t="n">
        <v>14163.43</v>
      </c>
      <c r="AC40" s="17" t="n">
        <v>14157</v>
      </c>
      <c r="AD40" s="17" t="n">
        <v>30</v>
      </c>
      <c r="AE40" s="17" t="n">
        <v>40</v>
      </c>
      <c r="AF40" s="17" t="n">
        <v>5.9</v>
      </c>
      <c r="AG40" s="17" t="n">
        <v>0.09</v>
      </c>
      <c r="AH40" s="17" t="n">
        <v>1.42</v>
      </c>
      <c r="AI40" s="17" t="n">
        <v>7.22</v>
      </c>
      <c r="AJ40" s="17" t="n">
        <v>54.63</v>
      </c>
      <c r="AK40" s="17" t="n">
        <v>14102.37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2026-07-15</t>
        </is>
      </c>
      <c r="B41" s="15" t="inlineStr">
        <is>
          <t>NIFTY</t>
        </is>
      </c>
      <c r="C41" s="15" t="inlineStr">
        <is>
          <t>Bull Call Spread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24143.29</v>
      </c>
      <c r="I41" s="15" t="n">
        <v>23977</v>
      </c>
      <c r="J41" s="15" t="inlineStr">
        <is>
          <t>2026-07-16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11:11 IST</t>
        </is>
      </c>
      <c r="O41" s="15" t="n">
        <v>24204.6</v>
      </c>
      <c r="P41" s="15" t="n">
        <v>24211</v>
      </c>
      <c r="Q41" s="15" t="inlineStr">
        <is>
          <t>24200 CE</t>
        </is>
      </c>
      <c r="R41" s="15" t="inlineStr">
        <is>
          <t>24300 CE</t>
        </is>
      </c>
      <c r="S41" s="15" t="n">
        <v>30</v>
      </c>
      <c r="T41" s="15" t="n">
        <v>65</v>
      </c>
      <c r="U41" s="15" t="n">
        <v>1950</v>
      </c>
      <c r="V41" s="15" t="n">
        <v>24.73</v>
      </c>
      <c r="W41" s="15" t="n">
        <v>17.31</v>
      </c>
      <c r="X41" s="15" t="n">
        <v>48223.5</v>
      </c>
      <c r="Y41" s="15" t="n">
        <v>48278.29</v>
      </c>
      <c r="Z41" s="15" t="n">
        <v>146776.5</v>
      </c>
      <c r="AA41" s="15" t="n">
        <v>14467.05</v>
      </c>
      <c r="AB41" s="15" t="n">
        <v>14467.05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24118.07</v>
      </c>
      <c r="I42" s="16" t="n">
        <v>23965.53</v>
      </c>
      <c r="J42" s="16" t="inlineStr">
        <is>
          <t>2026-07-16</t>
        </is>
      </c>
      <c r="K42" s="16" t="inlineStr">
        <is>
          <t>WEEKLY</t>
        </is>
      </c>
      <c r="L42" s="16" t="n">
        <v>1</v>
      </c>
      <c r="M42" s="16" t="inlineStr">
        <is>
          <t>09:20 IST</t>
        </is>
      </c>
      <c r="N42" s="16" t="inlineStr">
        <is>
          <t>14:03 IST</t>
        </is>
      </c>
      <c r="O42" s="16" t="n">
        <v>24078.5</v>
      </c>
      <c r="P42" s="16" t="n">
        <v>24211</v>
      </c>
      <c r="Q42" s="16" t="inlineStr">
        <is>
          <t>24000 CE</t>
        </is>
      </c>
      <c r="R42" s="16" t="inlineStr">
        <is>
          <t>24100 CE</t>
        </is>
      </c>
      <c r="S42" s="16" t="n">
        <v>38</v>
      </c>
      <c r="T42" s="16" t="n">
        <v>65</v>
      </c>
      <c r="U42" s="16" t="n">
        <v>2470</v>
      </c>
      <c r="V42" s="16" t="n">
        <v>19.22</v>
      </c>
      <c r="W42" s="16" t="n">
        <v>18.97</v>
      </c>
      <c r="X42" s="16" t="n">
        <v>47473.4</v>
      </c>
      <c r="Y42" s="16" t="n">
        <v>47528.07</v>
      </c>
      <c r="Z42" s="16" t="n">
        <v>199526.6</v>
      </c>
      <c r="AA42" s="16" t="n">
        <v>14242.02</v>
      </c>
      <c r="AB42" s="16" t="n">
        <v>14242.02</v>
      </c>
      <c r="AC42" s="16" t="n">
        <v>-617.5</v>
      </c>
      <c r="AD42" s="16" t="n">
        <v>-1.3</v>
      </c>
      <c r="AE42" s="16" t="n">
        <v>40</v>
      </c>
      <c r="AF42" s="16" t="n">
        <v>5.93</v>
      </c>
      <c r="AG42" s="16" t="n">
        <v>0.09</v>
      </c>
      <c r="AH42" s="16" t="n">
        <v>1.42</v>
      </c>
      <c r="AI42" s="16" t="n">
        <v>7.22</v>
      </c>
      <c r="AJ42" s="16" t="n">
        <v>54.67</v>
      </c>
      <c r="AK42" s="16" t="n">
        <v>-672.17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Price↑(24152.45&gt;24078.5) &amp; EMA9↑(24114.61&gt;23985.11)</t>
        </is>
      </c>
      <c r="H43" s="17" t="n">
        <v>24114.61</v>
      </c>
      <c r="I43" s="17" t="n">
        <v>23985.11</v>
      </c>
      <c r="J43" s="17" t="inlineStr">
        <is>
          <t>2026-07-16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11:45 IST</t>
        </is>
      </c>
      <c r="O43" s="17" t="n">
        <v>24152.45</v>
      </c>
      <c r="P43" s="17" t="n">
        <v>24078.5</v>
      </c>
      <c r="Q43" s="17" t="inlineStr">
        <is>
          <t>24100 CE</t>
        </is>
      </c>
      <c r="R43" s="17" t="inlineStr">
        <is>
          <t>24200 CE</t>
        </is>
      </c>
      <c r="S43" s="17" t="n">
        <v>31</v>
      </c>
      <c r="T43" s="17" t="n">
        <v>65</v>
      </c>
      <c r="U43" s="17" t="n">
        <v>2015</v>
      </c>
      <c r="V43" s="17" t="n">
        <v>24.04</v>
      </c>
      <c r="W43" s="17" t="n">
        <v>31.25</v>
      </c>
      <c r="X43" s="17" t="n">
        <v>48440.6</v>
      </c>
      <c r="Y43" s="17" t="n">
        <v>48495.42</v>
      </c>
      <c r="Z43" s="17" t="n">
        <v>153059.4</v>
      </c>
      <c r="AA43" s="17" t="n">
        <v>14532.18</v>
      </c>
      <c r="AB43" s="17" t="n">
        <v>14532.18</v>
      </c>
      <c r="AC43" s="17" t="n">
        <v>14528.15</v>
      </c>
      <c r="AD43" s="17" t="n">
        <v>30</v>
      </c>
      <c r="AE43" s="17" t="n">
        <v>40</v>
      </c>
      <c r="AF43" s="17" t="n">
        <v>6.06</v>
      </c>
      <c r="AG43" s="17" t="n">
        <v>0.1</v>
      </c>
      <c r="AH43" s="17" t="n">
        <v>1.45</v>
      </c>
      <c r="AI43" s="17" t="n">
        <v>7.22</v>
      </c>
      <c r="AJ43" s="17" t="n">
        <v>54.82</v>
      </c>
      <c r="AK43" s="17" t="n">
        <v>14473.33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NIFTY</t>
        </is>
      </c>
      <c r="C44" s="15" t="inlineStr">
        <is>
          <t>Bull Call Spread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SKIP</t>
        </is>
      </c>
      <c r="G44" s="15" t="inlineStr">
        <is>
          <t>Conflicting — Price:BEARISH EMA:BULLISH</t>
        </is>
      </c>
      <c r="H44" s="15" t="n">
        <v>24098.67</v>
      </c>
      <c r="I44" s="15" t="n">
        <v>23977.87</v>
      </c>
      <c r="J44" s="15" t="inlineStr">
        <is>
          <t>2026-07-16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09:47 IST</t>
        </is>
      </c>
      <c r="O44" s="15" t="n">
        <v>24072.75</v>
      </c>
      <c r="P44" s="15" t="n">
        <v>24078.5</v>
      </c>
      <c r="Q44" s="15" t="inlineStr">
        <is>
          <t>24000 CE</t>
        </is>
      </c>
      <c r="R44" s="15" t="inlineStr">
        <is>
          <t>24100 CE</t>
        </is>
      </c>
      <c r="S44" s="15" t="n">
        <v>39</v>
      </c>
      <c r="T44" s="15" t="n">
        <v>65</v>
      </c>
      <c r="U44" s="15" t="n">
        <v>2535</v>
      </c>
      <c r="V44" s="15" t="n">
        <v>18.82</v>
      </c>
      <c r="W44" s="15" t="n">
        <v>13.17</v>
      </c>
      <c r="X44" s="15" t="n">
        <v>47708.7</v>
      </c>
      <c r="Y44" s="15" t="n">
        <v>47763.41</v>
      </c>
      <c r="Z44" s="15" t="n">
        <v>205791.3</v>
      </c>
      <c r="AA44" s="15" t="n">
        <v>14312.61</v>
      </c>
      <c r="AB44" s="15" t="n">
        <v>14312.61</v>
      </c>
      <c r="AC44" s="15" t="n">
        <v>-14322.75</v>
      </c>
      <c r="AD44" s="15" t="n">
        <v>-30</v>
      </c>
      <c r="AE44" s="15" t="n">
        <v>40</v>
      </c>
      <c r="AF44" s="15" t="n">
        <v>5.96</v>
      </c>
      <c r="AG44" s="15" t="n">
        <v>0.1</v>
      </c>
      <c r="AH44" s="15" t="n">
        <v>1.43</v>
      </c>
      <c r="AI44" s="15" t="n">
        <v>7.22</v>
      </c>
      <c r="AJ44" s="15" t="n">
        <v>54.71</v>
      </c>
      <c r="AK44" s="15" t="n">
        <v>-14377.46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5" t="inlineStr">
        <is>
          <t>2026-07-17</t>
        </is>
      </c>
      <c r="B45" s="15" t="inlineStr">
        <is>
          <t>NIFTY</t>
        </is>
      </c>
      <c r="C45" s="15" t="inlineStr">
        <is>
          <t>Bull Call Spread</t>
        </is>
      </c>
      <c r="D45" s="15" t="inlineStr">
        <is>
          <t>Bull Call Spread</t>
        </is>
      </c>
      <c r="E45" s="15" t="inlineStr">
        <is>
          <t>SIMULATED</t>
        </is>
      </c>
      <c r="F45" s="15" t="inlineStr">
        <is>
          <t>BULLISH</t>
        </is>
      </c>
      <c r="G45" s="15" t="inlineStr">
        <is>
          <t>Price↑(24255.3&gt;24072.75) &amp; EMA9↑(24129.52&gt;24002.12)</t>
        </is>
      </c>
      <c r="H45" s="15" t="n">
        <v>24129.52</v>
      </c>
      <c r="I45" s="15" t="n">
        <v>24002.12</v>
      </c>
      <c r="J45" s="15" t="inlineStr">
        <is>
          <t>2026-07-23</t>
        </is>
      </c>
      <c r="K45" s="15" t="inlineStr">
        <is>
          <t>WEEKLY</t>
        </is>
      </c>
      <c r="L45" s="15" t="n">
        <v>6</v>
      </c>
      <c r="M45" s="15" t="inlineStr">
        <is>
          <t>09:20 IST</t>
        </is>
      </c>
      <c r="N45" s="15" t="inlineStr">
        <is>
          <t>11:09 IST</t>
        </is>
      </c>
      <c r="O45" s="15" t="n">
        <v>24255.3</v>
      </c>
      <c r="P45" s="15" t="n">
        <v>24072.75</v>
      </c>
      <c r="Q45" s="15" t="inlineStr">
        <is>
          <t>24200 CE</t>
        </is>
      </c>
      <c r="R45" s="15" t="inlineStr">
        <is>
          <t>24300 CE</t>
        </is>
      </c>
      <c r="S45" s="15" t="n">
        <v>25</v>
      </c>
      <c r="T45" s="15" t="n">
        <v>65</v>
      </c>
      <c r="U45" s="15" t="n">
        <v>1625</v>
      </c>
      <c r="V45" s="15" t="n">
        <v>29.35</v>
      </c>
      <c r="W45" s="15" t="n">
        <v>20.54</v>
      </c>
      <c r="X45" s="15" t="n">
        <v>47693.75</v>
      </c>
      <c r="Y45" s="15" t="n">
        <v>47748.46</v>
      </c>
      <c r="Z45" s="15" t="n">
        <v>114806.25</v>
      </c>
      <c r="AA45" s="15" t="n">
        <v>14308.12</v>
      </c>
      <c r="AB45" s="15" t="n">
        <v>14308.12</v>
      </c>
      <c r="AC45" s="15" t="n">
        <v>-14316.25</v>
      </c>
      <c r="AD45" s="15" t="n">
        <v>-30</v>
      </c>
      <c r="AE45" s="15" t="n">
        <v>40</v>
      </c>
      <c r="AF45" s="15" t="n">
        <v>5.96</v>
      </c>
      <c r="AG45" s="15" t="n">
        <v>0.1</v>
      </c>
      <c r="AH45" s="15" t="n">
        <v>1.43</v>
      </c>
      <c r="AI45" s="15" t="n">
        <v>7.22</v>
      </c>
      <c r="AJ45" s="15" t="n">
        <v>54.71</v>
      </c>
      <c r="AK45" s="15" t="n">
        <v>-14370.96</v>
      </c>
      <c r="AL45" s="15" t="inlineStr">
        <is>
          <t>STOP LOSS</t>
        </is>
      </c>
      <c r="AM45" s="15" t="n">
        <v>50000</v>
      </c>
      <c r="AN45" s="15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10:51 IST</t>
        </is>
      </c>
      <c r="O46" s="17" t="n">
        <v>24334.3</v>
      </c>
      <c r="P46" s="17" t="n">
        <v>24072.75</v>
      </c>
      <c r="Q46" s="17" t="inlineStr">
        <is>
          <t>24300 CE</t>
        </is>
      </c>
      <c r="R46" s="17" t="inlineStr">
        <is>
          <t>24400 CE</t>
        </is>
      </c>
      <c r="S46" s="17" t="n">
        <v>26</v>
      </c>
      <c r="T46" s="17" t="n">
        <v>65</v>
      </c>
      <c r="U46" s="17" t="n">
        <v>1690</v>
      </c>
      <c r="V46" s="17" t="n">
        <v>28.42</v>
      </c>
      <c r="W46" s="17" t="n">
        <v>36.95</v>
      </c>
      <c r="X46" s="17" t="n">
        <v>48029.8</v>
      </c>
      <c r="Y46" s="17" t="n">
        <v>48084.56</v>
      </c>
      <c r="Z46" s="17" t="n">
        <v>120970.2</v>
      </c>
      <c r="AA46" s="17" t="n">
        <v>14408.94</v>
      </c>
      <c r="AB46" s="17" t="n">
        <v>14408.94</v>
      </c>
      <c r="AC46" s="17" t="n">
        <v>14415.7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54.76</v>
      </c>
      <c r="AK46" s="17" t="n">
        <v>14360.94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24152.5</v>
      </c>
      <c r="I47" s="16" t="n">
        <v>24041.8</v>
      </c>
      <c r="J47" s="16" t="inlineStr">
        <is>
          <t>2026-07-23</t>
        </is>
      </c>
      <c r="K47" s="16" t="inlineStr">
        <is>
          <t>WEEKLY</t>
        </is>
      </c>
      <c r="L47" s="16" t="n">
        <v>3</v>
      </c>
      <c r="M47" s="16" t="inlineStr">
        <is>
          <t>09:20 IST</t>
        </is>
      </c>
      <c r="N47" s="16" t="inlineStr">
        <is>
          <t>13:25 IST</t>
        </is>
      </c>
      <c r="O47" s="16" t="n">
        <v>24180.2</v>
      </c>
      <c r="P47" s="16" t="n">
        <v>24334.3</v>
      </c>
      <c r="Q47" s="16" t="inlineStr">
        <is>
          <t>24100 CE</t>
        </is>
      </c>
      <c r="R47" s="16" t="inlineStr">
        <is>
          <t>24200 CE</t>
        </is>
      </c>
      <c r="S47" s="16" t="n">
        <v>29</v>
      </c>
      <c r="T47" s="16" t="n">
        <v>65</v>
      </c>
      <c r="U47" s="16" t="n">
        <v>1885</v>
      </c>
      <c r="V47" s="16" t="n">
        <v>25.88</v>
      </c>
      <c r="W47" s="16" t="n">
        <v>24.62</v>
      </c>
      <c r="X47" s="16" t="n">
        <v>48783.8</v>
      </c>
      <c r="Y47" s="16" t="n">
        <v>48838.68</v>
      </c>
      <c r="Z47" s="16" t="n">
        <v>139716.2</v>
      </c>
      <c r="AA47" s="16" t="n">
        <v>14635.14</v>
      </c>
      <c r="AB47" s="16" t="n">
        <v>14635.14</v>
      </c>
      <c r="AC47" s="16" t="n">
        <v>-2375.1</v>
      </c>
      <c r="AD47" s="16" t="n">
        <v>-4.9</v>
      </c>
      <c r="AE47" s="16" t="n">
        <v>40</v>
      </c>
      <c r="AF47" s="16" t="n">
        <v>6.1</v>
      </c>
      <c r="AG47" s="16" t="n">
        <v>0.1</v>
      </c>
      <c r="AH47" s="16" t="n">
        <v>1.46</v>
      </c>
      <c r="AI47" s="16" t="n">
        <v>7.22</v>
      </c>
      <c r="AJ47" s="16" t="n">
        <v>54.88</v>
      </c>
      <c r="AK47" s="16" t="n">
        <v>-2429.98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NIFTY</t>
        </is>
      </c>
      <c r="C48" s="16" t="inlineStr">
        <is>
          <t>Bull Call Spread</t>
        </is>
      </c>
      <c r="D48" s="16" t="inlineStr">
        <is>
          <t>Bull Call Spread</t>
        </is>
      </c>
      <c r="E48" s="16" t="inlineStr">
        <is>
          <t>SIMULATED</t>
        </is>
      </c>
      <c r="F48" s="16" t="inlineStr">
        <is>
          <t>SKIP</t>
        </is>
      </c>
      <c r="G48" s="16" t="inlineStr">
        <is>
          <t>Conflicting — Price:BEARISH EMA:BULLISH</t>
        </is>
      </c>
      <c r="H48" s="16" t="n">
        <v>24164.16</v>
      </c>
      <c r="I48" s="16" t="n">
        <v>24047.1</v>
      </c>
      <c r="J48" s="16" t="inlineStr">
        <is>
          <t>2026-07-23</t>
        </is>
      </c>
      <c r="K48" s="16" t="inlineStr">
        <is>
          <t>WEEKLY</t>
        </is>
      </c>
      <c r="L48" s="16" t="n">
        <v>3</v>
      </c>
      <c r="M48" s="16" t="inlineStr">
        <is>
          <t>09:20 IST</t>
        </is>
      </c>
      <c r="N48" s="16" t="inlineStr">
        <is>
          <t>13:40 IST</t>
        </is>
      </c>
      <c r="O48" s="16" t="n">
        <v>24238.5</v>
      </c>
      <c r="P48" s="16" t="n">
        <v>24334.3</v>
      </c>
      <c r="Q48" s="16" t="inlineStr">
        <is>
          <t>24200 CE</t>
        </is>
      </c>
      <c r="R48" s="16" t="inlineStr">
        <is>
          <t>24300 CE</t>
        </is>
      </c>
      <c r="S48" s="16" t="n">
        <v>19</v>
      </c>
      <c r="T48" s="16" t="n">
        <v>65</v>
      </c>
      <c r="U48" s="16" t="n">
        <v>1235</v>
      </c>
      <c r="V48" s="16" t="n">
        <v>38.85</v>
      </c>
      <c r="W48" s="16" t="n">
        <v>40.27</v>
      </c>
      <c r="X48" s="16" t="n">
        <v>47979.75</v>
      </c>
      <c r="Y48" s="16" t="n">
        <v>48034.5</v>
      </c>
      <c r="Z48" s="16" t="n">
        <v>75520.25</v>
      </c>
      <c r="AA48" s="16" t="n">
        <v>14393.92</v>
      </c>
      <c r="AB48" s="16" t="n">
        <v>14393.92</v>
      </c>
      <c r="AC48" s="16" t="n">
        <v>1753.7</v>
      </c>
      <c r="AD48" s="16" t="n">
        <v>3.7</v>
      </c>
      <c r="AE48" s="16" t="n">
        <v>40</v>
      </c>
      <c r="AF48" s="16" t="n">
        <v>6</v>
      </c>
      <c r="AG48" s="16" t="n">
        <v>0.1</v>
      </c>
      <c r="AH48" s="16" t="n">
        <v>1.44</v>
      </c>
      <c r="AI48" s="16" t="n">
        <v>7.22</v>
      </c>
      <c r="AJ48" s="16" t="n">
        <v>54.75</v>
      </c>
      <c r="AK48" s="16" t="n">
        <v>1698.95</v>
      </c>
      <c r="AL48" s="16" t="inlineStr">
        <is>
          <t>FLAT</t>
        </is>
      </c>
      <c r="AM48" s="16" t="n">
        <v>50000</v>
      </c>
      <c r="AN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24164.13</v>
      </c>
      <c r="I49" s="17" t="n">
        <v>24071.86</v>
      </c>
      <c r="J49" s="17" t="inlineStr">
        <is>
          <t>2026-07-23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09:42 IST</t>
        </is>
      </c>
      <c r="O49" s="17" t="n">
        <v>24163.1</v>
      </c>
      <c r="P49" s="17" t="n">
        <v>24238.5</v>
      </c>
      <c r="Q49" s="17" t="inlineStr">
        <is>
          <t>24100 CE</t>
        </is>
      </c>
      <c r="R49" s="17" t="inlineStr">
        <is>
          <t>24200 CE</t>
        </is>
      </c>
      <c r="S49" s="17" t="n">
        <v>32</v>
      </c>
      <c r="T49" s="17" t="n">
        <v>65</v>
      </c>
      <c r="U49" s="17" t="n">
        <v>2080</v>
      </c>
      <c r="V49" s="17" t="n">
        <v>22.77</v>
      </c>
      <c r="W49" s="17" t="n">
        <v>29.6</v>
      </c>
      <c r="X49" s="17" t="n">
        <v>47361.6</v>
      </c>
      <c r="Y49" s="17" t="n">
        <v>47416.25</v>
      </c>
      <c r="Z49" s="17" t="n">
        <v>160638.4</v>
      </c>
      <c r="AA49" s="17" t="n">
        <v>14208.48</v>
      </c>
      <c r="AB49" s="17" t="n">
        <v>14208.48</v>
      </c>
      <c r="AC49" s="17" t="n">
        <v>14206.4</v>
      </c>
      <c r="AD49" s="17" t="n">
        <v>30</v>
      </c>
      <c r="AE49" s="17" t="n">
        <v>40</v>
      </c>
      <c r="AF49" s="17" t="n">
        <v>5.92</v>
      </c>
      <c r="AG49" s="17" t="n">
        <v>0.09</v>
      </c>
      <c r="AH49" s="17" t="n">
        <v>1.42</v>
      </c>
      <c r="AI49" s="17" t="n">
        <v>7.22</v>
      </c>
      <c r="AJ49" s="17" t="n">
        <v>54.65</v>
      </c>
      <c r="AK49" s="17" t="n">
        <v>14151.75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10:20 IST</t>
        </is>
      </c>
      <c r="O50" s="15" t="n">
        <v>24187.7</v>
      </c>
      <c r="P50" s="15" t="n">
        <v>24238.5</v>
      </c>
      <c r="Q50" s="15" t="inlineStr">
        <is>
          <t>24100 CE</t>
        </is>
      </c>
      <c r="R50" s="15" t="inlineStr">
        <is>
          <t>24200 CE</t>
        </is>
      </c>
      <c r="S50" s="15" t="n">
        <v>35</v>
      </c>
      <c r="T50" s="15" t="n">
        <v>65</v>
      </c>
      <c r="U50" s="15" t="n">
        <v>2275</v>
      </c>
      <c r="V50" s="15" t="n">
        <v>20.98</v>
      </c>
      <c r="W50" s="15" t="n">
        <v>14.69</v>
      </c>
      <c r="X50" s="15" t="n">
        <v>47729.5</v>
      </c>
      <c r="Y50" s="15" t="n">
        <v>47784.21</v>
      </c>
      <c r="Z50" s="15" t="n">
        <v>179770.5</v>
      </c>
      <c r="AA50" s="15" t="n">
        <v>14318.85</v>
      </c>
      <c r="AB50" s="15" t="n">
        <v>14318.85</v>
      </c>
      <c r="AC50" s="15" t="n">
        <v>-14309.75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-14364.46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6" t="inlineStr">
        <is>
          <t>2026-07-22</t>
        </is>
      </c>
      <c r="B51" s="16" t="inlineStr">
        <is>
          <t>NIFTY</t>
        </is>
      </c>
      <c r="C51" s="16" t="inlineStr">
        <is>
          <t>Bull Call Spread</t>
        </is>
      </c>
      <c r="D51" s="16" t="inlineStr">
        <is>
          <t>Bull Call Spread</t>
        </is>
      </c>
      <c r="E51" s="16" t="inlineStr">
        <is>
          <t>SIMULATED</t>
        </is>
      </c>
      <c r="F51" s="16" t="inlineStr">
        <is>
          <t>SKIP</t>
        </is>
      </c>
      <c r="G51" s="16" t="inlineStr">
        <is>
          <t>Conflicting — Price:BEARISH EMA:BULLISH</t>
        </is>
      </c>
      <c r="H51" s="16" t="n">
        <v>24145.08</v>
      </c>
      <c r="I51" s="16" t="n">
        <v>24082.85</v>
      </c>
      <c r="J51" s="16" t="inlineStr">
        <is>
          <t>2026-07-23</t>
        </is>
      </c>
      <c r="K51" s="16" t="inlineStr">
        <is>
          <t>WEEKLY</t>
        </is>
      </c>
      <c r="L51" s="16" t="n">
        <v>1</v>
      </c>
      <c r="M51" s="16" t="inlineStr">
        <is>
          <t>09:20 IST</t>
        </is>
      </c>
      <c r="N51" s="16" t="inlineStr">
        <is>
          <t>13:27 IST</t>
        </is>
      </c>
      <c r="O51" s="16" t="n">
        <v>24045.55</v>
      </c>
      <c r="P51" s="16" t="n">
        <v>24187.7</v>
      </c>
      <c r="Q51" s="16" t="inlineStr">
        <is>
          <t>24000 CE</t>
        </is>
      </c>
      <c r="R51" s="16" t="inlineStr">
        <is>
          <t>24100 CE</t>
        </is>
      </c>
      <c r="S51" s="16" t="n">
        <v>37</v>
      </c>
      <c r="T51" s="16" t="n">
        <v>65</v>
      </c>
      <c r="U51" s="16" t="n">
        <v>2405</v>
      </c>
      <c r="V51" s="16" t="n">
        <v>19.68</v>
      </c>
      <c r="W51" s="16" t="n">
        <v>19.21</v>
      </c>
      <c r="X51" s="16" t="n">
        <v>47330.4</v>
      </c>
      <c r="Y51" s="16" t="n">
        <v>47385.05</v>
      </c>
      <c r="Z51" s="16" t="n">
        <v>193169.6</v>
      </c>
      <c r="AA51" s="16" t="n">
        <v>14199.12</v>
      </c>
      <c r="AB51" s="16" t="n">
        <v>14199.12</v>
      </c>
      <c r="AC51" s="16" t="n">
        <v>-1130.35</v>
      </c>
      <c r="AD51" s="16" t="n">
        <v>-2.4</v>
      </c>
      <c r="AE51" s="16" t="n">
        <v>40</v>
      </c>
      <c r="AF51" s="16" t="n">
        <v>5.92</v>
      </c>
      <c r="AG51" s="16" t="n">
        <v>0.09</v>
      </c>
      <c r="AH51" s="16" t="n">
        <v>1.42</v>
      </c>
      <c r="AI51" s="16" t="n">
        <v>7.22</v>
      </c>
      <c r="AJ51" s="16" t="n">
        <v>54.65</v>
      </c>
      <c r="AK51" s="16" t="n">
        <v>-1185</v>
      </c>
      <c r="AL51" s="16" t="inlineStr">
        <is>
          <t>FLAT</t>
        </is>
      </c>
      <c r="AM51" s="16" t="n">
        <v>50000</v>
      </c>
      <c r="AN51" s="16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Bull Call Spread</t>
        </is>
      </c>
      <c r="D52" s="17" t="inlineStr">
        <is>
          <t>Bull Call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11:47 IST</t>
        </is>
      </c>
      <c r="O52" s="17" t="n">
        <v>23996.25</v>
      </c>
      <c r="P52" s="17" t="n">
        <v>24187.7</v>
      </c>
      <c r="Q52" s="17" t="inlineStr">
        <is>
          <t>23900 CE</t>
        </is>
      </c>
      <c r="R52" s="17" t="inlineStr">
        <is>
          <t>24000 CE</t>
        </is>
      </c>
      <c r="S52" s="17" t="n">
        <v>46</v>
      </c>
      <c r="T52" s="17" t="n">
        <v>65</v>
      </c>
      <c r="U52" s="17" t="n">
        <v>2990</v>
      </c>
      <c r="V52" s="17" t="n">
        <v>15.96</v>
      </c>
      <c r="W52" s="17" t="n">
        <v>20.75</v>
      </c>
      <c r="X52" s="17" t="n">
        <v>47720.4</v>
      </c>
      <c r="Y52" s="17" t="n">
        <v>47775.11</v>
      </c>
      <c r="Z52" s="17" t="n">
        <v>251279.6</v>
      </c>
      <c r="AA52" s="17" t="n">
        <v>14316.12</v>
      </c>
      <c r="AB52" s="17" t="n">
        <v>14316.12</v>
      </c>
      <c r="AC52" s="17" t="n">
        <v>14322.1</v>
      </c>
      <c r="AD52" s="17" t="n">
        <v>30</v>
      </c>
      <c r="AE52" s="17" t="n">
        <v>40</v>
      </c>
      <c r="AF52" s="17" t="n">
        <v>5.97</v>
      </c>
      <c r="AG52" s="17" t="n">
        <v>0.1</v>
      </c>
      <c r="AH52" s="17" t="n">
        <v>1.43</v>
      </c>
      <c r="AI52" s="17" t="n">
        <v>7.22</v>
      </c>
      <c r="AJ52" s="17" t="n">
        <v>54.71</v>
      </c>
      <c r="AK52" s="17" t="n">
        <v>14267.39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7" t="inlineStr">
        <is>
          <t>2026-07-23</t>
        </is>
      </c>
      <c r="B53" s="17" t="inlineStr">
        <is>
          <t>NIFTY</t>
        </is>
      </c>
      <c r="C53" s="17" t="inlineStr">
        <is>
          <t>Bull Call Spread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24097.47</v>
      </c>
      <c r="I53" s="17" t="n">
        <v>24080.49</v>
      </c>
      <c r="J53" s="17" t="inlineStr">
        <is>
          <t>2026-07-23</t>
        </is>
      </c>
      <c r="K53" s="17" t="inlineStr">
        <is>
          <t>WEEKLY</t>
        </is>
      </c>
      <c r="L53" s="17" t="n">
        <v>0</v>
      </c>
      <c r="M53" s="17" t="inlineStr">
        <is>
          <t>09:20 IST</t>
        </is>
      </c>
      <c r="N53" s="17" t="inlineStr">
        <is>
          <t>11:45 IST</t>
        </is>
      </c>
      <c r="O53" s="17" t="n">
        <v>23942.7</v>
      </c>
      <c r="P53" s="17" t="n">
        <v>23996.25</v>
      </c>
      <c r="Q53" s="17" t="inlineStr">
        <is>
          <t>23900 CE</t>
        </is>
      </c>
      <c r="R53" s="17" t="inlineStr">
        <is>
          <t>24000 CE</t>
        </is>
      </c>
      <c r="S53" s="17" t="n">
        <v>38</v>
      </c>
      <c r="T53" s="17" t="n">
        <v>65</v>
      </c>
      <c r="U53" s="17" t="n">
        <v>2470</v>
      </c>
      <c r="V53" s="17" t="n">
        <v>19.59</v>
      </c>
      <c r="W53" s="17" t="n">
        <v>25.47</v>
      </c>
      <c r="X53" s="17" t="n">
        <v>48387.3</v>
      </c>
      <c r="Y53" s="17" t="n">
        <v>48442.11</v>
      </c>
      <c r="Z53" s="17" t="n">
        <v>198612.7</v>
      </c>
      <c r="AA53" s="17" t="n">
        <v>14516.19</v>
      </c>
      <c r="AB53" s="17" t="n">
        <v>14516.19</v>
      </c>
      <c r="AC53" s="17" t="n">
        <v>14523.6</v>
      </c>
      <c r="AD53" s="17" t="n">
        <v>30</v>
      </c>
      <c r="AE53" s="17" t="n">
        <v>40</v>
      </c>
      <c r="AF53" s="17" t="n">
        <v>6.05</v>
      </c>
      <c r="AG53" s="17" t="n">
        <v>0.1</v>
      </c>
      <c r="AH53" s="17" t="n">
        <v>1.45</v>
      </c>
      <c r="AI53" s="17" t="n">
        <v>7.22</v>
      </c>
      <c r="AJ53" s="17" t="n">
        <v>54.81</v>
      </c>
      <c r="AK53" s="17" t="n">
        <v>14468.79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SKIP</t>
        </is>
      </c>
      <c r="G54" s="17" t="inlineStr">
        <is>
          <t>Conflicting — Price:BEARISH EMA:BULLISH</t>
        </is>
      </c>
      <c r="H54" s="17" t="n">
        <v>24082.85</v>
      </c>
      <c r="I54" s="17" t="n">
        <v>24073.84</v>
      </c>
      <c r="J54" s="17" t="inlineStr">
        <is>
          <t>2026-07-23</t>
        </is>
      </c>
      <c r="K54" s="17" t="inlineStr">
        <is>
          <t>WEEKLY</t>
        </is>
      </c>
      <c r="L54" s="17" t="n">
        <v>0</v>
      </c>
      <c r="M54" s="17" t="inlineStr">
        <is>
          <t>09:20 IST</t>
        </is>
      </c>
      <c r="N54" s="17" t="inlineStr">
        <is>
          <t>10:08 IST</t>
        </is>
      </c>
      <c r="O54" s="17" t="n">
        <v>23869.6</v>
      </c>
      <c r="P54" s="17" t="n">
        <v>23996.25</v>
      </c>
      <c r="Q54" s="17" t="inlineStr">
        <is>
          <t>23800 CE</t>
        </is>
      </c>
      <c r="R54" s="17" t="inlineStr">
        <is>
          <t>23900 CE</t>
        </is>
      </c>
      <c r="S54" s="17" t="n">
        <v>44</v>
      </c>
      <c r="T54" s="17" t="n">
        <v>65</v>
      </c>
      <c r="U54" s="17" t="n">
        <v>2860</v>
      </c>
      <c r="V54" s="17" t="n">
        <v>16.71</v>
      </c>
      <c r="W54" s="17" t="n">
        <v>21.72</v>
      </c>
      <c r="X54" s="17" t="n">
        <v>47790.6</v>
      </c>
      <c r="Y54" s="17" t="n">
        <v>47845.32</v>
      </c>
      <c r="Z54" s="17" t="n">
        <v>238209.4</v>
      </c>
      <c r="AA54" s="17" t="n">
        <v>14337.18</v>
      </c>
      <c r="AB54" s="17" t="n">
        <v>14337.18</v>
      </c>
      <c r="AC54" s="17" t="n">
        <v>14328.6</v>
      </c>
      <c r="AD54" s="17" t="n">
        <v>30</v>
      </c>
      <c r="AE54" s="17" t="n">
        <v>40</v>
      </c>
      <c r="AF54" s="17" t="n">
        <v>5.97</v>
      </c>
      <c r="AG54" s="17" t="n">
        <v>0.1</v>
      </c>
      <c r="AH54" s="17" t="n">
        <v>1.43</v>
      </c>
      <c r="AI54" s="17" t="n">
        <v>7.22</v>
      </c>
      <c r="AJ54" s="17" t="n">
        <v>54.72</v>
      </c>
      <c r="AK54" s="17" t="n">
        <v>14273.88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NIFTY</t>
        </is>
      </c>
      <c r="C55" s="15" t="inlineStr">
        <is>
          <t>Bull Call Spread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Price↓(23682.7&lt;23869.6) &amp; EMA9↓(24003.16&lt;24047.82)</t>
        </is>
      </c>
      <c r="H55" s="15" t="n">
        <v>24003.16</v>
      </c>
      <c r="I55" s="15" t="n">
        <v>24047.82</v>
      </c>
      <c r="J55" s="15" t="inlineStr">
        <is>
          <t>2026-07-30</t>
        </is>
      </c>
      <c r="K55" s="15" t="inlineStr">
        <is>
          <t>WEEKLY</t>
        </is>
      </c>
      <c r="L55" s="15" t="n">
        <v>6</v>
      </c>
      <c r="M55" s="15" t="inlineStr">
        <is>
          <t>09:20 IST</t>
        </is>
      </c>
      <c r="N55" s="15" t="inlineStr">
        <is>
          <t>10:25 IST</t>
        </is>
      </c>
      <c r="O55" s="15" t="n">
        <v>23682.7</v>
      </c>
      <c r="P55" s="15" t="n">
        <v>23869.6</v>
      </c>
      <c r="Q55" s="15" t="inlineStr">
        <is>
          <t>23600 CE</t>
        </is>
      </c>
      <c r="R55" s="15" t="inlineStr">
        <is>
          <t>23700 CE</t>
        </is>
      </c>
      <c r="S55" s="15" t="n">
        <v>19</v>
      </c>
      <c r="T55" s="15" t="n">
        <v>65</v>
      </c>
      <c r="U55" s="15" t="n">
        <v>1235</v>
      </c>
      <c r="V55" s="15" t="n">
        <v>38.11</v>
      </c>
      <c r="W55" s="15" t="n">
        <v>26.68</v>
      </c>
      <c r="X55" s="15" t="n">
        <v>47065.85</v>
      </c>
      <c r="Y55" s="15" t="n">
        <v>47120.46</v>
      </c>
      <c r="Z55" s="15" t="n">
        <v>76434.14999999999</v>
      </c>
      <c r="AA55" s="15" t="n">
        <v>14119.75</v>
      </c>
      <c r="AB55" s="15" t="n">
        <v>14119.75</v>
      </c>
      <c r="AC55" s="15" t="n">
        <v>-14116.05</v>
      </c>
      <c r="AD55" s="15" t="n">
        <v>-30</v>
      </c>
      <c r="AE55" s="15" t="n">
        <v>40</v>
      </c>
      <c r="AF55" s="15" t="n">
        <v>5.88</v>
      </c>
      <c r="AG55" s="15" t="n">
        <v>0.09</v>
      </c>
      <c r="AH55" s="15" t="n">
        <v>1.41</v>
      </c>
      <c r="AI55" s="15" t="n">
        <v>7.22</v>
      </c>
      <c r="AJ55" s="15" t="n">
        <v>54.61</v>
      </c>
      <c r="AK55" s="15" t="n">
        <v>-14170.66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BEARISH</t>
        </is>
      </c>
      <c r="G56" s="17" t="inlineStr">
        <is>
          <t>Price↓(23767.45&lt;23869.6) &amp; EMA9↓(24020.11&lt;24055.52)</t>
        </is>
      </c>
      <c r="H56" s="17" t="n">
        <v>24020.11</v>
      </c>
      <c r="I56" s="17" t="n">
        <v>24055.52</v>
      </c>
      <c r="J56" s="17" t="inlineStr">
        <is>
          <t>2026-07-30</t>
        </is>
      </c>
      <c r="K56" s="17" t="inlineStr">
        <is>
          <t>WEEKLY</t>
        </is>
      </c>
      <c r="L56" s="17" t="n">
        <v>6</v>
      </c>
      <c r="M56" s="17" t="inlineStr">
        <is>
          <t>09:20 IST</t>
        </is>
      </c>
      <c r="N56" s="17" t="inlineStr">
        <is>
          <t>10:21 IST</t>
        </is>
      </c>
      <c r="O56" s="17" t="n">
        <v>23767.45</v>
      </c>
      <c r="P56" s="17" t="n">
        <v>23869.6</v>
      </c>
      <c r="Q56" s="17" t="inlineStr">
        <is>
          <t>23700 CE</t>
        </is>
      </c>
      <c r="R56" s="17" t="inlineStr">
        <is>
          <t>23800 CE</t>
        </is>
      </c>
      <c r="S56" s="17" t="n">
        <v>20</v>
      </c>
      <c r="T56" s="17" t="n">
        <v>65</v>
      </c>
      <c r="U56" s="17" t="n">
        <v>1300</v>
      </c>
      <c r="V56" s="17" t="n">
        <v>36.21</v>
      </c>
      <c r="W56" s="17" t="n">
        <v>47.07</v>
      </c>
      <c r="X56" s="17" t="n">
        <v>47073</v>
      </c>
      <c r="Y56" s="17" t="n">
        <v>47127.61</v>
      </c>
      <c r="Z56" s="17" t="n">
        <v>82927</v>
      </c>
      <c r="AA56" s="17" t="n">
        <v>14121.9</v>
      </c>
      <c r="AB56" s="17" t="n">
        <v>14121.9</v>
      </c>
      <c r="AC56" s="17" t="n">
        <v>14118</v>
      </c>
      <c r="AD56" s="17" t="n">
        <v>30</v>
      </c>
      <c r="AE56" s="17" t="n">
        <v>40</v>
      </c>
      <c r="AF56" s="17" t="n">
        <v>5.88</v>
      </c>
      <c r="AG56" s="17" t="n">
        <v>0.09</v>
      </c>
      <c r="AH56" s="17" t="n">
        <v>1.41</v>
      </c>
      <c r="AI56" s="17" t="n">
        <v>7.22</v>
      </c>
      <c r="AJ56" s="17" t="n">
        <v>54.61</v>
      </c>
      <c r="AK56" s="17" t="n">
        <v>14063.39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6" t="inlineStr">
        <is>
          <t>2026-07-27</t>
        </is>
      </c>
      <c r="B57" s="16" t="inlineStr">
        <is>
          <t>NIFTY</t>
        </is>
      </c>
      <c r="C57" s="16" t="inlineStr">
        <is>
          <t>Bull Call Spread</t>
        </is>
      </c>
      <c r="D57" s="16" t="inlineStr">
        <is>
          <t>Bull Call Spread</t>
        </is>
      </c>
      <c r="E57" s="16" t="inlineStr">
        <is>
          <t>SIMULATED</t>
        </is>
      </c>
      <c r="F57" s="16" t="inlineStr">
        <is>
          <t>SKIP</t>
        </is>
      </c>
      <c r="G57" s="16" t="inlineStr">
        <is>
          <t>Conflicting — Price:BULLISH EMA:BEARISH</t>
        </is>
      </c>
      <c r="H57" s="16" t="n">
        <v>24007.53</v>
      </c>
      <c r="I57" s="16" t="n">
        <v>24051.2</v>
      </c>
      <c r="J57" s="16" t="inlineStr">
        <is>
          <t>2026-07-30</t>
        </is>
      </c>
      <c r="K57" s="16" t="inlineStr">
        <is>
          <t>WEEKLY</t>
        </is>
      </c>
      <c r="L57" s="16" t="n">
        <v>3</v>
      </c>
      <c r="M57" s="16" t="inlineStr">
        <is>
          <t>09:20 IST</t>
        </is>
      </c>
      <c r="N57" s="16" t="inlineStr">
        <is>
          <t>15:20 IST</t>
        </is>
      </c>
      <c r="O57" s="16" t="n">
        <v>23955.85</v>
      </c>
      <c r="P57" s="16" t="n">
        <v>23767.45</v>
      </c>
      <c r="Q57" s="16" t="inlineStr">
        <is>
          <t>23900 CE</t>
        </is>
      </c>
      <c r="R57" s="16" t="inlineStr">
        <is>
          <t>24000 CE</t>
        </is>
      </c>
      <c r="S57" s="16" t="n">
        <v>28</v>
      </c>
      <c r="T57" s="16" t="n">
        <v>65</v>
      </c>
      <c r="U57" s="16" t="n">
        <v>1820</v>
      </c>
      <c r="V57" s="16" t="n">
        <v>26</v>
      </c>
      <c r="W57" s="16" t="n">
        <v>26.09</v>
      </c>
      <c r="X57" s="16" t="n">
        <v>47320</v>
      </c>
      <c r="Y57" s="16" t="n">
        <v>47374.65</v>
      </c>
      <c r="Z57" s="16" t="n">
        <v>134680</v>
      </c>
      <c r="AA57" s="16" t="n">
        <v>14196</v>
      </c>
      <c r="AB57" s="16" t="n">
        <v>14196</v>
      </c>
      <c r="AC57" s="16" t="n">
        <v>163.8</v>
      </c>
      <c r="AD57" s="16" t="n">
        <v>0.3</v>
      </c>
      <c r="AE57" s="16" t="n">
        <v>40</v>
      </c>
      <c r="AF57" s="16" t="n">
        <v>5.92</v>
      </c>
      <c r="AG57" s="16" t="n">
        <v>0.09</v>
      </c>
      <c r="AH57" s="16" t="n">
        <v>1.42</v>
      </c>
      <c r="AI57" s="16" t="n">
        <v>7.22</v>
      </c>
      <c r="AJ57" s="16" t="n">
        <v>54.65</v>
      </c>
      <c r="AK57" s="16" t="n">
        <v>109.15</v>
      </c>
      <c r="AL57" s="16" t="inlineStr">
        <is>
          <t>FLAT</t>
        </is>
      </c>
      <c r="AM57" s="16" t="n">
        <v>50000</v>
      </c>
      <c r="AN57" s="16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NIFTY</t>
        </is>
      </c>
      <c r="C58" s="16" t="inlineStr">
        <is>
          <t>Bull Call Spread</t>
        </is>
      </c>
      <c r="D58" s="16" t="inlineStr">
        <is>
          <t>Bull Call Spread</t>
        </is>
      </c>
      <c r="E58" s="16" t="inlineStr">
        <is>
          <t>SIMULATED</t>
        </is>
      </c>
      <c r="F58" s="16" t="inlineStr">
        <is>
          <t>SKIP</t>
        </is>
      </c>
      <c r="G58" s="16" t="inlineStr">
        <is>
          <t>Conflicting — Price:BULLISH EMA:BEARISH</t>
        </is>
      </c>
      <c r="H58" s="16" t="n">
        <v>24015.55</v>
      </c>
      <c r="I58" s="16" t="n">
        <v>24054.84</v>
      </c>
      <c r="J58" s="16" t="inlineStr">
        <is>
          <t>2026-07-30</t>
        </is>
      </c>
      <c r="K58" s="16" t="inlineStr">
        <is>
          <t>WEEKLY</t>
        </is>
      </c>
      <c r="L58" s="16" t="n">
        <v>3</v>
      </c>
      <c r="M58" s="16" t="inlineStr">
        <is>
          <t>09:20 IST</t>
        </is>
      </c>
      <c r="N58" s="16" t="inlineStr">
        <is>
          <t>13:26 IST</t>
        </is>
      </c>
      <c r="O58" s="16" t="n">
        <v>23995.95</v>
      </c>
      <c r="P58" s="16" t="n">
        <v>23767.45</v>
      </c>
      <c r="Q58" s="16" t="inlineStr">
        <is>
          <t>23900 CE</t>
        </is>
      </c>
      <c r="R58" s="16" t="inlineStr">
        <is>
          <t>24000 CE</t>
        </is>
      </c>
      <c r="S58" s="16" t="n">
        <v>27</v>
      </c>
      <c r="T58" s="16" t="n">
        <v>65</v>
      </c>
      <c r="U58" s="16" t="n">
        <v>1755</v>
      </c>
      <c r="V58" s="16" t="n">
        <v>27.86</v>
      </c>
      <c r="W58" s="16" t="n">
        <v>26.5</v>
      </c>
      <c r="X58" s="16" t="n">
        <v>48894.3</v>
      </c>
      <c r="Y58" s="16" t="n">
        <v>48949.19</v>
      </c>
      <c r="Z58" s="16" t="n">
        <v>126605.7</v>
      </c>
      <c r="AA58" s="16" t="n">
        <v>14668.29</v>
      </c>
      <c r="AB58" s="16" t="n">
        <v>14668.29</v>
      </c>
      <c r="AC58" s="16" t="n">
        <v>-2386.8</v>
      </c>
      <c r="AD58" s="16" t="n">
        <v>-4.9</v>
      </c>
      <c r="AE58" s="16" t="n">
        <v>40</v>
      </c>
      <c r="AF58" s="16" t="n">
        <v>6.11</v>
      </c>
      <c r="AG58" s="16" t="n">
        <v>0.1</v>
      </c>
      <c r="AH58" s="16" t="n">
        <v>1.47</v>
      </c>
      <c r="AI58" s="16" t="n">
        <v>7.22</v>
      </c>
      <c r="AJ58" s="16" t="n">
        <v>54.89</v>
      </c>
      <c r="AK58" s="16" t="n">
        <v>-2441.69</v>
      </c>
      <c r="AL58" s="16" t="inlineStr">
        <is>
          <t>FLAT</t>
        </is>
      </c>
      <c r="AM58" s="16" t="n">
        <v>50000</v>
      </c>
      <c r="AN58" s="16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10:35 IST</t>
        </is>
      </c>
      <c r="O59" s="15" t="n">
        <v>24021.3</v>
      </c>
      <c r="P59" s="15" t="n">
        <v>23995.95</v>
      </c>
      <c r="Q59" s="15" t="inlineStr">
        <is>
          <t>24000 CE</t>
        </is>
      </c>
      <c r="R59" s="15" t="inlineStr">
        <is>
          <t>24100 CE</t>
        </is>
      </c>
      <c r="S59" s="15" t="n">
        <v>35</v>
      </c>
      <c r="T59" s="15" t="n">
        <v>65</v>
      </c>
      <c r="U59" s="15" t="n">
        <v>2275</v>
      </c>
      <c r="V59" s="15" t="n">
        <v>20.86</v>
      </c>
      <c r="W59" s="15" t="n">
        <v>14.6</v>
      </c>
      <c r="X59" s="15" t="n">
        <v>47456.5</v>
      </c>
      <c r="Y59" s="15" t="n">
        <v>47511.17</v>
      </c>
      <c r="Z59" s="15" t="n">
        <v>180043.5</v>
      </c>
      <c r="AA59" s="15" t="n">
        <v>14236.95</v>
      </c>
      <c r="AB59" s="15" t="n">
        <v>14236.95</v>
      </c>
      <c r="AC59" s="15" t="n">
        <v>-14241.5</v>
      </c>
      <c r="AD59" s="15" t="n">
        <v>-30</v>
      </c>
      <c r="AE59" s="15" t="n">
        <v>40</v>
      </c>
      <c r="AF59" s="15" t="n">
        <v>5.93</v>
      </c>
      <c r="AG59" s="15" t="n">
        <v>0.09</v>
      </c>
      <c r="AH59" s="15" t="n">
        <v>1.42</v>
      </c>
      <c r="AI59" s="15" t="n">
        <v>7.22</v>
      </c>
      <c r="AJ59" s="15" t="n">
        <v>54.67</v>
      </c>
      <c r="AK59" s="15" t="n">
        <v>-14296.17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2026-07-28</t>
        </is>
      </c>
      <c r="B60" s="17" t="inlineStr">
        <is>
          <t>NIFTY</t>
        </is>
      </c>
      <c r="C60" s="17" t="inlineStr">
        <is>
          <t>Bull Call Spread</t>
        </is>
      </c>
      <c r="D60" s="17" t="inlineStr">
        <is>
          <t>Bull Call Spread</t>
        </is>
      </c>
      <c r="E60" s="17" t="inlineStr">
        <is>
          <t>SIMULATED</t>
        </is>
      </c>
      <c r="F60" s="17" t="inlineStr">
        <is>
          <t>BEARISH</t>
        </is>
      </c>
      <c r="G60" s="17" t="inlineStr">
        <is>
          <t>Price↓(23985.35&lt;23995.95) &amp; EMA9↓(24009.71&lt;24050.83)</t>
        </is>
      </c>
      <c r="H60" s="17" t="n">
        <v>24009.71</v>
      </c>
      <c r="I60" s="17" t="n">
        <v>24050.83</v>
      </c>
      <c r="J60" s="17" t="inlineStr">
        <is>
          <t>2026-07-30</t>
        </is>
      </c>
      <c r="K60" s="17" t="inlineStr">
        <is>
          <t>WEEKLY</t>
        </is>
      </c>
      <c r="L60" s="17" t="n">
        <v>2</v>
      </c>
      <c r="M60" s="17" t="inlineStr">
        <is>
          <t>09:20 IST</t>
        </is>
      </c>
      <c r="N60" s="17" t="inlineStr">
        <is>
          <t>12:20 IST</t>
        </is>
      </c>
      <c r="O60" s="17" t="n">
        <v>23985.35</v>
      </c>
      <c r="P60" s="17" t="n">
        <v>23995.95</v>
      </c>
      <c r="Q60" s="17" t="inlineStr">
        <is>
          <t>23900 CE</t>
        </is>
      </c>
      <c r="R60" s="17" t="inlineStr">
        <is>
          <t>24000 CE</t>
        </is>
      </c>
      <c r="S60" s="17" t="n">
        <v>36</v>
      </c>
      <c r="T60" s="17" t="n">
        <v>65</v>
      </c>
      <c r="U60" s="17" t="n">
        <v>2340</v>
      </c>
      <c r="V60" s="17" t="n">
        <v>20.64</v>
      </c>
      <c r="W60" s="17" t="n">
        <v>26.83</v>
      </c>
      <c r="X60" s="17" t="n">
        <v>48297.6</v>
      </c>
      <c r="Y60" s="17" t="n">
        <v>48352.4</v>
      </c>
      <c r="Z60" s="17" t="n">
        <v>185702.4</v>
      </c>
      <c r="AA60" s="17" t="n">
        <v>14489.28</v>
      </c>
      <c r="AB60" s="17" t="n">
        <v>14489.28</v>
      </c>
      <c r="AC60" s="17" t="n">
        <v>14484.6</v>
      </c>
      <c r="AD60" s="17" t="n">
        <v>30</v>
      </c>
      <c r="AE60" s="17" t="n">
        <v>40</v>
      </c>
      <c r="AF60" s="17" t="n">
        <v>6.04</v>
      </c>
      <c r="AG60" s="17" t="n">
        <v>0.1</v>
      </c>
      <c r="AH60" s="17" t="n">
        <v>1.45</v>
      </c>
      <c r="AI60" s="17" t="n">
        <v>7.22</v>
      </c>
      <c r="AJ60" s="17" t="n">
        <v>54.8</v>
      </c>
      <c r="AK60" s="17" t="n">
        <v>14429.8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2026-07-29</t>
        </is>
      </c>
      <c r="B61" s="15" t="inlineStr">
        <is>
          <t>NIFTY</t>
        </is>
      </c>
      <c r="C61" s="15" t="inlineStr">
        <is>
          <t>Bull Call Spread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BULLISH</t>
        </is>
      </c>
      <c r="G61" s="15" t="inlineStr">
        <is>
          <t>Price↑(24229.9&gt;23995.95) &amp; EMA9↑(24099.01&gt;24091.53)</t>
        </is>
      </c>
      <c r="H61" s="15" t="n">
        <v>24099.01</v>
      </c>
      <c r="I61" s="15" t="n">
        <v>24091.53</v>
      </c>
      <c r="J61" s="15" t="inlineStr">
        <is>
          <t>2026-07-30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09:34 IST</t>
        </is>
      </c>
      <c r="O61" s="15" t="n">
        <v>24229.9</v>
      </c>
      <c r="P61" s="15" t="n">
        <v>23995.95</v>
      </c>
      <c r="Q61" s="15" t="inlineStr">
        <is>
          <t>24200 CE</t>
        </is>
      </c>
      <c r="R61" s="15" t="inlineStr">
        <is>
          <t>24300 CE</t>
        </is>
      </c>
      <c r="S61" s="15" t="n">
        <v>32</v>
      </c>
      <c r="T61" s="15" t="n">
        <v>65</v>
      </c>
      <c r="U61" s="15" t="n">
        <v>2080</v>
      </c>
      <c r="V61" s="15" t="n">
        <v>23.42</v>
      </c>
      <c r="W61" s="15" t="n">
        <v>16.39</v>
      </c>
      <c r="X61" s="15" t="n">
        <v>48713.6</v>
      </c>
      <c r="Y61" s="15" t="n">
        <v>48768.47</v>
      </c>
      <c r="Z61" s="15" t="n">
        <v>159286.4</v>
      </c>
      <c r="AA61" s="15" t="n">
        <v>14614.08</v>
      </c>
      <c r="AB61" s="15" t="n">
        <v>14614.08</v>
      </c>
      <c r="AC61" s="15" t="n">
        <v>-14622.4</v>
      </c>
      <c r="AD61" s="15" t="n">
        <v>-30</v>
      </c>
      <c r="AE61" s="15" t="n">
        <v>40</v>
      </c>
      <c r="AF61" s="15" t="n">
        <v>6.09</v>
      </c>
      <c r="AG61" s="15" t="n">
        <v>0.1</v>
      </c>
      <c r="AH61" s="15" t="n">
        <v>1.46</v>
      </c>
      <c r="AI61" s="15" t="n">
        <v>7.22</v>
      </c>
      <c r="AJ61" s="15" t="n">
        <v>54.87</v>
      </c>
      <c r="AK61" s="15" t="n">
        <v>-14677.27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2026-07-29</t>
        </is>
      </c>
      <c r="B62" s="16" t="inlineStr">
        <is>
          <t>NIFTY</t>
        </is>
      </c>
      <c r="C62" s="16" t="inlineStr">
        <is>
          <t>Bull Call Spread</t>
        </is>
      </c>
      <c r="D62" s="16" t="inlineStr">
        <is>
          <t>Bull Call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Price:BULLISH EMA:BEARISH</t>
        </is>
      </c>
      <c r="H62" s="16" t="n">
        <v>24057.72</v>
      </c>
      <c r="I62" s="16" t="n">
        <v>24063.99</v>
      </c>
      <c r="J62" s="16" t="inlineStr">
        <is>
          <t>2026-07-30</t>
        </is>
      </c>
      <c r="K62" s="16" t="inlineStr">
        <is>
          <t>WEEKLY</t>
        </is>
      </c>
      <c r="L62" s="16" t="n">
        <v>1</v>
      </c>
      <c r="M62" s="16" t="inlineStr">
        <is>
          <t>09:20 IST</t>
        </is>
      </c>
      <c r="N62" s="16" t="inlineStr">
        <is>
          <t>15:08 IST</t>
        </is>
      </c>
      <c r="O62" s="16" t="n">
        <v>24250.2</v>
      </c>
      <c r="P62" s="16" t="n">
        <v>23985.35</v>
      </c>
      <c r="Q62" s="16" t="inlineStr">
        <is>
          <t>24200 CE</t>
        </is>
      </c>
      <c r="R62" s="16" t="inlineStr">
        <is>
          <t>24300 CE</t>
        </is>
      </c>
      <c r="S62" s="16" t="n">
        <v>47</v>
      </c>
      <c r="T62" s="16" t="n">
        <v>65</v>
      </c>
      <c r="U62" s="16" t="n">
        <v>3055</v>
      </c>
      <c r="V62" s="16" t="n">
        <v>15.61</v>
      </c>
      <c r="W62" s="16" t="n">
        <v>15.3</v>
      </c>
      <c r="X62" s="16" t="n">
        <v>47688.55</v>
      </c>
      <c r="Y62" s="16" t="n">
        <v>47743.25</v>
      </c>
      <c r="Z62" s="16" t="n">
        <v>257811.45</v>
      </c>
      <c r="AA62" s="16" t="n">
        <v>14306.57</v>
      </c>
      <c r="AB62" s="16" t="n">
        <v>14306.57</v>
      </c>
      <c r="AC62" s="16" t="n">
        <v>-947.05</v>
      </c>
      <c r="AD62" s="16" t="n">
        <v>-2</v>
      </c>
      <c r="AE62" s="16" t="n">
        <v>40</v>
      </c>
      <c r="AF62" s="16" t="n">
        <v>5.96</v>
      </c>
      <c r="AG62" s="16" t="n">
        <v>0.1</v>
      </c>
      <c r="AH62" s="16" t="n">
        <v>1.43</v>
      </c>
      <c r="AI62" s="16" t="n">
        <v>7.22</v>
      </c>
      <c r="AJ62" s="16" t="n">
        <v>54.7</v>
      </c>
      <c r="AK62" s="16" t="n">
        <v>-1001.75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6" t="inlineStr">
        <is>
          <t>2026-07-30</t>
        </is>
      </c>
      <c r="B63" s="16" t="inlineStr">
        <is>
          <t>NIFTY</t>
        </is>
      </c>
      <c r="C63" s="16" t="inlineStr">
        <is>
          <t>Bull Call Spread</t>
        </is>
      </c>
      <c r="D63" s="16" t="inlineStr">
        <is>
          <t>Bull Call Spread</t>
        </is>
      </c>
      <c r="E63" s="16" t="inlineStr">
        <is>
          <t>SIMULATED</t>
        </is>
      </c>
      <c r="F63" s="16" t="inlineStr">
        <is>
          <t>BULLISH</t>
        </is>
      </c>
      <c r="G63" s="16" t="inlineStr">
        <is>
          <t>Price↑(24269.6&gt;24250.2) &amp; EMA9↑(24099.7&gt;24078.34)</t>
        </is>
      </c>
      <c r="H63" s="16" t="n">
        <v>24099.7</v>
      </c>
      <c r="I63" s="16" t="n">
        <v>24078.34</v>
      </c>
      <c r="J63" s="16" t="inlineStr">
        <is>
          <t>2026-07-30</t>
        </is>
      </c>
      <c r="K63" s="16" t="inlineStr">
        <is>
          <t>WEEKLY</t>
        </is>
      </c>
      <c r="L63" s="16" t="n">
        <v>0</v>
      </c>
      <c r="M63" s="16" t="inlineStr">
        <is>
          <t>09:20 IST</t>
        </is>
      </c>
      <c r="N63" s="16" t="inlineStr">
        <is>
          <t>14:00 IST</t>
        </is>
      </c>
      <c r="O63" s="16" t="n">
        <v>24269.6</v>
      </c>
      <c r="P63" s="16" t="n">
        <v>24250.2</v>
      </c>
      <c r="Q63" s="16" t="inlineStr">
        <is>
          <t>24200 CE</t>
        </is>
      </c>
      <c r="R63" s="16" t="inlineStr">
        <is>
          <t>24300 CE</t>
        </is>
      </c>
      <c r="S63" s="16" t="n">
        <v>33</v>
      </c>
      <c r="T63" s="16" t="n">
        <v>65</v>
      </c>
      <c r="U63" s="16" t="n">
        <v>2145</v>
      </c>
      <c r="V63" s="16" t="n">
        <v>22.17</v>
      </c>
      <c r="W63" s="16" t="n">
        <v>21.25</v>
      </c>
      <c r="X63" s="16" t="n">
        <v>47554.65</v>
      </c>
      <c r="Y63" s="16" t="n">
        <v>47609.33</v>
      </c>
      <c r="Z63" s="16" t="n">
        <v>166945.35</v>
      </c>
      <c r="AA63" s="16" t="n">
        <v>14266.4</v>
      </c>
      <c r="AB63" s="16" t="n">
        <v>14266.4</v>
      </c>
      <c r="AC63" s="16" t="n">
        <v>-1973.4</v>
      </c>
      <c r="AD63" s="16" t="n">
        <v>-4.1</v>
      </c>
      <c r="AE63" s="16" t="n">
        <v>40</v>
      </c>
      <c r="AF63" s="16" t="n">
        <v>5.94</v>
      </c>
      <c r="AG63" s="16" t="n">
        <v>0.1</v>
      </c>
      <c r="AH63" s="16" t="n">
        <v>1.43</v>
      </c>
      <c r="AI63" s="16" t="n">
        <v>7.22</v>
      </c>
      <c r="AJ63" s="16" t="n">
        <v>54.68</v>
      </c>
      <c r="AK63" s="16" t="n">
        <v>-2028.08</v>
      </c>
      <c r="AL63" s="16" t="inlineStr">
        <is>
          <t>FLAT</t>
        </is>
      </c>
      <c r="AM63" s="16" t="n">
        <v>50000</v>
      </c>
      <c r="AN63" s="16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Bull Call Spread</t>
        </is>
      </c>
      <c r="D64" s="16" t="inlineStr">
        <is>
          <t>Bull Call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14:33 IST</t>
        </is>
      </c>
      <c r="O64" s="16" t="n">
        <v>24317.15</v>
      </c>
      <c r="P64" s="16" t="n">
        <v>24250.2</v>
      </c>
      <c r="Q64" s="16" t="inlineStr">
        <is>
          <t>24300 CE</t>
        </is>
      </c>
      <c r="R64" s="16" t="inlineStr">
        <is>
          <t>24400 CE</t>
        </is>
      </c>
      <c r="S64" s="16" t="n">
        <v>32</v>
      </c>
      <c r="T64" s="16" t="n">
        <v>65</v>
      </c>
      <c r="U64" s="16" t="n">
        <v>2080</v>
      </c>
      <c r="V64" s="16" t="n">
        <v>23</v>
      </c>
      <c r="W64" s="16" t="n">
        <v>22.48</v>
      </c>
      <c r="X64" s="16" t="n">
        <v>47840</v>
      </c>
      <c r="Y64" s="16" t="n">
        <v>47894.73</v>
      </c>
      <c r="Z64" s="16" t="n">
        <v>160160</v>
      </c>
      <c r="AA64" s="16" t="n">
        <v>14352</v>
      </c>
      <c r="AB64" s="16" t="n">
        <v>14352</v>
      </c>
      <c r="AC64" s="16" t="n">
        <v>-1081.6</v>
      </c>
      <c r="AD64" s="16" t="n">
        <v>-2.3</v>
      </c>
      <c r="AE64" s="16" t="n">
        <v>40</v>
      </c>
      <c r="AF64" s="16" t="n">
        <v>5.98</v>
      </c>
      <c r="AG64" s="16" t="n">
        <v>0.1</v>
      </c>
      <c r="AH64" s="16" t="n">
        <v>1.44</v>
      </c>
      <c r="AI64" s="16" t="n">
        <v>7.22</v>
      </c>
      <c r="AJ64" s="16" t="n">
        <v>54.73</v>
      </c>
      <c r="AK64" s="16" t="n">
        <v>-1136.33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NIFTY</t>
        </is>
      </c>
      <c r="C65" s="17" t="inlineStr">
        <is>
          <t>Bull Call Spread</t>
        </is>
      </c>
      <c r="D65" s="17" t="inlineStr">
        <is>
          <t>Bull Call Spread</t>
        </is>
      </c>
      <c r="E65" s="17" t="inlineStr">
        <is>
          <t>SIMULATED</t>
        </is>
      </c>
      <c r="F65" s="17" t="inlineStr">
        <is>
          <t>BULLISH</t>
        </is>
      </c>
      <c r="G65" s="17" t="inlineStr">
        <is>
          <t>Price↑(24367.65&gt;24317.15) &amp; EMA9↑(24160.61&gt;24108.83)</t>
        </is>
      </c>
      <c r="H65" s="17" t="n">
        <v>24160.61</v>
      </c>
      <c r="I65" s="17" t="n">
        <v>24108.83</v>
      </c>
      <c r="J65" s="17" t="inlineStr">
        <is>
          <t>2026-08-06</t>
        </is>
      </c>
      <c r="K65" s="17" t="inlineStr">
        <is>
          <t>WEEKLY</t>
        </is>
      </c>
      <c r="L65" s="17" t="n">
        <v>6</v>
      </c>
      <c r="M65" s="17" t="inlineStr">
        <is>
          <t>09:20 IST</t>
        </is>
      </c>
      <c r="N65" s="17" t="inlineStr">
        <is>
          <t>12:10 IST</t>
        </is>
      </c>
      <c r="O65" s="17" t="n">
        <v>24367.65</v>
      </c>
      <c r="P65" s="17" t="n">
        <v>24317.15</v>
      </c>
      <c r="Q65" s="17" t="inlineStr">
        <is>
          <t>24300 CE</t>
        </is>
      </c>
      <c r="R65" s="17" t="inlineStr">
        <is>
          <t>24400 CE</t>
        </is>
      </c>
      <c r="S65" s="17" t="n">
        <v>25</v>
      </c>
      <c r="T65" s="17" t="n">
        <v>65</v>
      </c>
      <c r="U65" s="17" t="n">
        <v>1625</v>
      </c>
      <c r="V65" s="17" t="n">
        <v>29.05</v>
      </c>
      <c r="W65" s="17" t="n">
        <v>37.77</v>
      </c>
      <c r="X65" s="17" t="n">
        <v>47206.25</v>
      </c>
      <c r="Y65" s="17" t="n">
        <v>47260.88</v>
      </c>
      <c r="Z65" s="17" t="n">
        <v>115293.75</v>
      </c>
      <c r="AA65" s="17" t="n">
        <v>14161.88</v>
      </c>
      <c r="AB65" s="17" t="n">
        <v>14161.88</v>
      </c>
      <c r="AC65" s="17" t="n">
        <v>14170</v>
      </c>
      <c r="AD65" s="17" t="n">
        <v>30</v>
      </c>
      <c r="AE65" s="17" t="n">
        <v>40</v>
      </c>
      <c r="AF65" s="17" t="n">
        <v>5.9</v>
      </c>
      <c r="AG65" s="17" t="n">
        <v>0.09</v>
      </c>
      <c r="AH65" s="17" t="n">
        <v>1.42</v>
      </c>
      <c r="AI65" s="17" t="n">
        <v>7.22</v>
      </c>
      <c r="AJ65" s="17" t="n">
        <v>54.63</v>
      </c>
      <c r="AK65" s="17" t="n">
        <v>14115.37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10:16 IST</t>
        </is>
      </c>
      <c r="O66" s="17" t="n">
        <v>24383.6</v>
      </c>
      <c r="P66" s="17" t="n">
        <v>24317.15</v>
      </c>
      <c r="Q66" s="17" t="inlineStr">
        <is>
          <t>24300 CE</t>
        </is>
      </c>
      <c r="R66" s="17" t="inlineStr">
        <is>
          <t>24400 CE</t>
        </is>
      </c>
      <c r="S66" s="17" t="n">
        <v>24</v>
      </c>
      <c r="T66" s="17" t="n">
        <v>65</v>
      </c>
      <c r="U66" s="17" t="n">
        <v>1560</v>
      </c>
      <c r="V66" s="17" t="n">
        <v>30.4</v>
      </c>
      <c r="W66" s="17" t="n">
        <v>39.52</v>
      </c>
      <c r="X66" s="17" t="n">
        <v>47424</v>
      </c>
      <c r="Y66" s="17" t="n">
        <v>47478.66</v>
      </c>
      <c r="Z66" s="17" t="n">
        <v>108576</v>
      </c>
      <c r="AA66" s="17" t="n">
        <v>14227.2</v>
      </c>
      <c r="AB66" s="17" t="n">
        <v>14227.2</v>
      </c>
      <c r="AC66" s="17" t="n">
        <v>14227.2</v>
      </c>
      <c r="AD66" s="17" t="n">
        <v>30</v>
      </c>
      <c r="AE66" s="17" t="n">
        <v>40</v>
      </c>
      <c r="AF66" s="17" t="n">
        <v>5.93</v>
      </c>
      <c r="AG66" s="17" t="n">
        <v>0.09</v>
      </c>
      <c r="AH66" s="17" t="n">
        <v>1.42</v>
      </c>
      <c r="AI66" s="17" t="n">
        <v>7.22</v>
      </c>
      <c r="AJ66" s="17" t="n">
        <v>54.66</v>
      </c>
      <c r="AK66" s="17" t="n">
        <v>14172.54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NIFTY</t>
        </is>
      </c>
      <c r="C67" s="17" t="inlineStr">
        <is>
          <t>Bull Call Spread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Price↑(24606.4&gt;24383.6) &amp; EMA9↑(24251.81&gt;24157.86)</t>
        </is>
      </c>
      <c r="H67" s="17" t="n">
        <v>24251.81</v>
      </c>
      <c r="I67" s="17" t="n">
        <v>24157.86</v>
      </c>
      <c r="J67" s="17" t="inlineStr">
        <is>
          <t>2026-08-06</t>
        </is>
      </c>
      <c r="K67" s="17" t="inlineStr">
        <is>
          <t>WEEKLY</t>
        </is>
      </c>
      <c r="L67" s="17" t="n">
        <v>3</v>
      </c>
      <c r="M67" s="17" t="inlineStr">
        <is>
          <t>09:20 IST</t>
        </is>
      </c>
      <c r="N67" s="17" t="inlineStr">
        <is>
          <t>12:19 IST</t>
        </is>
      </c>
      <c r="O67" s="17" t="n">
        <v>24606.4</v>
      </c>
      <c r="P67" s="17" t="n">
        <v>24383.6</v>
      </c>
      <c r="Q67" s="17" t="inlineStr">
        <is>
          <t>24600 CE</t>
        </is>
      </c>
      <c r="R67" s="17" t="inlineStr">
        <is>
          <t>24700 CE</t>
        </is>
      </c>
      <c r="S67" s="17" t="n">
        <v>21</v>
      </c>
      <c r="T67" s="17" t="n">
        <v>65</v>
      </c>
      <c r="U67" s="17" t="n">
        <v>1365</v>
      </c>
      <c r="V67" s="17" t="n">
        <v>35.64</v>
      </c>
      <c r="W67" s="17" t="n">
        <v>46.33</v>
      </c>
      <c r="X67" s="17" t="n">
        <v>48648.6</v>
      </c>
      <c r="Y67" s="17" t="n">
        <v>48703.46</v>
      </c>
      <c r="Z67" s="17" t="n">
        <v>87851.39999999999</v>
      </c>
      <c r="AA67" s="17" t="n">
        <v>14594.58</v>
      </c>
      <c r="AB67" s="17" t="n">
        <v>14594.58</v>
      </c>
      <c r="AC67" s="17" t="n">
        <v>14591.85</v>
      </c>
      <c r="AD67" s="17" t="n">
        <v>30</v>
      </c>
      <c r="AE67" s="17" t="n">
        <v>40</v>
      </c>
      <c r="AF67" s="17" t="n">
        <v>6.08</v>
      </c>
      <c r="AG67" s="17" t="n">
        <v>0.1</v>
      </c>
      <c r="AH67" s="17" t="n">
        <v>1.46</v>
      </c>
      <c r="AI67" s="17" t="n">
        <v>7.22</v>
      </c>
      <c r="AJ67" s="17" t="n">
        <v>54.86</v>
      </c>
      <c r="AK67" s="17" t="n">
        <v>14536.99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09:49 IST</t>
        </is>
      </c>
      <c r="O68" s="15" t="n">
        <v>24774.3</v>
      </c>
      <c r="P68" s="15" t="n">
        <v>24383.6</v>
      </c>
      <c r="Q68" s="15" t="inlineStr">
        <is>
          <t>24700 CE</t>
        </is>
      </c>
      <c r="R68" s="15" t="inlineStr">
        <is>
          <t>24800 CE</t>
        </is>
      </c>
      <c r="S68" s="15" t="n">
        <v>21</v>
      </c>
      <c r="T68" s="15" t="n">
        <v>65</v>
      </c>
      <c r="U68" s="15" t="n">
        <v>1365</v>
      </c>
      <c r="V68" s="15" t="n">
        <v>35.61</v>
      </c>
      <c r="W68" s="15" t="n">
        <v>24.93</v>
      </c>
      <c r="X68" s="15" t="n">
        <v>48607.65</v>
      </c>
      <c r="Y68" s="15" t="n">
        <v>48662.5</v>
      </c>
      <c r="Z68" s="15" t="n">
        <v>87892.35000000001</v>
      </c>
      <c r="AA68" s="15" t="n">
        <v>14582.3</v>
      </c>
      <c r="AB68" s="15" t="n">
        <v>14582.3</v>
      </c>
      <c r="AC68" s="15" t="n">
        <v>-14578.2</v>
      </c>
      <c r="AD68" s="15" t="n">
        <v>-30</v>
      </c>
      <c r="AE68" s="15" t="n">
        <v>40</v>
      </c>
      <c r="AF68" s="15" t="n">
        <v>6.08</v>
      </c>
      <c r="AG68" s="15" t="n">
        <v>0.1</v>
      </c>
      <c r="AH68" s="15" t="n">
        <v>1.46</v>
      </c>
      <c r="AI68" s="15" t="n">
        <v>7.22</v>
      </c>
      <c r="AJ68" s="15" t="n">
        <v>54.85</v>
      </c>
      <c r="AK68" s="15" t="n">
        <v>-14633.05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Bull Call Spread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11:50 IST</t>
        </is>
      </c>
      <c r="O69" s="17" t="n">
        <v>24552.85</v>
      </c>
      <c r="P69" s="17" t="n">
        <v>24383.6</v>
      </c>
      <c r="Q69" s="17" t="inlineStr">
        <is>
          <t>24500 CE</t>
        </is>
      </c>
      <c r="R69" s="17" t="inlineStr">
        <is>
          <t>24600 CE</t>
        </is>
      </c>
      <c r="S69" s="17" t="n">
        <v>33</v>
      </c>
      <c r="T69" s="17" t="n">
        <v>65</v>
      </c>
      <c r="U69" s="17" t="n">
        <v>2145</v>
      </c>
      <c r="V69" s="17" t="n">
        <v>22.2</v>
      </c>
      <c r="W69" s="17" t="n">
        <v>28.86</v>
      </c>
      <c r="X69" s="17" t="n">
        <v>47619</v>
      </c>
      <c r="Y69" s="17" t="n">
        <v>47673.69</v>
      </c>
      <c r="Z69" s="17" t="n">
        <v>166881</v>
      </c>
      <c r="AA69" s="17" t="n">
        <v>14285.7</v>
      </c>
      <c r="AB69" s="17" t="n">
        <v>14285.7</v>
      </c>
      <c r="AC69" s="17" t="n">
        <v>14285.7</v>
      </c>
      <c r="AD69" s="17" t="n">
        <v>30</v>
      </c>
      <c r="AE69" s="17" t="n">
        <v>40</v>
      </c>
      <c r="AF69" s="17" t="n">
        <v>5.95</v>
      </c>
      <c r="AG69" s="17" t="n">
        <v>0.1</v>
      </c>
      <c r="AH69" s="17" t="n">
        <v>1.43</v>
      </c>
      <c r="AI69" s="17" t="n">
        <v>7.22</v>
      </c>
      <c r="AJ69" s="17" t="n">
        <v>54.69</v>
      </c>
      <c r="AK69" s="17" t="n">
        <v>14231.01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NIFTY</t>
        </is>
      </c>
      <c r="C70" s="16" t="inlineStr">
        <is>
          <t>Bull Call Spread</t>
        </is>
      </c>
      <c r="D70" s="16" t="inlineStr">
        <is>
          <t>Bull Call Spread</t>
        </is>
      </c>
      <c r="E70" s="16" t="inlineStr">
        <is>
          <t>SIMULATED</t>
        </is>
      </c>
      <c r="F70" s="16" t="inlineStr">
        <is>
          <t>SKIP</t>
        </is>
      </c>
      <c r="G70" s="16" t="inlineStr">
        <is>
          <t>Conflicting — Price:BEARISH EMA:BULLISH</t>
        </is>
      </c>
      <c r="H70" s="16" t="n">
        <v>24351.26</v>
      </c>
      <c r="I70" s="16" t="n">
        <v>24224.31</v>
      </c>
      <c r="J70" s="16" t="inlineStr">
        <is>
          <t>2026-08-06</t>
        </is>
      </c>
      <c r="K70" s="16" t="inlineStr">
        <is>
          <t>WEEKLY</t>
        </is>
      </c>
      <c r="L70" s="16" t="n">
        <v>2</v>
      </c>
      <c r="M70" s="16" t="inlineStr">
        <is>
          <t>09:20 IST</t>
        </is>
      </c>
      <c r="N70" s="16" t="inlineStr">
        <is>
          <t>13:24 IST</t>
        </is>
      </c>
      <c r="O70" s="16" t="n">
        <v>24614.9</v>
      </c>
      <c r="P70" s="16" t="n">
        <v>24774.3</v>
      </c>
      <c r="Q70" s="16" t="inlineStr">
        <is>
          <t>24600 CE</t>
        </is>
      </c>
      <c r="R70" s="16" t="inlineStr">
        <is>
          <t>24700 CE</t>
        </is>
      </c>
      <c r="S70" s="16" t="n">
        <v>36</v>
      </c>
      <c r="T70" s="16" t="n">
        <v>65</v>
      </c>
      <c r="U70" s="16" t="n">
        <v>2340</v>
      </c>
      <c r="V70" s="16" t="n">
        <v>20.58</v>
      </c>
      <c r="W70" s="16" t="n">
        <v>20.43</v>
      </c>
      <c r="X70" s="16" t="n">
        <v>48157.2</v>
      </c>
      <c r="Y70" s="16" t="n">
        <v>48211.98</v>
      </c>
      <c r="Z70" s="16" t="n">
        <v>185842.8</v>
      </c>
      <c r="AA70" s="16" t="n">
        <v>14447.16</v>
      </c>
      <c r="AB70" s="16" t="n">
        <v>14447.16</v>
      </c>
      <c r="AC70" s="16" t="n">
        <v>-351</v>
      </c>
      <c r="AD70" s="16" t="n">
        <v>-0.7</v>
      </c>
      <c r="AE70" s="16" t="n">
        <v>40</v>
      </c>
      <c r="AF70" s="16" t="n">
        <v>6.02</v>
      </c>
      <c r="AG70" s="16" t="n">
        <v>0.1</v>
      </c>
      <c r="AH70" s="16" t="n">
        <v>1.44</v>
      </c>
      <c r="AI70" s="16" t="n">
        <v>7.22</v>
      </c>
      <c r="AJ70" s="16" t="n">
        <v>54.78</v>
      </c>
      <c r="AK70" s="16" t="n">
        <v>-405.78</v>
      </c>
      <c r="AL70" s="16" t="inlineStr">
        <is>
          <t>FLAT</t>
        </is>
      </c>
      <c r="AM70" s="16" t="n">
        <v>50000</v>
      </c>
      <c r="AN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Bull Call Spread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12:01 IST</t>
        </is>
      </c>
      <c r="O71" s="17" t="n">
        <v>24598.1</v>
      </c>
      <c r="P71" s="17" t="n">
        <v>24614.9</v>
      </c>
      <c r="Q71" s="17" t="inlineStr">
        <is>
          <t>24500 CE</t>
        </is>
      </c>
      <c r="R71" s="17" t="inlineStr">
        <is>
          <t>24600 CE</t>
        </is>
      </c>
      <c r="S71" s="17" t="n">
        <v>34</v>
      </c>
      <c r="T71" s="17" t="n">
        <v>65</v>
      </c>
      <c r="U71" s="17" t="n">
        <v>2210</v>
      </c>
      <c r="V71" s="17" t="n">
        <v>21.78</v>
      </c>
      <c r="W71" s="17" t="n">
        <v>28.31</v>
      </c>
      <c r="X71" s="17" t="n">
        <v>48133.8</v>
      </c>
      <c r="Y71" s="17" t="n">
        <v>48188.57</v>
      </c>
      <c r="Z71" s="17" t="n">
        <v>172866.2</v>
      </c>
      <c r="AA71" s="17" t="n">
        <v>14440.14</v>
      </c>
      <c r="AB71" s="17" t="n">
        <v>14440.14</v>
      </c>
      <c r="AC71" s="17" t="n">
        <v>14431.3</v>
      </c>
      <c r="AD71" s="17" t="n">
        <v>30</v>
      </c>
      <c r="AE71" s="17" t="n">
        <v>40</v>
      </c>
      <c r="AF71" s="17" t="n">
        <v>6.02</v>
      </c>
      <c r="AG71" s="17" t="n">
        <v>0.1</v>
      </c>
      <c r="AH71" s="17" t="n">
        <v>1.44</v>
      </c>
      <c r="AI71" s="17" t="n">
        <v>7.22</v>
      </c>
      <c r="AJ71" s="17" t="n">
        <v>54.77</v>
      </c>
      <c r="AK71" s="17" t="n">
        <v>14376.53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NIFTY</t>
        </is>
      </c>
      <c r="C72" s="15" t="inlineStr">
        <is>
          <t>Bull Call Spread</t>
        </is>
      </c>
      <c r="D72" s="15" t="inlineStr">
        <is>
          <t>Bull Call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Price↑(24624.65&gt;24614.9) &amp; EMA9↑(24406.33&gt;24269.49)</t>
        </is>
      </c>
      <c r="H72" s="15" t="n">
        <v>24406.33</v>
      </c>
      <c r="I72" s="15" t="n">
        <v>24269.49</v>
      </c>
      <c r="J72" s="15" t="inlineStr">
        <is>
          <t>2026-08-06</t>
        </is>
      </c>
      <c r="K72" s="15" t="inlineStr">
        <is>
          <t>WEEKLY</t>
        </is>
      </c>
      <c r="L72" s="15" t="n">
        <v>1</v>
      </c>
      <c r="M72" s="15" t="inlineStr">
        <is>
          <t>09:20 IST</t>
        </is>
      </c>
      <c r="N72" s="15" t="inlineStr">
        <is>
          <t>10:59 IST</t>
        </is>
      </c>
      <c r="O72" s="15" t="n">
        <v>24624.65</v>
      </c>
      <c r="P72" s="15" t="n">
        <v>24614.9</v>
      </c>
      <c r="Q72" s="15" t="inlineStr">
        <is>
          <t>24600 CE</t>
        </is>
      </c>
      <c r="R72" s="15" t="inlineStr">
        <is>
          <t>24700 CE</t>
        </is>
      </c>
      <c r="S72" s="15" t="n">
        <v>43</v>
      </c>
      <c r="T72" s="15" t="n">
        <v>65</v>
      </c>
      <c r="U72" s="15" t="n">
        <v>2795</v>
      </c>
      <c r="V72" s="15" t="n">
        <v>17.27</v>
      </c>
      <c r="W72" s="15" t="n">
        <v>12.09</v>
      </c>
      <c r="X72" s="15" t="n">
        <v>48269.65</v>
      </c>
      <c r="Y72" s="15" t="n">
        <v>48324.45</v>
      </c>
      <c r="Z72" s="15" t="n">
        <v>231230.35</v>
      </c>
      <c r="AA72" s="15" t="n">
        <v>14480.9</v>
      </c>
      <c r="AB72" s="15" t="n">
        <v>14480.9</v>
      </c>
      <c r="AC72" s="15" t="n">
        <v>-14478.1</v>
      </c>
      <c r="AD72" s="15" t="n">
        <v>-30</v>
      </c>
      <c r="AE72" s="15" t="n">
        <v>40</v>
      </c>
      <c r="AF72" s="15" t="n">
        <v>6.03</v>
      </c>
      <c r="AG72" s="15" t="n">
        <v>0.1</v>
      </c>
      <c r="AH72" s="15" t="n">
        <v>1.45</v>
      </c>
      <c r="AI72" s="15" t="n">
        <v>7.22</v>
      </c>
      <c r="AJ72" s="15" t="n">
        <v>54.8</v>
      </c>
      <c r="AK72" s="15" t="n">
        <v>-14532.9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BULLISH</t>
        </is>
      </c>
      <c r="G73" s="17" t="inlineStr">
        <is>
          <t>Price↑(24630.75&gt;24624.65) &amp; EMA9↑(24451.45&gt;24305.23)</t>
        </is>
      </c>
      <c r="H73" s="17" t="n">
        <v>24451.45</v>
      </c>
      <c r="I73" s="17" t="n">
        <v>24305.23</v>
      </c>
      <c r="J73" s="17" t="inlineStr">
        <is>
          <t>2026-08-06</t>
        </is>
      </c>
      <c r="K73" s="17" t="inlineStr">
        <is>
          <t>WEEKLY</t>
        </is>
      </c>
      <c r="L73" s="17" t="n">
        <v>0</v>
      </c>
      <c r="M73" s="17" t="inlineStr">
        <is>
          <t>09:20 IST</t>
        </is>
      </c>
      <c r="N73" s="17" t="inlineStr">
        <is>
          <t>11:41 IST</t>
        </is>
      </c>
      <c r="O73" s="17" t="n">
        <v>24630.75</v>
      </c>
      <c r="P73" s="17" t="n">
        <v>24624.65</v>
      </c>
      <c r="Q73" s="17" t="inlineStr">
        <is>
          <t>24600 CE</t>
        </is>
      </c>
      <c r="R73" s="17" t="inlineStr">
        <is>
          <t>24700 CE</t>
        </is>
      </c>
      <c r="S73" s="17" t="n">
        <v>44</v>
      </c>
      <c r="T73" s="17" t="n">
        <v>65</v>
      </c>
      <c r="U73" s="17" t="n">
        <v>2860</v>
      </c>
      <c r="V73" s="17" t="n">
        <v>16.48</v>
      </c>
      <c r="W73" s="17" t="n">
        <v>21.42</v>
      </c>
      <c r="X73" s="17" t="n">
        <v>47132.8</v>
      </c>
      <c r="Y73" s="17" t="n">
        <v>47187.42</v>
      </c>
      <c r="Z73" s="17" t="n">
        <v>238867.2</v>
      </c>
      <c r="AA73" s="17" t="n">
        <v>14139.84</v>
      </c>
      <c r="AB73" s="17" t="n">
        <v>14139.84</v>
      </c>
      <c r="AC73" s="17" t="n">
        <v>14128.4</v>
      </c>
      <c r="AD73" s="17" t="n">
        <v>30</v>
      </c>
      <c r="AE73" s="17" t="n">
        <v>40</v>
      </c>
      <c r="AF73" s="17" t="n">
        <v>5.89</v>
      </c>
      <c r="AG73" s="17" t="n">
        <v>0.09</v>
      </c>
      <c r="AH73" s="17" t="n">
        <v>1.41</v>
      </c>
      <c r="AI73" s="17" t="n">
        <v>7.22</v>
      </c>
      <c r="AJ73" s="17" t="n">
        <v>54.62</v>
      </c>
      <c r="AK73" s="17" t="n">
        <v>14073.78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24478.6</v>
      </c>
      <c r="I74" s="16" t="n">
        <v>24330.91</v>
      </c>
      <c r="J74" s="16" t="inlineStr">
        <is>
          <t>2026-08-13</t>
        </is>
      </c>
      <c r="K74" s="16" t="inlineStr">
        <is>
          <t>WEEKLY</t>
        </is>
      </c>
      <c r="L74" s="16" t="n">
        <v>6</v>
      </c>
      <c r="M74" s="16" t="inlineStr">
        <is>
          <t>09:20 IST</t>
        </is>
      </c>
      <c r="N74" s="16" t="inlineStr">
        <is>
          <t>14:40 IST</t>
        </is>
      </c>
      <c r="O74" s="16" t="n">
        <v>24583</v>
      </c>
      <c r="P74" s="16" t="n">
        <v>24636</v>
      </c>
      <c r="Q74" s="16" t="inlineStr">
        <is>
          <t>24500 CE</t>
        </is>
      </c>
      <c r="R74" s="16" t="inlineStr">
        <is>
          <t>24600 CE</t>
        </is>
      </c>
      <c r="S74" s="16" t="n">
        <v>28</v>
      </c>
      <c r="T74" s="16" t="n">
        <v>65</v>
      </c>
      <c r="U74" s="16" t="n">
        <v>1820</v>
      </c>
      <c r="V74" s="16" t="n">
        <v>26.75</v>
      </c>
      <c r="W74" s="16" t="n">
        <v>26.72</v>
      </c>
      <c r="X74" s="16" t="n">
        <v>48685</v>
      </c>
      <c r="Y74" s="16" t="n">
        <v>48739.86</v>
      </c>
      <c r="Z74" s="16" t="n">
        <v>133315</v>
      </c>
      <c r="AA74" s="16" t="n">
        <v>14605.5</v>
      </c>
      <c r="AB74" s="16" t="n">
        <v>14605.5</v>
      </c>
      <c r="AC74" s="16" t="n">
        <v>-54.6</v>
      </c>
      <c r="AD74" s="16" t="n">
        <v>-0.1</v>
      </c>
      <c r="AE74" s="16" t="n">
        <v>40</v>
      </c>
      <c r="AF74" s="16" t="n">
        <v>6.09</v>
      </c>
      <c r="AG74" s="16" t="n">
        <v>0.1</v>
      </c>
      <c r="AH74" s="16" t="n">
        <v>1.46</v>
      </c>
      <c r="AI74" s="16" t="n">
        <v>7.22</v>
      </c>
      <c r="AJ74" s="16" t="n">
        <v>54.86</v>
      </c>
      <c r="AK74" s="16" t="n">
        <v>-109.46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  <row r="75">
      <c r="A75" s="17" t="inlineStr">
        <is>
          <t>2026-08-07</t>
        </is>
      </c>
      <c r="B75" s="17" t="inlineStr">
        <is>
          <t>NIFTY</t>
        </is>
      </c>
      <c r="C75" s="17" t="inlineStr">
        <is>
          <t>Bull Call Spread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24476.13</v>
      </c>
      <c r="I75" s="17" t="n">
        <v>24329.79</v>
      </c>
      <c r="J75" s="17" t="inlineStr">
        <is>
          <t>2026-08-13</t>
        </is>
      </c>
      <c r="K75" s="17" t="inlineStr">
        <is>
          <t>WEEKLY</t>
        </is>
      </c>
      <c r="L75" s="17" t="n">
        <v>6</v>
      </c>
      <c r="M75" s="17" t="inlineStr">
        <is>
          <t>09:20 IST</t>
        </is>
      </c>
      <c r="N75" s="17" t="inlineStr">
        <is>
          <t>12:02 IST</t>
        </is>
      </c>
      <c r="O75" s="17" t="n">
        <v>24570.65</v>
      </c>
      <c r="P75" s="17" t="n">
        <v>24636</v>
      </c>
      <c r="Q75" s="17" t="inlineStr">
        <is>
          <t>24500 CE</t>
        </is>
      </c>
      <c r="R75" s="17" t="inlineStr">
        <is>
          <t>24600 CE</t>
        </is>
      </c>
      <c r="S75" s="17" t="n">
        <v>26</v>
      </c>
      <c r="T75" s="17" t="n">
        <v>65</v>
      </c>
      <c r="U75" s="17" t="n">
        <v>1690</v>
      </c>
      <c r="V75" s="17" t="n">
        <v>28.62</v>
      </c>
      <c r="W75" s="17" t="n">
        <v>37.21</v>
      </c>
      <c r="X75" s="17" t="n">
        <v>48367.8</v>
      </c>
      <c r="Y75" s="17" t="n">
        <v>48422.61</v>
      </c>
      <c r="Z75" s="17" t="n">
        <v>120632.2</v>
      </c>
      <c r="AA75" s="17" t="n">
        <v>14510.34</v>
      </c>
      <c r="AB75" s="17" t="n">
        <v>14510.34</v>
      </c>
      <c r="AC75" s="17" t="n">
        <v>14517.1</v>
      </c>
      <c r="AD75" s="17" t="n">
        <v>30</v>
      </c>
      <c r="AE75" s="17" t="n">
        <v>40</v>
      </c>
      <c r="AF75" s="17" t="n">
        <v>6.05</v>
      </c>
      <c r="AG75" s="17" t="n">
        <v>0.1</v>
      </c>
      <c r="AH75" s="17" t="n">
        <v>1.45</v>
      </c>
      <c r="AI75" s="17" t="n">
        <v>7.22</v>
      </c>
      <c r="AJ75" s="17" t="n">
        <v>54.81</v>
      </c>
      <c r="AK75" s="17" t="n">
        <v>14462.29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NIFTY</t>
        </is>
      </c>
      <c r="C76" s="16" t="inlineStr">
        <is>
          <t>Bull Call Spread</t>
        </is>
      </c>
      <c r="D76" s="16" t="inlineStr">
        <is>
          <t>Bull Call Spread</t>
        </is>
      </c>
      <c r="E76" s="16" t="inlineStr">
        <is>
          <t>SIMULATED</t>
        </is>
      </c>
      <c r="F76" s="16" t="inlineStr">
        <is>
          <t>BULLISH</t>
        </is>
      </c>
      <c r="G76" s="16" t="inlineStr">
        <is>
          <t>Price↑(24597.3&gt;24570.65) &amp; EMA9↑(24500.44&gt;24359.04)</t>
        </is>
      </c>
      <c r="H76" s="16" t="n">
        <v>24500.44</v>
      </c>
      <c r="I76" s="16" t="n">
        <v>24359.04</v>
      </c>
      <c r="J76" s="16" t="inlineStr">
        <is>
          <t>2026-08-13</t>
        </is>
      </c>
      <c r="K76" s="16" t="inlineStr">
        <is>
          <t>WEEKLY</t>
        </is>
      </c>
      <c r="L76" s="16" t="n">
        <v>3</v>
      </c>
      <c r="M76" s="16" t="inlineStr">
        <is>
          <t>09:20 IST</t>
        </is>
      </c>
      <c r="N76" s="16" t="inlineStr">
        <is>
          <t>13:59 IST</t>
        </is>
      </c>
      <c r="O76" s="16" t="n">
        <v>24597.3</v>
      </c>
      <c r="P76" s="16" t="n">
        <v>24570.65</v>
      </c>
      <c r="Q76" s="16" t="inlineStr">
        <is>
          <t>24500 CE</t>
        </is>
      </c>
      <c r="R76" s="16" t="inlineStr">
        <is>
          <t>24600 CE</t>
        </is>
      </c>
      <c r="S76" s="16" t="n">
        <v>19</v>
      </c>
      <c r="T76" s="16" t="n">
        <v>65</v>
      </c>
      <c r="U76" s="16" t="n">
        <v>1235</v>
      </c>
      <c r="V76" s="16" t="n">
        <v>39.6</v>
      </c>
      <c r="W76" s="16" t="n">
        <v>40.53</v>
      </c>
      <c r="X76" s="16" t="n">
        <v>48906</v>
      </c>
      <c r="Y76" s="16" t="n">
        <v>48960.9</v>
      </c>
      <c r="Z76" s="16" t="n">
        <v>74594</v>
      </c>
      <c r="AA76" s="16" t="n">
        <v>14671.8</v>
      </c>
      <c r="AB76" s="16" t="n">
        <v>14671.8</v>
      </c>
      <c r="AC76" s="16" t="n">
        <v>1148.55</v>
      </c>
      <c r="AD76" s="16" t="n">
        <v>2.3</v>
      </c>
      <c r="AE76" s="16" t="n">
        <v>40</v>
      </c>
      <c r="AF76" s="16" t="n">
        <v>6.11</v>
      </c>
      <c r="AG76" s="16" t="n">
        <v>0.1</v>
      </c>
      <c r="AH76" s="16" t="n">
        <v>1.47</v>
      </c>
      <c r="AI76" s="16" t="n">
        <v>7.22</v>
      </c>
      <c r="AJ76" s="16" t="n">
        <v>54.9</v>
      </c>
      <c r="AK76" s="16" t="n">
        <v>1093.65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NIFTY</t>
        </is>
      </c>
      <c r="C77" s="15" t="inlineStr">
        <is>
          <t>Bull Call Spread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BULLISH</t>
        </is>
      </c>
      <c r="G77" s="15" t="inlineStr">
        <is>
          <t>Price↑(24583.8&gt;24570.65) &amp; EMA9↑(24497.74&gt;24357.82)</t>
        </is>
      </c>
      <c r="H77" s="15" t="n">
        <v>24497.74</v>
      </c>
      <c r="I77" s="15" t="n">
        <v>24357.82</v>
      </c>
      <c r="J77" s="15" t="inlineStr">
        <is>
          <t>2026-08-13</t>
        </is>
      </c>
      <c r="K77" s="15" t="inlineStr">
        <is>
          <t>WEEKLY</t>
        </is>
      </c>
      <c r="L77" s="15" t="n">
        <v>3</v>
      </c>
      <c r="M77" s="15" t="inlineStr">
        <is>
          <t>09:20 IST</t>
        </is>
      </c>
      <c r="N77" s="15" t="inlineStr">
        <is>
          <t>10:48 IST</t>
        </is>
      </c>
      <c r="O77" s="15" t="n">
        <v>24583.8</v>
      </c>
      <c r="P77" s="15" t="n">
        <v>24570.65</v>
      </c>
      <c r="Q77" s="15" t="inlineStr">
        <is>
          <t>24500 CE</t>
        </is>
      </c>
      <c r="R77" s="15" t="inlineStr">
        <is>
          <t>24600 CE</t>
        </is>
      </c>
      <c r="S77" s="15" t="n">
        <v>25</v>
      </c>
      <c r="T77" s="15" t="n">
        <v>65</v>
      </c>
      <c r="U77" s="15" t="n">
        <v>1625</v>
      </c>
      <c r="V77" s="15" t="n">
        <v>29.37</v>
      </c>
      <c r="W77" s="15" t="n">
        <v>20.56</v>
      </c>
      <c r="X77" s="15" t="n">
        <v>47726.25</v>
      </c>
      <c r="Y77" s="15" t="n">
        <v>47780.96</v>
      </c>
      <c r="Z77" s="15" t="n">
        <v>114773.75</v>
      </c>
      <c r="AA77" s="15" t="n">
        <v>14317.88</v>
      </c>
      <c r="AB77" s="15" t="n">
        <v>14317.88</v>
      </c>
      <c r="AC77" s="15" t="n">
        <v>-14316.25</v>
      </c>
      <c r="AD77" s="15" t="n">
        <v>-30</v>
      </c>
      <c r="AE77" s="15" t="n">
        <v>40</v>
      </c>
      <c r="AF77" s="15" t="n">
        <v>5.97</v>
      </c>
      <c r="AG77" s="15" t="n">
        <v>0.1</v>
      </c>
      <c r="AH77" s="15" t="n">
        <v>1.43</v>
      </c>
      <c r="AI77" s="15" t="n">
        <v>7.22</v>
      </c>
      <c r="AJ77" s="15" t="n">
        <v>54.71</v>
      </c>
      <c r="AK77" s="15" t="n">
        <v>-14370.96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NIFTY</t>
        </is>
      </c>
      <c r="C78" s="17" t="inlineStr">
        <is>
          <t>Bull Call Spread</t>
        </is>
      </c>
      <c r="D78" s="17" t="inlineStr">
        <is>
          <t>Bull Call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24492.52</v>
      </c>
      <c r="I78" s="17" t="n">
        <v>24369.84</v>
      </c>
      <c r="J78" s="17" t="inlineStr">
        <is>
          <t>2026-08-13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10:20 IST</t>
        </is>
      </c>
      <c r="O78" s="17" t="n">
        <v>24470.6</v>
      </c>
      <c r="P78" s="17" t="n">
        <v>24583.8</v>
      </c>
      <c r="Q78" s="17" t="inlineStr">
        <is>
          <t>24400 CE</t>
        </is>
      </c>
      <c r="R78" s="17" t="inlineStr">
        <is>
          <t>24500 CE</t>
        </is>
      </c>
      <c r="S78" s="17" t="n">
        <v>33</v>
      </c>
      <c r="T78" s="17" t="n">
        <v>65</v>
      </c>
      <c r="U78" s="17" t="n">
        <v>2145</v>
      </c>
      <c r="V78" s="17" t="n">
        <v>22.53</v>
      </c>
      <c r="W78" s="17" t="n">
        <v>29.29</v>
      </c>
      <c r="X78" s="17" t="n">
        <v>48326.85</v>
      </c>
      <c r="Y78" s="17" t="n">
        <v>48381.65</v>
      </c>
      <c r="Z78" s="17" t="n">
        <v>166173.15</v>
      </c>
      <c r="AA78" s="17" t="n">
        <v>14498.05</v>
      </c>
      <c r="AB78" s="17" t="n">
        <v>14498.05</v>
      </c>
      <c r="AC78" s="17" t="n">
        <v>14500.2</v>
      </c>
      <c r="AD78" s="17" t="n">
        <v>30</v>
      </c>
      <c r="AE78" s="17" t="n">
        <v>40</v>
      </c>
      <c r="AF78" s="17" t="n">
        <v>6.04</v>
      </c>
      <c r="AG78" s="17" t="n">
        <v>0.1</v>
      </c>
      <c r="AH78" s="17" t="n">
        <v>1.45</v>
      </c>
      <c r="AI78" s="17" t="n">
        <v>7.22</v>
      </c>
      <c r="AJ78" s="17" t="n">
        <v>54.8</v>
      </c>
      <c r="AK78" s="17" t="n">
        <v>14445.4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NIFTY</t>
        </is>
      </c>
      <c r="C79" s="17" t="inlineStr">
        <is>
          <t>Bull Call Spread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24492.74</v>
      </c>
      <c r="I79" s="17" t="n">
        <v>24369.94</v>
      </c>
      <c r="J79" s="17" t="inlineStr">
        <is>
          <t>2026-08-13</t>
        </is>
      </c>
      <c r="K79" s="17" t="inlineStr">
        <is>
          <t>WEEKLY</t>
        </is>
      </c>
      <c r="L79" s="17" t="n">
        <v>2</v>
      </c>
      <c r="M79" s="17" t="inlineStr">
        <is>
          <t>09:20 IST</t>
        </is>
      </c>
      <c r="N79" s="17" t="inlineStr">
        <is>
          <t>11:58 IST</t>
        </is>
      </c>
      <c r="O79" s="17" t="n">
        <v>24471.7</v>
      </c>
      <c r="P79" s="17" t="n">
        <v>24583.8</v>
      </c>
      <c r="Q79" s="17" t="inlineStr">
        <is>
          <t>24400 CE</t>
        </is>
      </c>
      <c r="R79" s="17" t="inlineStr">
        <is>
          <t>24500 CE</t>
        </is>
      </c>
      <c r="S79" s="17" t="n">
        <v>47</v>
      </c>
      <c r="T79" s="17" t="n">
        <v>65</v>
      </c>
      <c r="U79" s="17" t="n">
        <v>3055</v>
      </c>
      <c r="V79" s="17" t="n">
        <v>15.53</v>
      </c>
      <c r="W79" s="17" t="n">
        <v>20.19</v>
      </c>
      <c r="X79" s="17" t="n">
        <v>47444.15</v>
      </c>
      <c r="Y79" s="17" t="n">
        <v>47498.82</v>
      </c>
      <c r="Z79" s="17" t="n">
        <v>258055.85</v>
      </c>
      <c r="AA79" s="17" t="n">
        <v>14233.25</v>
      </c>
      <c r="AB79" s="17" t="n">
        <v>14233.25</v>
      </c>
      <c r="AC79" s="17" t="n">
        <v>14236.3</v>
      </c>
      <c r="AD79" s="17" t="n">
        <v>30</v>
      </c>
      <c r="AE79" s="17" t="n">
        <v>40</v>
      </c>
      <c r="AF79" s="17" t="n">
        <v>5.93</v>
      </c>
      <c r="AG79" s="17" t="n">
        <v>0.09</v>
      </c>
      <c r="AH79" s="17" t="n">
        <v>1.42</v>
      </c>
      <c r="AI79" s="17" t="n">
        <v>7.22</v>
      </c>
      <c r="AJ79" s="17" t="n">
        <v>54.67</v>
      </c>
      <c r="AK79" s="17" t="n">
        <v>14181.63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6" t="inlineStr">
        <is>
          <t>2026-08-12</t>
        </is>
      </c>
      <c r="B80" s="16" t="inlineStr">
        <is>
          <t>NIFTY</t>
        </is>
      </c>
      <c r="C80" s="16" t="inlineStr">
        <is>
          <t>Bull Call Spread</t>
        </is>
      </c>
      <c r="D80" s="16" t="inlineStr">
        <is>
          <t>Bull Call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24465.48</v>
      </c>
      <c r="I80" s="16" t="n">
        <v>24367</v>
      </c>
      <c r="J80" s="16" t="inlineStr">
        <is>
          <t>2026-08-13</t>
        </is>
      </c>
      <c r="K80" s="16" t="inlineStr">
        <is>
          <t>WEEKLY</t>
        </is>
      </c>
      <c r="L80" s="16" t="n">
        <v>1</v>
      </c>
      <c r="M80" s="16" t="inlineStr">
        <is>
          <t>09:20 IST</t>
        </is>
      </c>
      <c r="N80" s="16" t="inlineStr">
        <is>
          <t>13:50 IST</t>
        </is>
      </c>
      <c r="O80" s="16" t="n">
        <v>24355.1</v>
      </c>
      <c r="P80" s="16" t="n">
        <v>24471.7</v>
      </c>
      <c r="Q80" s="16" t="inlineStr">
        <is>
          <t>24300 CE</t>
        </is>
      </c>
      <c r="R80" s="16" t="inlineStr">
        <is>
          <t>24400 CE</t>
        </is>
      </c>
      <c r="S80" s="16" t="n">
        <v>30</v>
      </c>
      <c r="T80" s="16" t="n">
        <v>65</v>
      </c>
      <c r="U80" s="16" t="n">
        <v>1950</v>
      </c>
      <c r="V80" s="16" t="n">
        <v>24.73</v>
      </c>
      <c r="W80" s="16" t="n">
        <v>23.72</v>
      </c>
      <c r="X80" s="16" t="n">
        <v>48223.5</v>
      </c>
      <c r="Y80" s="16" t="n">
        <v>48278.29</v>
      </c>
      <c r="Z80" s="16" t="n">
        <v>146776.5</v>
      </c>
      <c r="AA80" s="16" t="n">
        <v>14467.05</v>
      </c>
      <c r="AB80" s="16" t="n">
        <v>14467.05</v>
      </c>
      <c r="AC80" s="16" t="n">
        <v>-1969.5</v>
      </c>
      <c r="AD80" s="16" t="n">
        <v>-4.1</v>
      </c>
      <c r="AE80" s="16" t="n">
        <v>40</v>
      </c>
      <c r="AF80" s="16" t="n">
        <v>6.03</v>
      </c>
      <c r="AG80" s="16" t="n">
        <v>0.1</v>
      </c>
      <c r="AH80" s="16" t="n">
        <v>1.45</v>
      </c>
      <c r="AI80" s="16" t="n">
        <v>7.22</v>
      </c>
      <c r="AJ80" s="16" t="n">
        <v>54.79</v>
      </c>
      <c r="AK80" s="16" t="n">
        <v>-2024.29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NIFTY</t>
        </is>
      </c>
      <c r="C81" s="15" t="inlineStr">
        <is>
          <t>Bull Call Spread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24474.32</v>
      </c>
      <c r="I81" s="15" t="n">
        <v>24340.75</v>
      </c>
      <c r="J81" s="15" t="inlineStr">
        <is>
          <t>2026-08-13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10:07 IST</t>
        </is>
      </c>
      <c r="O81" s="15" t="n">
        <v>24435.95</v>
      </c>
      <c r="P81" s="15" t="n">
        <v>24471.7</v>
      </c>
      <c r="Q81" s="15" t="inlineStr">
        <is>
          <t>24400 CE</t>
        </is>
      </c>
      <c r="R81" s="15" t="inlineStr">
        <is>
          <t>24500 CE</t>
        </is>
      </c>
      <c r="S81" s="15" t="n">
        <v>36</v>
      </c>
      <c r="T81" s="15" t="n">
        <v>65</v>
      </c>
      <c r="U81" s="15" t="n">
        <v>2340</v>
      </c>
      <c r="V81" s="15" t="n">
        <v>20.64</v>
      </c>
      <c r="W81" s="15" t="n">
        <v>14.45</v>
      </c>
      <c r="X81" s="15" t="n">
        <v>48297.6</v>
      </c>
      <c r="Y81" s="15" t="n">
        <v>48352.4</v>
      </c>
      <c r="Z81" s="15" t="n">
        <v>185702.4</v>
      </c>
      <c r="AA81" s="15" t="n">
        <v>14489.28</v>
      </c>
      <c r="AB81" s="15" t="n">
        <v>14489.28</v>
      </c>
      <c r="AC81" s="15" t="n">
        <v>-14484.6</v>
      </c>
      <c r="AD81" s="15" t="n">
        <v>-30</v>
      </c>
      <c r="AE81" s="15" t="n">
        <v>40</v>
      </c>
      <c r="AF81" s="15" t="n">
        <v>6.04</v>
      </c>
      <c r="AG81" s="15" t="n">
        <v>0.1</v>
      </c>
      <c r="AH81" s="15" t="n">
        <v>1.45</v>
      </c>
      <c r="AI81" s="15" t="n">
        <v>7.22</v>
      </c>
      <c r="AJ81" s="15" t="n">
        <v>54.8</v>
      </c>
      <c r="AK81" s="15" t="n">
        <v>-14539.4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NIFTY</t>
        </is>
      </c>
      <c r="C82" s="15" t="inlineStr">
        <is>
          <t>Bull Call Spread</t>
        </is>
      </c>
      <c r="D82" s="15" t="inlineStr">
        <is>
          <t>Bull Call Spread</t>
        </is>
      </c>
      <c r="E82" s="15" t="inlineStr">
        <is>
          <t>SIMULATED</t>
        </is>
      </c>
      <c r="F82" s="15" t="inlineStr">
        <is>
          <t>SKIP</t>
        </is>
      </c>
      <c r="G82" s="15" t="inlineStr">
        <is>
          <t>Conflicting — Price:BEARISH EMA:BULLISH</t>
        </is>
      </c>
      <c r="H82" s="15" t="n">
        <v>24454.35</v>
      </c>
      <c r="I82" s="15" t="n">
        <v>24366</v>
      </c>
      <c r="J82" s="15" t="inlineStr">
        <is>
          <t>2026-08-13</t>
        </is>
      </c>
      <c r="K82" s="15" t="inlineStr">
        <is>
          <t>WEEKLY</t>
        </is>
      </c>
      <c r="L82" s="15" t="n">
        <v>0</v>
      </c>
      <c r="M82" s="15" t="inlineStr">
        <is>
          <t>09:20 IST</t>
        </is>
      </c>
      <c r="N82" s="15" t="inlineStr">
        <is>
          <t>10:23 IST</t>
        </is>
      </c>
      <c r="O82" s="15" t="n">
        <v>24344.75</v>
      </c>
      <c r="P82" s="15" t="n">
        <v>24435.95</v>
      </c>
      <c r="Q82" s="15" t="inlineStr">
        <is>
          <t>24300 CE</t>
        </is>
      </c>
      <c r="R82" s="15" t="inlineStr">
        <is>
          <t>24400 CE</t>
        </is>
      </c>
      <c r="S82" s="15" t="n">
        <v>37</v>
      </c>
      <c r="T82" s="15" t="n">
        <v>65</v>
      </c>
      <c r="U82" s="15" t="n">
        <v>2405</v>
      </c>
      <c r="V82" s="15" t="n">
        <v>19.63</v>
      </c>
      <c r="W82" s="15" t="n">
        <v>13.74</v>
      </c>
      <c r="X82" s="15" t="n">
        <v>47210.15</v>
      </c>
      <c r="Y82" s="15" t="n">
        <v>47264.78</v>
      </c>
      <c r="Z82" s="15" t="n">
        <v>193289.85</v>
      </c>
      <c r="AA82" s="15" t="n">
        <v>14163.05</v>
      </c>
      <c r="AB82" s="15" t="n">
        <v>14163.05</v>
      </c>
      <c r="AC82" s="15" t="n">
        <v>-14165.45</v>
      </c>
      <c r="AD82" s="15" t="n">
        <v>-30</v>
      </c>
      <c r="AE82" s="15" t="n">
        <v>40</v>
      </c>
      <c r="AF82" s="15" t="n">
        <v>5.9</v>
      </c>
      <c r="AG82" s="15" t="n">
        <v>0.09</v>
      </c>
      <c r="AH82" s="15" t="n">
        <v>1.42</v>
      </c>
      <c r="AI82" s="15" t="n">
        <v>7.22</v>
      </c>
      <c r="AJ82" s="15" t="n">
        <v>54.63</v>
      </c>
      <c r="AK82" s="15" t="n">
        <v>-14220.08</v>
      </c>
      <c r="AL82" s="15" t="inlineStr">
        <is>
          <t>STOP LOSS</t>
        </is>
      </c>
      <c r="AM82" s="15" t="n">
        <v>50000</v>
      </c>
      <c r="AN82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N8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NIFTY</t>
        </is>
      </c>
      <c r="C3" s="16" t="inlineStr">
        <is>
          <t>Bear Put Spread</t>
        </is>
      </c>
      <c r="D3" s="16" t="inlineStr">
        <is>
          <t>Bear Put Spread</t>
        </is>
      </c>
      <c r="E3" s="16" t="inlineStr">
        <is>
          <t>SKIP</t>
        </is>
      </c>
      <c r="F3" s="16" t="inlineStr">
        <is>
          <t>Conflicting — Price:BULLISH EMA:BEARISH</t>
        </is>
      </c>
      <c r="G3" s="16" t="n">
        <v>23385.72</v>
      </c>
      <c r="H3" s="16" t="n">
        <v>23538</v>
      </c>
      <c r="I3" s="16" t="inlineStr">
        <is>
          <t>2026-06-18</t>
        </is>
      </c>
      <c r="J3" s="16" t="inlineStr">
        <is>
          <t>WEEKLY</t>
        </is>
      </c>
      <c r="K3" s="16" t="n">
        <v>3</v>
      </c>
      <c r="L3" s="16" t="inlineStr">
        <is>
          <t>09:20 IST</t>
        </is>
      </c>
      <c r="M3" s="16" t="inlineStr">
        <is>
          <t>13:59 IST</t>
        </is>
      </c>
      <c r="N3" s="16" t="n">
        <v>23622.9</v>
      </c>
      <c r="O3" s="16" t="n">
        <v>23161.6</v>
      </c>
      <c r="P3" s="16" t="inlineStr">
        <is>
          <t>23700 PE</t>
        </is>
      </c>
      <c r="Q3" s="16" t="inlineStr">
        <is>
          <t>23600 PE</t>
        </is>
      </c>
      <c r="R3" s="16" t="n">
        <v>17</v>
      </c>
      <c r="S3" s="16" t="n">
        <v>75</v>
      </c>
      <c r="T3" s="16" t="n">
        <v>1275</v>
      </c>
      <c r="U3" s="16" t="n">
        <v>36.99</v>
      </c>
      <c r="V3" s="16" t="n">
        <v>35.75</v>
      </c>
      <c r="W3" s="16" t="n">
        <v>47162.25</v>
      </c>
      <c r="X3" s="16" t="n">
        <v>47216.87</v>
      </c>
      <c r="Y3" s="16" t="n">
        <v>80337.75</v>
      </c>
      <c r="Z3" s="16" t="n">
        <v>14148.67</v>
      </c>
      <c r="AA3" s="16" t="n">
        <v>14148.67</v>
      </c>
      <c r="AB3" s="16" t="n">
        <v>-1581</v>
      </c>
      <c r="AC3" s="16" t="n">
        <v>-3.4</v>
      </c>
      <c r="AD3" s="16" t="n">
        <v>40</v>
      </c>
      <c r="AE3" s="16" t="n">
        <v>5.9</v>
      </c>
      <c r="AF3" s="16" t="n">
        <v>0.09</v>
      </c>
      <c r="AG3" s="16" t="n">
        <v>1.41</v>
      </c>
      <c r="AH3" s="16" t="n">
        <v>7.22</v>
      </c>
      <c r="AI3" s="16" t="n">
        <v>54.62</v>
      </c>
      <c r="AJ3" s="16" t="n">
        <v>-1635.62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5" t="inlineStr">
        <is>
          <t>2026-06-18</t>
        </is>
      </c>
      <c r="B4" s="15" t="inlineStr">
        <is>
          <t>NIFTY</t>
        </is>
      </c>
      <c r="C4" s="15" t="inlineStr">
        <is>
          <t>Bear Put Spread</t>
        </is>
      </c>
      <c r="D4" s="15" t="inlineStr">
        <is>
          <t>Bear Put Spread</t>
        </is>
      </c>
      <c r="E4" s="15" t="inlineStr">
        <is>
          <t>BULLISH</t>
        </is>
      </c>
      <c r="F4" s="15" t="inlineStr">
        <is>
          <t>Price↑(24168.0&gt;24085.7) &amp; EMA9↑(23778.35&gt;23687.38)</t>
        </is>
      </c>
      <c r="G4" s="15" t="n">
        <v>23778.35</v>
      </c>
      <c r="H4" s="15" t="n">
        <v>23687.38</v>
      </c>
      <c r="I4" s="15" t="inlineStr">
        <is>
          <t>2026-06-18</t>
        </is>
      </c>
      <c r="J4" s="15" t="inlineStr">
        <is>
          <t>WEEKLY</t>
        </is>
      </c>
      <c r="K4" s="15" t="n">
        <v>0</v>
      </c>
      <c r="L4" s="15" t="inlineStr">
        <is>
          <t>09:20 IST</t>
        </is>
      </c>
      <c r="M4" s="15" t="inlineStr">
        <is>
          <t>10:22 IST</t>
        </is>
      </c>
      <c r="N4" s="15" t="n">
        <v>24168</v>
      </c>
      <c r="O4" s="15" t="n">
        <v>24085.7</v>
      </c>
      <c r="P4" s="15" t="inlineStr">
        <is>
          <t>24200 PE</t>
        </is>
      </c>
      <c r="Q4" s="15" t="inlineStr">
        <is>
          <t>24100 PE</t>
        </is>
      </c>
      <c r="R4" s="15" t="n">
        <v>26</v>
      </c>
      <c r="S4" s="15" t="n">
        <v>75</v>
      </c>
      <c r="T4" s="15" t="n">
        <v>1950</v>
      </c>
      <c r="U4" s="15" t="n">
        <v>24.91</v>
      </c>
      <c r="V4" s="15" t="n">
        <v>17.44</v>
      </c>
      <c r="W4" s="15" t="n">
        <v>48574.5</v>
      </c>
      <c r="X4" s="15" t="n">
        <v>48629.34</v>
      </c>
      <c r="Y4" s="15" t="n">
        <v>146425.5</v>
      </c>
      <c r="Z4" s="15" t="n">
        <v>14572.35</v>
      </c>
      <c r="AA4" s="15" t="n">
        <v>14572.35</v>
      </c>
      <c r="AB4" s="15" t="n">
        <v>-14566.5</v>
      </c>
      <c r="AC4" s="15" t="n">
        <v>-30</v>
      </c>
      <c r="AD4" s="15" t="n">
        <v>40</v>
      </c>
      <c r="AE4" s="15" t="n">
        <v>6.07</v>
      </c>
      <c r="AF4" s="15" t="n">
        <v>0.1</v>
      </c>
      <c r="AG4" s="15" t="n">
        <v>1.46</v>
      </c>
      <c r="AH4" s="15" t="n">
        <v>7.22</v>
      </c>
      <c r="AI4" s="15" t="n">
        <v>54.84</v>
      </c>
      <c r="AJ4" s="15" t="n">
        <v>-14621.34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10:32 IST</t>
        </is>
      </c>
      <c r="N5" s="15" t="n">
        <v>24013.1</v>
      </c>
      <c r="O5" s="15" t="n">
        <v>24168</v>
      </c>
      <c r="P5" s="15" t="inlineStr">
        <is>
          <t>24100 PE</t>
        </is>
      </c>
      <c r="Q5" s="15" t="inlineStr">
        <is>
          <t>24000 PE</t>
        </is>
      </c>
      <c r="R5" s="15" t="n">
        <v>18</v>
      </c>
      <c r="S5" s="15" t="n">
        <v>75</v>
      </c>
      <c r="T5" s="15" t="n">
        <v>1350</v>
      </c>
      <c r="U5" s="15" t="n">
        <v>35.26</v>
      </c>
      <c r="V5" s="15" t="n">
        <v>24.68</v>
      </c>
      <c r="W5" s="15" t="n">
        <v>47601</v>
      </c>
      <c r="X5" s="15" t="n">
        <v>47655.69</v>
      </c>
      <c r="Y5" s="15" t="n">
        <v>87399</v>
      </c>
      <c r="Z5" s="15" t="n">
        <v>14280.3</v>
      </c>
      <c r="AA5" s="15" t="n">
        <v>14280.3</v>
      </c>
      <c r="AB5" s="15" t="n">
        <v>-14283</v>
      </c>
      <c r="AC5" s="15" t="n">
        <v>-30</v>
      </c>
      <c r="AD5" s="15" t="n">
        <v>40</v>
      </c>
      <c r="AE5" s="15" t="n">
        <v>5.95</v>
      </c>
      <c r="AF5" s="15" t="n">
        <v>0.1</v>
      </c>
      <c r="AG5" s="15" t="n">
        <v>1.43</v>
      </c>
      <c r="AH5" s="15" t="n">
        <v>7.22</v>
      </c>
      <c r="AI5" s="15" t="n">
        <v>54.69</v>
      </c>
      <c r="AJ5" s="15" t="n">
        <v>-14337.69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6" t="inlineStr">
        <is>
          <t>2026-06-20</t>
        </is>
      </c>
      <c r="B6" s="16" t="inlineStr">
        <is>
          <t>NIFTY</t>
        </is>
      </c>
      <c r="C6" s="16" t="inlineStr">
        <is>
          <t>Bear Put Spread</t>
        </is>
      </c>
      <c r="D6" s="16" t="inlineStr">
        <is>
          <t>Bear Put Spread</t>
        </is>
      </c>
      <c r="E6" s="16" t="inlineStr">
        <is>
          <t>BULLISH</t>
        </is>
      </c>
      <c r="F6" s="16" t="inlineStr">
        <is>
          <t>Price↑(24168.0&gt;24085.7) &amp; EMA9↑(23777.57&gt;23682.14)</t>
        </is>
      </c>
      <c r="G6" s="16" t="n">
        <v>23777.57</v>
      </c>
      <c r="H6" s="16" t="n">
        <v>23682.14</v>
      </c>
      <c r="I6" s="16" t="inlineStr">
        <is>
          <t>2026-06-25</t>
        </is>
      </c>
      <c r="J6" s="16" t="inlineStr">
        <is>
          <t>WEEKLY</t>
        </is>
      </c>
      <c r="K6" s="16" t="n">
        <v>6</v>
      </c>
      <c r="L6" s="16" t="inlineStr">
        <is>
          <t>09:20 IST</t>
        </is>
      </c>
      <c r="M6" s="16" t="inlineStr">
        <is>
          <t>14:47 IST</t>
        </is>
      </c>
      <c r="N6" s="16" t="n">
        <v>24168</v>
      </c>
      <c r="O6" s="16" t="n">
        <v>24085.7</v>
      </c>
      <c r="P6" s="16" t="inlineStr">
        <is>
          <t>24200 PE</t>
        </is>
      </c>
      <c r="Q6" s="16" t="inlineStr">
        <is>
          <t>24100 PE</t>
        </is>
      </c>
      <c r="R6" s="16" t="n">
        <v>16</v>
      </c>
      <c r="S6" s="16" t="n">
        <v>75</v>
      </c>
      <c r="T6" s="16" t="n">
        <v>1200</v>
      </c>
      <c r="U6" s="16" t="n">
        <v>39.68</v>
      </c>
      <c r="V6" s="16" t="n">
        <v>39.25</v>
      </c>
      <c r="W6" s="16" t="n">
        <v>47616</v>
      </c>
      <c r="X6" s="16" t="n">
        <v>47670.69</v>
      </c>
      <c r="Y6" s="16" t="n">
        <v>72384</v>
      </c>
      <c r="Z6" s="16" t="n">
        <v>14284.8</v>
      </c>
      <c r="AA6" s="16" t="n">
        <v>14284.8</v>
      </c>
      <c r="AB6" s="16" t="n">
        <v>-516</v>
      </c>
      <c r="AC6" s="16" t="n">
        <v>-1.1</v>
      </c>
      <c r="AD6" s="16" t="n">
        <v>40</v>
      </c>
      <c r="AE6" s="16" t="n">
        <v>5.95</v>
      </c>
      <c r="AF6" s="16" t="n">
        <v>0.1</v>
      </c>
      <c r="AG6" s="16" t="n">
        <v>1.43</v>
      </c>
      <c r="AH6" s="16" t="n">
        <v>7.22</v>
      </c>
      <c r="AI6" s="16" t="n">
        <v>54.69</v>
      </c>
      <c r="AJ6" s="16" t="n">
        <v>-570.6900000000001</v>
      </c>
      <c r="AK6" s="16" t="inlineStr">
        <is>
          <t>FLAT</t>
        </is>
      </c>
      <c r="AL6" s="16" t="n">
        <v>50000</v>
      </c>
      <c r="AM6" s="16" t="inlineStr">
        <is>
          <t>PAPER TRADING</t>
        </is>
      </c>
    </row>
    <row r="7">
      <c r="A7" s="17" t="inlineStr">
        <is>
          <t>2026-06-23</t>
        </is>
      </c>
      <c r="B7" s="17" t="inlineStr">
        <is>
          <t>NIFTY</t>
        </is>
      </c>
      <c r="C7" s="17" t="inlineStr">
        <is>
          <t>Bear Put Spread</t>
        </is>
      </c>
      <c r="D7" s="17" t="inlineStr">
        <is>
          <t>Bear Put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23824.22</v>
      </c>
      <c r="H7" s="17" t="n">
        <v>23714.31</v>
      </c>
      <c r="I7" s="17" t="inlineStr">
        <is>
          <t>2026-06-25</t>
        </is>
      </c>
      <c r="J7" s="17" t="inlineStr">
        <is>
          <t>WEEKLY</t>
        </is>
      </c>
      <c r="K7" s="17" t="n">
        <v>3</v>
      </c>
      <c r="L7" s="17" t="inlineStr">
        <is>
          <t>09:20 IST</t>
        </is>
      </c>
      <c r="M7" s="17" t="inlineStr">
        <is>
          <t>10:13 IST</t>
        </is>
      </c>
      <c r="N7" s="17" t="n">
        <v>24013.1</v>
      </c>
      <c r="O7" s="17" t="n">
        <v>24168</v>
      </c>
      <c r="P7" s="17" t="inlineStr">
        <is>
          <t>24100 PE</t>
        </is>
      </c>
      <c r="Q7" s="17" t="inlineStr">
        <is>
          <t>24000 PE</t>
        </is>
      </c>
      <c r="R7" s="17" t="n">
        <v>17</v>
      </c>
      <c r="S7" s="17" t="n">
        <v>75</v>
      </c>
      <c r="T7" s="17" t="n">
        <v>1275</v>
      </c>
      <c r="U7" s="17" t="n">
        <v>38.19</v>
      </c>
      <c r="V7" s="17" t="n">
        <v>49.65</v>
      </c>
      <c r="W7" s="17" t="n">
        <v>48692.25</v>
      </c>
      <c r="X7" s="17" t="n">
        <v>48747.11</v>
      </c>
      <c r="Y7" s="17" t="n">
        <v>78807.75</v>
      </c>
      <c r="Z7" s="17" t="n">
        <v>14607.67</v>
      </c>
      <c r="AA7" s="17" t="n">
        <v>14607.67</v>
      </c>
      <c r="AB7" s="17" t="n">
        <v>14611.5</v>
      </c>
      <c r="AC7" s="17" t="n">
        <v>30</v>
      </c>
      <c r="AD7" s="17" t="n">
        <v>40</v>
      </c>
      <c r="AE7" s="17" t="n">
        <v>6.09</v>
      </c>
      <c r="AF7" s="17" t="n">
        <v>0.1</v>
      </c>
      <c r="AG7" s="17" t="n">
        <v>1.46</v>
      </c>
      <c r="AH7" s="17" t="n">
        <v>7.22</v>
      </c>
      <c r="AI7" s="17" t="n">
        <v>54.86</v>
      </c>
      <c r="AJ7" s="17" t="n">
        <v>14556.64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11:13 IST</t>
        </is>
      </c>
      <c r="N8" s="15" t="n">
        <v>24013.1</v>
      </c>
      <c r="O8" s="15" t="n">
        <v>24168</v>
      </c>
      <c r="P8" s="15" t="inlineStr">
        <is>
          <t>24100 PE</t>
        </is>
      </c>
      <c r="Q8" s="15" t="inlineStr">
        <is>
          <t>24000 PE</t>
        </is>
      </c>
      <c r="R8" s="15" t="n">
        <v>22</v>
      </c>
      <c r="S8" s="15" t="n">
        <v>75</v>
      </c>
      <c r="T8" s="15" t="n">
        <v>1650</v>
      </c>
      <c r="U8" s="15" t="n">
        <v>29.61</v>
      </c>
      <c r="V8" s="15" t="n">
        <v>20.73</v>
      </c>
      <c r="W8" s="15" t="n">
        <v>48856.5</v>
      </c>
      <c r="X8" s="15" t="n">
        <v>48911.39</v>
      </c>
      <c r="Y8" s="15" t="n">
        <v>116143.5</v>
      </c>
      <c r="Z8" s="15" t="n">
        <v>14656.95</v>
      </c>
      <c r="AA8" s="15" t="n">
        <v>14656.95</v>
      </c>
      <c r="AB8" s="15" t="n">
        <v>-14652</v>
      </c>
      <c r="AC8" s="15" t="n">
        <v>-30</v>
      </c>
      <c r="AD8" s="15" t="n">
        <v>40</v>
      </c>
      <c r="AE8" s="15" t="n">
        <v>6.11</v>
      </c>
      <c r="AF8" s="15" t="n">
        <v>0.1</v>
      </c>
      <c r="AG8" s="15" t="n">
        <v>1.47</v>
      </c>
      <c r="AH8" s="15" t="n">
        <v>7.22</v>
      </c>
      <c r="AI8" s="15" t="n">
        <v>54.89</v>
      </c>
      <c r="AJ8" s="15" t="n">
        <v>-14706.89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23868.63</v>
      </c>
      <c r="H9" s="16" t="n">
        <v>23767.86</v>
      </c>
      <c r="I9" s="16" t="inlineStr">
        <is>
          <t>2026-06-25</t>
        </is>
      </c>
      <c r="J9" s="16" t="inlineStr">
        <is>
          <t>WEEKLY</t>
        </is>
      </c>
      <c r="K9" s="16" t="n">
        <v>2</v>
      </c>
      <c r="L9" s="16" t="inlineStr">
        <is>
          <t>09:20 IST</t>
        </is>
      </c>
      <c r="M9" s="16" t="inlineStr">
        <is>
          <t>14:28 IST</t>
        </is>
      </c>
      <c r="N9" s="16" t="n">
        <v>23824.1</v>
      </c>
      <c r="O9" s="16" t="n">
        <v>24102.9</v>
      </c>
      <c r="P9" s="16" t="inlineStr">
        <is>
          <t>23900 PE</t>
        </is>
      </c>
      <c r="Q9" s="16" t="inlineStr">
        <is>
          <t>23800 PE</t>
        </is>
      </c>
      <c r="R9" s="16" t="n">
        <v>38</v>
      </c>
      <c r="S9" s="16" t="n">
        <v>75</v>
      </c>
      <c r="T9" s="16" t="n">
        <v>2850</v>
      </c>
      <c r="U9" s="16" t="n">
        <v>16.61</v>
      </c>
      <c r="V9" s="16" t="n">
        <v>17.41</v>
      </c>
      <c r="W9" s="16" t="n">
        <v>47338.5</v>
      </c>
      <c r="X9" s="16" t="n">
        <v>47393.15</v>
      </c>
      <c r="Y9" s="16" t="n">
        <v>237661.5</v>
      </c>
      <c r="Z9" s="16" t="n">
        <v>14201.55</v>
      </c>
      <c r="AA9" s="16" t="n">
        <v>14201.55</v>
      </c>
      <c r="AB9" s="16" t="n">
        <v>2280</v>
      </c>
      <c r="AC9" s="16" t="n">
        <v>4.8</v>
      </c>
      <c r="AD9" s="16" t="n">
        <v>40</v>
      </c>
      <c r="AE9" s="16" t="n">
        <v>5.92</v>
      </c>
      <c r="AF9" s="16" t="n">
        <v>0.09</v>
      </c>
      <c r="AG9" s="16" t="n">
        <v>1.42</v>
      </c>
      <c r="AH9" s="16" t="n">
        <v>7.22</v>
      </c>
      <c r="AI9" s="16" t="n">
        <v>54.65</v>
      </c>
      <c r="AJ9" s="16" t="n">
        <v>2225.35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10:16 IST</t>
        </is>
      </c>
      <c r="N10" s="17" t="n">
        <v>24102.9</v>
      </c>
      <c r="O10" s="17" t="n">
        <v>24013.1</v>
      </c>
      <c r="P10" s="17" t="inlineStr">
        <is>
          <t>24200 PE</t>
        </is>
      </c>
      <c r="Q10" s="17" t="inlineStr">
        <is>
          <t>24100 PE</t>
        </is>
      </c>
      <c r="R10" s="17" t="n">
        <v>35</v>
      </c>
      <c r="S10" s="17" t="n">
        <v>75</v>
      </c>
      <c r="T10" s="17" t="n">
        <v>2625</v>
      </c>
      <c r="U10" s="17" t="n">
        <v>18.08</v>
      </c>
      <c r="V10" s="17" t="n">
        <v>23.5</v>
      </c>
      <c r="W10" s="17" t="n">
        <v>47460</v>
      </c>
      <c r="X10" s="17" t="n">
        <v>47514.67</v>
      </c>
      <c r="Y10" s="17" t="n">
        <v>215040</v>
      </c>
      <c r="Z10" s="17" t="n">
        <v>14238</v>
      </c>
      <c r="AA10" s="17" t="n">
        <v>14238</v>
      </c>
      <c r="AB10" s="17" t="n">
        <v>14227.5</v>
      </c>
      <c r="AC10" s="17" t="n">
        <v>30</v>
      </c>
      <c r="AD10" s="17" t="n">
        <v>40</v>
      </c>
      <c r="AE10" s="17" t="n">
        <v>5.93</v>
      </c>
      <c r="AF10" s="17" t="n">
        <v>0.09</v>
      </c>
      <c r="AG10" s="17" t="n">
        <v>1.42</v>
      </c>
      <c r="AH10" s="17" t="n">
        <v>7.22</v>
      </c>
      <c r="AI10" s="17" t="n">
        <v>54.67</v>
      </c>
      <c r="AJ10" s="17" t="n">
        <v>14172.83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Price↑(24021.65&gt;23824.1) &amp; EMA9↑(23899.33&gt;23791.89)</t>
        </is>
      </c>
      <c r="H11" s="17" t="n">
        <v>23899.33</v>
      </c>
      <c r="I11" s="17" t="n">
        <v>23791.89</v>
      </c>
      <c r="J11" s="17" t="inlineStr">
        <is>
          <t>2026-06-25</t>
        </is>
      </c>
      <c r="K11" s="17" t="inlineStr">
        <is>
          <t>WEEKLY</t>
        </is>
      </c>
      <c r="L11" s="17" t="n">
        <v>1</v>
      </c>
      <c r="M11" s="17" t="inlineStr">
        <is>
          <t>09:20 IST</t>
        </is>
      </c>
      <c r="N11" s="17" t="inlineStr">
        <is>
          <t>11:31 IST</t>
        </is>
      </c>
      <c r="O11" s="17" t="n">
        <v>24021.65</v>
      </c>
      <c r="P11" s="17" t="n">
        <v>23824.1</v>
      </c>
      <c r="Q11" s="17" t="inlineStr">
        <is>
          <t>24100 PE</t>
        </is>
      </c>
      <c r="R11" s="17" t="inlineStr">
        <is>
          <t>24000 PE</t>
        </is>
      </c>
      <c r="S11" s="17" t="n">
        <v>37</v>
      </c>
      <c r="T11" s="17" t="n">
        <v>65</v>
      </c>
      <c r="U11" s="17" t="n">
        <v>2405</v>
      </c>
      <c r="V11" s="17" t="n">
        <v>19.72</v>
      </c>
      <c r="W11" s="17" t="n">
        <v>25.64</v>
      </c>
      <c r="X11" s="17" t="n">
        <v>47426.6</v>
      </c>
      <c r="Y11" s="17" t="n">
        <v>47481.26</v>
      </c>
      <c r="Z11" s="17" t="n">
        <v>193073.4</v>
      </c>
      <c r="AA11" s="17" t="n">
        <v>14227.98</v>
      </c>
      <c r="AB11" s="17" t="n">
        <v>14227.98</v>
      </c>
      <c r="AC11" s="17" t="n">
        <v>14237.6</v>
      </c>
      <c r="AD11" s="17" t="n">
        <v>30</v>
      </c>
      <c r="AE11" s="17" t="n">
        <v>40</v>
      </c>
      <c r="AF11" s="17" t="n">
        <v>5.93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14182.94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NIFTY</t>
        </is>
      </c>
      <c r="C12" s="17" t="inlineStr">
        <is>
          <t>Bear Put Spread</t>
        </is>
      </c>
      <c r="D12" s="17" t="inlineStr">
        <is>
          <t>Bear Put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23868.74</v>
      </c>
      <c r="I12" s="17" t="n">
        <v>23768.91</v>
      </c>
      <c r="J12" s="17" t="inlineStr">
        <is>
          <t>2026-06-25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10:16 IST</t>
        </is>
      </c>
      <c r="O12" s="17" t="n">
        <v>23824.1</v>
      </c>
      <c r="P12" s="17" t="n">
        <v>24102.9</v>
      </c>
      <c r="Q12" s="17" t="inlineStr">
        <is>
          <t>23900 PE</t>
        </is>
      </c>
      <c r="R12" s="17" t="inlineStr">
        <is>
          <t>23800 PE</t>
        </is>
      </c>
      <c r="S12" s="17" t="n">
        <v>32</v>
      </c>
      <c r="T12" s="17" t="n">
        <v>65</v>
      </c>
      <c r="U12" s="17" t="n">
        <v>2080</v>
      </c>
      <c r="V12" s="17" t="n">
        <v>23.06</v>
      </c>
      <c r="W12" s="17" t="n">
        <v>29.98</v>
      </c>
      <c r="X12" s="17" t="n">
        <v>47964.8</v>
      </c>
      <c r="Y12" s="17" t="n">
        <v>48019.55</v>
      </c>
      <c r="Z12" s="17" t="n">
        <v>160035.2</v>
      </c>
      <c r="AA12" s="17" t="n">
        <v>14389.44</v>
      </c>
      <c r="AB12" s="17" t="n">
        <v>14389.44</v>
      </c>
      <c r="AC12" s="17" t="n">
        <v>14393.6</v>
      </c>
      <c r="AD12" s="17" t="n">
        <v>30</v>
      </c>
      <c r="AE12" s="17" t="n">
        <v>40</v>
      </c>
      <c r="AF12" s="17" t="n">
        <v>6</v>
      </c>
      <c r="AG12" s="17" t="n">
        <v>0.1</v>
      </c>
      <c r="AH12" s="17" t="n">
        <v>1.44</v>
      </c>
      <c r="AI12" s="17" t="n">
        <v>7.22</v>
      </c>
      <c r="AJ12" s="17" t="n">
        <v>54.75</v>
      </c>
      <c r="AK12" s="17" t="n">
        <v>14338.85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6" t="inlineStr">
        <is>
          <t>2026-06-25</t>
        </is>
      </c>
      <c r="B13" s="16" t="inlineStr">
        <is>
          <t>NIFTY</t>
        </is>
      </c>
      <c r="C13" s="16" t="inlineStr">
        <is>
          <t>Bear Put Spread</t>
        </is>
      </c>
      <c r="D13" s="16" t="inlineStr">
        <is>
          <t>Bear Put Spread</t>
        </is>
      </c>
      <c r="E13" s="16" t="inlineStr">
        <is>
          <t>SIMULATED</t>
        </is>
      </c>
      <c r="F13" s="16" t="inlineStr">
        <is>
          <t>BULLISH</t>
        </is>
      </c>
      <c r="G13" s="16" t="inlineStr">
        <is>
          <t>Price↑(24056.0&gt;24021.65) &amp; EMA9↑(23930.53&gt;23806.47)</t>
        </is>
      </c>
      <c r="H13" s="16" t="n">
        <v>23930.53</v>
      </c>
      <c r="I13" s="16" t="n">
        <v>23806.47</v>
      </c>
      <c r="J13" s="16" t="inlineStr">
        <is>
          <t>2026-06-25</t>
        </is>
      </c>
      <c r="K13" s="16" t="inlineStr">
        <is>
          <t>WEEKLY</t>
        </is>
      </c>
      <c r="L13" s="16" t="n">
        <v>0</v>
      </c>
      <c r="M13" s="16" t="inlineStr">
        <is>
          <t>09:20 IST</t>
        </is>
      </c>
      <c r="N13" s="16" t="inlineStr">
        <is>
          <t>13:49 IST</t>
        </is>
      </c>
      <c r="O13" s="16" t="n">
        <v>24056</v>
      </c>
      <c r="P13" s="16" t="n">
        <v>24021.65</v>
      </c>
      <c r="Q13" s="16" t="inlineStr">
        <is>
          <t>24100 PE</t>
        </is>
      </c>
      <c r="R13" s="16" t="inlineStr">
        <is>
          <t>24000 PE</t>
        </is>
      </c>
      <c r="S13" s="16" t="n">
        <v>34</v>
      </c>
      <c r="T13" s="16" t="n">
        <v>65</v>
      </c>
      <c r="U13" s="16" t="n">
        <v>2210</v>
      </c>
      <c r="V13" s="16" t="n">
        <v>21.86</v>
      </c>
      <c r="W13" s="16" t="n">
        <v>22.75</v>
      </c>
      <c r="X13" s="16" t="n">
        <v>48310.6</v>
      </c>
      <c r="Y13" s="16" t="n">
        <v>48365.4</v>
      </c>
      <c r="Z13" s="16" t="n">
        <v>172689.4</v>
      </c>
      <c r="AA13" s="16" t="n">
        <v>14493.18</v>
      </c>
      <c r="AB13" s="16" t="n">
        <v>14493.18</v>
      </c>
      <c r="AC13" s="16" t="n">
        <v>1966.9</v>
      </c>
      <c r="AD13" s="16" t="n">
        <v>4.1</v>
      </c>
      <c r="AE13" s="16" t="n">
        <v>40</v>
      </c>
      <c r="AF13" s="16" t="n">
        <v>6.04</v>
      </c>
      <c r="AG13" s="16" t="n">
        <v>0.1</v>
      </c>
      <c r="AH13" s="16" t="n">
        <v>1.45</v>
      </c>
      <c r="AI13" s="16" t="n">
        <v>7.22</v>
      </c>
      <c r="AJ13" s="16" t="n">
        <v>54.8</v>
      </c>
      <c r="AK13" s="16" t="n">
        <v>1912.1</v>
      </c>
      <c r="AL13" s="16" t="inlineStr">
        <is>
          <t>FLAT</t>
        </is>
      </c>
      <c r="AM13" s="16" t="n">
        <v>50000</v>
      </c>
      <c r="AN13" s="16" t="inlineStr">
        <is>
          <t>PAPER TRADING</t>
        </is>
      </c>
    </row>
    <row r="14">
      <c r="A14" s="15" t="inlineStr">
        <is>
          <t>2026-06-26</t>
        </is>
      </c>
      <c r="B14" s="15" t="inlineStr">
        <is>
          <t>NIFTY</t>
        </is>
      </c>
      <c r="C14" s="15" t="inlineStr">
        <is>
          <t>Bear Put Spread</t>
        </is>
      </c>
      <c r="D14" s="15" t="inlineStr">
        <is>
          <t>Bear Put Spread</t>
        </is>
      </c>
      <c r="E14" s="15" t="inlineStr">
        <is>
          <t>SIMULATED</t>
        </is>
      </c>
      <c r="F14" s="15" t="inlineStr">
        <is>
          <t>BULLISH</t>
        </is>
      </c>
      <c r="G14" s="15" t="inlineStr">
        <is>
          <t>Price↑(24021.65&gt;23824.1) &amp; EMA9↑(23899.17&gt;23781.51)</t>
        </is>
      </c>
      <c r="H14" s="15" t="n">
        <v>23899.17</v>
      </c>
      <c r="I14" s="15" t="n">
        <v>23781.51</v>
      </c>
      <c r="J14" s="15" t="inlineStr">
        <is>
          <t>2026-06-25</t>
        </is>
      </c>
      <c r="K14" s="15" t="inlineStr">
        <is>
          <t>WEEKLY</t>
        </is>
      </c>
      <c r="L14" s="15" t="n">
        <v>0</v>
      </c>
      <c r="M14" s="15" t="inlineStr">
        <is>
          <t>09:20 IST</t>
        </is>
      </c>
      <c r="N14" s="15" t="inlineStr">
        <is>
          <t>09:34 IST</t>
        </is>
      </c>
      <c r="O14" s="15" t="n">
        <v>24021.65</v>
      </c>
      <c r="P14" s="15" t="n">
        <v>23824.1</v>
      </c>
      <c r="Q14" s="15" t="inlineStr">
        <is>
          <t>24100 PE</t>
        </is>
      </c>
      <c r="R14" s="15" t="inlineStr">
        <is>
          <t>24000 PE</t>
        </is>
      </c>
      <c r="S14" s="15" t="n">
        <v>31</v>
      </c>
      <c r="T14" s="15" t="n">
        <v>65</v>
      </c>
      <c r="U14" s="15" t="n">
        <v>2015</v>
      </c>
      <c r="V14" s="15" t="n">
        <v>23.65</v>
      </c>
      <c r="W14" s="15" t="n">
        <v>16.55</v>
      </c>
      <c r="X14" s="15" t="n">
        <v>47654.75</v>
      </c>
      <c r="Y14" s="15" t="n">
        <v>47709.45</v>
      </c>
      <c r="Z14" s="15" t="n">
        <v>153845.25</v>
      </c>
      <c r="AA14" s="15" t="n">
        <v>14296.42</v>
      </c>
      <c r="AB14" s="15" t="n">
        <v>14296.42</v>
      </c>
      <c r="AC14" s="15" t="n">
        <v>-14306.5</v>
      </c>
      <c r="AD14" s="15" t="n">
        <v>-30</v>
      </c>
      <c r="AE14" s="15" t="n">
        <v>40</v>
      </c>
      <c r="AF14" s="15" t="n">
        <v>5.96</v>
      </c>
      <c r="AG14" s="15" t="n">
        <v>0.1</v>
      </c>
      <c r="AH14" s="15" t="n">
        <v>1.43</v>
      </c>
      <c r="AI14" s="15" t="n">
        <v>7.22</v>
      </c>
      <c r="AJ14" s="15" t="n">
        <v>54.7</v>
      </c>
      <c r="AK14" s="15" t="n">
        <v>-14361.2</v>
      </c>
      <c r="AL14" s="15" t="inlineStr">
        <is>
          <t>STOP LOSS</t>
        </is>
      </c>
      <c r="AM14" s="15" t="n">
        <v>50000</v>
      </c>
      <c r="AN14" s="15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Price↑(24056.0&gt;24021.65) &amp; EMA9↑(23930.98&gt;23794.58)</t>
        </is>
      </c>
      <c r="H15" s="17" t="n">
        <v>23930.98</v>
      </c>
      <c r="I15" s="17" t="n">
        <v>23794.58</v>
      </c>
      <c r="J15" s="17" t="inlineStr">
        <is>
          <t>2026-07-02</t>
        </is>
      </c>
      <c r="K15" s="17" t="inlineStr">
        <is>
          <t>WEEKLY</t>
        </is>
      </c>
      <c r="L15" s="17" t="n">
        <v>6</v>
      </c>
      <c r="M15" s="17" t="inlineStr">
        <is>
          <t>09:20 IST</t>
        </is>
      </c>
      <c r="N15" s="17" t="inlineStr">
        <is>
          <t>10:15 IST</t>
        </is>
      </c>
      <c r="O15" s="17" t="n">
        <v>24056</v>
      </c>
      <c r="P15" s="17" t="n">
        <v>24021.65</v>
      </c>
      <c r="Q15" s="17" t="inlineStr">
        <is>
          <t>24100 PE</t>
        </is>
      </c>
      <c r="R15" s="17" t="inlineStr">
        <is>
          <t>24000 PE</t>
        </is>
      </c>
      <c r="S15" s="17" t="n">
        <v>23</v>
      </c>
      <c r="T15" s="17" t="n">
        <v>65</v>
      </c>
      <c r="U15" s="17" t="n">
        <v>1495</v>
      </c>
      <c r="V15" s="17" t="n">
        <v>32.73</v>
      </c>
      <c r="W15" s="17" t="n">
        <v>42.55</v>
      </c>
      <c r="X15" s="17" t="n">
        <v>48931.35</v>
      </c>
      <c r="Y15" s="17" t="n">
        <v>48986.25</v>
      </c>
      <c r="Z15" s="17" t="n">
        <v>100568.65</v>
      </c>
      <c r="AA15" s="17" t="n">
        <v>14679.4</v>
      </c>
      <c r="AB15" s="17" t="n">
        <v>14679.4</v>
      </c>
      <c r="AC15" s="17" t="n">
        <v>14680.9</v>
      </c>
      <c r="AD15" s="17" t="n">
        <v>30</v>
      </c>
      <c r="AE15" s="17" t="n">
        <v>40</v>
      </c>
      <c r="AF15" s="17" t="n">
        <v>6.12</v>
      </c>
      <c r="AG15" s="17" t="n">
        <v>0.1</v>
      </c>
      <c r="AH15" s="17" t="n">
        <v>1.47</v>
      </c>
      <c r="AI15" s="17" t="n">
        <v>7.22</v>
      </c>
      <c r="AJ15" s="17" t="n">
        <v>54.9</v>
      </c>
      <c r="AK15" s="17" t="n">
        <v>14626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Bear Put Spread</t>
        </is>
      </c>
      <c r="D16" s="17" t="inlineStr">
        <is>
          <t>Bear Put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10:51 IST</t>
        </is>
      </c>
      <c r="O16" s="17" t="n">
        <v>24056</v>
      </c>
      <c r="P16" s="17" t="n">
        <v>24021.65</v>
      </c>
      <c r="Q16" s="17" t="inlineStr">
        <is>
          <t>24100 PE</t>
        </is>
      </c>
      <c r="R16" s="17" t="inlineStr">
        <is>
          <t>24000 PE</t>
        </is>
      </c>
      <c r="S16" s="17" t="n">
        <v>28</v>
      </c>
      <c r="T16" s="17" t="n">
        <v>65</v>
      </c>
      <c r="U16" s="17" t="n">
        <v>1820</v>
      </c>
      <c r="V16" s="17" t="n">
        <v>26.4</v>
      </c>
      <c r="W16" s="17" t="n">
        <v>34.32</v>
      </c>
      <c r="X16" s="17" t="n">
        <v>48048</v>
      </c>
      <c r="Y16" s="17" t="n">
        <v>48102.76</v>
      </c>
      <c r="Z16" s="17" t="n">
        <v>133952</v>
      </c>
      <c r="AA16" s="17" t="n">
        <v>14414.4</v>
      </c>
      <c r="AB16" s="17" t="n">
        <v>14414.4</v>
      </c>
      <c r="AC16" s="17" t="n">
        <v>14414.4</v>
      </c>
      <c r="AD16" s="17" t="n">
        <v>30</v>
      </c>
      <c r="AE16" s="17" t="n">
        <v>40</v>
      </c>
      <c r="AF16" s="17" t="n">
        <v>6.01</v>
      </c>
      <c r="AG16" s="17" t="n">
        <v>0.1</v>
      </c>
      <c r="AH16" s="17" t="n">
        <v>1.44</v>
      </c>
      <c r="AI16" s="17" t="n">
        <v>7.22</v>
      </c>
      <c r="AJ16" s="17" t="n">
        <v>54.76</v>
      </c>
      <c r="AK16" s="17" t="n">
        <v>14359.64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Bear Put Spread</t>
        </is>
      </c>
      <c r="D17" s="15" t="inlineStr">
        <is>
          <t>Bear Put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10:17 IST</t>
        </is>
      </c>
      <c r="O17" s="15" t="n">
        <v>23946.25</v>
      </c>
      <c r="P17" s="15" t="n">
        <v>24056</v>
      </c>
      <c r="Q17" s="15" t="inlineStr">
        <is>
          <t>24000 PE</t>
        </is>
      </c>
      <c r="R17" s="15" t="inlineStr">
        <is>
          <t>23900 PE</t>
        </is>
      </c>
      <c r="S17" s="15" t="n">
        <v>25</v>
      </c>
      <c r="T17" s="15" t="n">
        <v>65</v>
      </c>
      <c r="U17" s="15" t="n">
        <v>1625</v>
      </c>
      <c r="V17" s="15" t="n">
        <v>29.15</v>
      </c>
      <c r="W17" s="15" t="n">
        <v>20.4</v>
      </c>
      <c r="X17" s="15" t="n">
        <v>47368.75</v>
      </c>
      <c r="Y17" s="15" t="n">
        <v>47423.4</v>
      </c>
      <c r="Z17" s="15" t="n">
        <v>115131.25</v>
      </c>
      <c r="AA17" s="15" t="n">
        <v>14210.62</v>
      </c>
      <c r="AB17" s="15" t="n">
        <v>14210.62</v>
      </c>
      <c r="AC17" s="15" t="n">
        <v>-14218.75</v>
      </c>
      <c r="AD17" s="15" t="n">
        <v>-30</v>
      </c>
      <c r="AE17" s="15" t="n">
        <v>40</v>
      </c>
      <c r="AF17" s="15" t="n">
        <v>5.92</v>
      </c>
      <c r="AG17" s="15" t="n">
        <v>0.09</v>
      </c>
      <c r="AH17" s="15" t="n">
        <v>1.42</v>
      </c>
      <c r="AI17" s="15" t="n">
        <v>7.22</v>
      </c>
      <c r="AJ17" s="15" t="n">
        <v>54.65</v>
      </c>
      <c r="AK17" s="15" t="n">
        <v>-14273.4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5" t="inlineStr">
        <is>
          <t>2026-06-30</t>
        </is>
      </c>
      <c r="B18" s="15" t="inlineStr">
        <is>
          <t>NIFTY</t>
        </is>
      </c>
      <c r="C18" s="15" t="inlineStr">
        <is>
          <t>Bear Put Spread</t>
        </is>
      </c>
      <c r="D18" s="15" t="inlineStr">
        <is>
          <t>Bear Put Spread</t>
        </is>
      </c>
      <c r="E18" s="15" t="inlineStr">
        <is>
          <t>SIMULATED</t>
        </is>
      </c>
      <c r="F18" s="15" t="inlineStr">
        <is>
          <t>BULLISH</t>
        </is>
      </c>
      <c r="G18" s="15" t="inlineStr">
        <is>
          <t>Price↑(24056.0&gt;24021.65) &amp; EMA9↑(23931.75&gt;23779.81)</t>
        </is>
      </c>
      <c r="H18" s="15" t="n">
        <v>23931.75</v>
      </c>
      <c r="I18" s="15" t="n">
        <v>23779.81</v>
      </c>
      <c r="J18" s="15" t="inlineStr">
        <is>
          <t>2026-07-02</t>
        </is>
      </c>
      <c r="K18" s="15" t="inlineStr">
        <is>
          <t>WEEKLY</t>
        </is>
      </c>
      <c r="L18" s="15" t="n">
        <v>3</v>
      </c>
      <c r="M18" s="15" t="inlineStr">
        <is>
          <t>09:20 IST</t>
        </is>
      </c>
      <c r="N18" s="15" t="inlineStr">
        <is>
          <t>10:55 IST</t>
        </is>
      </c>
      <c r="O18" s="15" t="n">
        <v>24056</v>
      </c>
      <c r="P18" s="15" t="n">
        <v>24021.65</v>
      </c>
      <c r="Q18" s="15" t="inlineStr">
        <is>
          <t>24100 PE</t>
        </is>
      </c>
      <c r="R18" s="15" t="inlineStr">
        <is>
          <t>24000 PE</t>
        </is>
      </c>
      <c r="S18" s="15" t="n">
        <v>19</v>
      </c>
      <c r="T18" s="15" t="n">
        <v>65</v>
      </c>
      <c r="U18" s="15" t="n">
        <v>1235</v>
      </c>
      <c r="V18" s="15" t="n">
        <v>38.8</v>
      </c>
      <c r="W18" s="15" t="n">
        <v>27.16</v>
      </c>
      <c r="X18" s="15" t="n">
        <v>47918</v>
      </c>
      <c r="Y18" s="15" t="n">
        <v>47972.74</v>
      </c>
      <c r="Z18" s="15" t="n">
        <v>75582</v>
      </c>
      <c r="AA18" s="15" t="n">
        <v>14375.4</v>
      </c>
      <c r="AB18" s="15" t="n">
        <v>14375.4</v>
      </c>
      <c r="AC18" s="15" t="n">
        <v>-14375.4</v>
      </c>
      <c r="AD18" s="15" t="n">
        <v>-30</v>
      </c>
      <c r="AE18" s="15" t="n">
        <v>40</v>
      </c>
      <c r="AF18" s="15" t="n">
        <v>5.99</v>
      </c>
      <c r="AG18" s="15" t="n">
        <v>0.1</v>
      </c>
      <c r="AH18" s="15" t="n">
        <v>1.44</v>
      </c>
      <c r="AI18" s="15" t="n">
        <v>7.22</v>
      </c>
      <c r="AJ18" s="15" t="n">
        <v>54.74</v>
      </c>
      <c r="AK18" s="15" t="n">
        <v>-14430.14</v>
      </c>
      <c r="AL18" s="15" t="inlineStr">
        <is>
          <t>STOP LOSS</t>
        </is>
      </c>
      <c r="AM18" s="15" t="n">
        <v>50000</v>
      </c>
      <c r="AN18" s="15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23921.32</v>
      </c>
      <c r="I19" s="15" t="n">
        <v>23787.88</v>
      </c>
      <c r="J19" s="15" t="inlineStr">
        <is>
          <t>2026-07-02</t>
        </is>
      </c>
      <c r="K19" s="15" t="inlineStr">
        <is>
          <t>WEEKLY</t>
        </is>
      </c>
      <c r="L19" s="15" t="n">
        <v>2</v>
      </c>
      <c r="M19" s="15" t="inlineStr">
        <is>
          <t>09:20 IST</t>
        </is>
      </c>
      <c r="N19" s="15" t="inlineStr">
        <is>
          <t>11:18 IST</t>
        </is>
      </c>
      <c r="O19" s="15" t="n">
        <v>23865.75</v>
      </c>
      <c r="P19" s="15" t="n">
        <v>23946.25</v>
      </c>
      <c r="Q19" s="15" t="inlineStr">
        <is>
          <t>23900 PE</t>
        </is>
      </c>
      <c r="R19" s="15" t="inlineStr">
        <is>
          <t>23800 PE</t>
        </is>
      </c>
      <c r="S19" s="15" t="n">
        <v>33</v>
      </c>
      <c r="T19" s="15" t="n">
        <v>65</v>
      </c>
      <c r="U19" s="15" t="n">
        <v>2145</v>
      </c>
      <c r="V19" s="15" t="n">
        <v>22.56</v>
      </c>
      <c r="W19" s="15" t="n">
        <v>15.79</v>
      </c>
      <c r="X19" s="15" t="n">
        <v>48391.2</v>
      </c>
      <c r="Y19" s="15" t="n">
        <v>48446.01</v>
      </c>
      <c r="Z19" s="15" t="n">
        <v>166108.8</v>
      </c>
      <c r="AA19" s="15" t="n">
        <v>14517.36</v>
      </c>
      <c r="AB19" s="15" t="n">
        <v>14517.36</v>
      </c>
      <c r="AC19" s="15" t="n">
        <v>-14521.65</v>
      </c>
      <c r="AD19" s="15" t="n">
        <v>-30</v>
      </c>
      <c r="AE19" s="15" t="n">
        <v>40</v>
      </c>
      <c r="AF19" s="15" t="n">
        <v>6.05</v>
      </c>
      <c r="AG19" s="15" t="n">
        <v>0.1</v>
      </c>
      <c r="AH19" s="15" t="n">
        <v>1.45</v>
      </c>
      <c r="AI19" s="15" t="n">
        <v>7.22</v>
      </c>
      <c r="AJ19" s="15" t="n">
        <v>54.81</v>
      </c>
      <c r="AK19" s="15" t="n">
        <v>-14576.46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12:16 IST</t>
        </is>
      </c>
      <c r="O20" s="17" t="n">
        <v>23946.25</v>
      </c>
      <c r="P20" s="17" t="n">
        <v>24056</v>
      </c>
      <c r="Q20" s="17" t="inlineStr">
        <is>
          <t>24000 PE</t>
        </is>
      </c>
      <c r="R20" s="17" t="inlineStr">
        <is>
          <t>23900 PE</t>
        </is>
      </c>
      <c r="S20" s="17" t="n">
        <v>31</v>
      </c>
      <c r="T20" s="17" t="n">
        <v>65</v>
      </c>
      <c r="U20" s="17" t="n">
        <v>2015</v>
      </c>
      <c r="V20" s="17" t="n">
        <v>23.9</v>
      </c>
      <c r="W20" s="17" t="n">
        <v>31.07</v>
      </c>
      <c r="X20" s="17" t="n">
        <v>48158.5</v>
      </c>
      <c r="Y20" s="17" t="n">
        <v>48213.28</v>
      </c>
      <c r="Z20" s="17" t="n">
        <v>153341.5</v>
      </c>
      <c r="AA20" s="17" t="n">
        <v>14447.55</v>
      </c>
      <c r="AB20" s="17" t="n">
        <v>14447.55</v>
      </c>
      <c r="AC20" s="17" t="n">
        <v>14447.55</v>
      </c>
      <c r="AD20" s="17" t="n">
        <v>30</v>
      </c>
      <c r="AE20" s="17" t="n">
        <v>40</v>
      </c>
      <c r="AF20" s="17" t="n">
        <v>6.02</v>
      </c>
      <c r="AG20" s="17" t="n">
        <v>0.1</v>
      </c>
      <c r="AH20" s="17" t="n">
        <v>1.44</v>
      </c>
      <c r="AI20" s="17" t="n">
        <v>7.22</v>
      </c>
      <c r="AJ20" s="17" t="n">
        <v>54.78</v>
      </c>
      <c r="AK20" s="17" t="n">
        <v>14392.77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NIFTY</t>
        </is>
      </c>
      <c r="C21" s="17" t="inlineStr">
        <is>
          <t>Bear Put Spread</t>
        </is>
      </c>
      <c r="D21" s="17" t="inlineStr">
        <is>
          <t>Bear Put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Price↑(24005.85&gt;23865.75) &amp; EMA9↑(23938.67&gt;23797.85)</t>
        </is>
      </c>
      <c r="H21" s="17" t="n">
        <v>23938.67</v>
      </c>
      <c r="I21" s="17" t="n">
        <v>23797.85</v>
      </c>
      <c r="J21" s="17" t="inlineStr">
        <is>
          <t>2026-07-02</t>
        </is>
      </c>
      <c r="K21" s="17" t="inlineStr">
        <is>
          <t>WEEKLY</t>
        </is>
      </c>
      <c r="L21" s="17" t="n">
        <v>1</v>
      </c>
      <c r="M21" s="17" t="inlineStr">
        <is>
          <t>09:20 IST</t>
        </is>
      </c>
      <c r="N21" s="17" t="inlineStr">
        <is>
          <t>09:58 IST</t>
        </is>
      </c>
      <c r="O21" s="17" t="n">
        <v>24005.85</v>
      </c>
      <c r="P21" s="17" t="n">
        <v>23865.75</v>
      </c>
      <c r="Q21" s="17" t="inlineStr">
        <is>
          <t>24100 PE</t>
        </is>
      </c>
      <c r="R21" s="17" t="inlineStr">
        <is>
          <t>24000 PE</t>
        </is>
      </c>
      <c r="S21" s="17" t="n">
        <v>30</v>
      </c>
      <c r="T21" s="17" t="n">
        <v>65</v>
      </c>
      <c r="U21" s="17" t="n">
        <v>1950</v>
      </c>
      <c r="V21" s="17" t="n">
        <v>24.98</v>
      </c>
      <c r="W21" s="17" t="n">
        <v>32.47</v>
      </c>
      <c r="X21" s="17" t="n">
        <v>48711</v>
      </c>
      <c r="Y21" s="17" t="n">
        <v>48765.87</v>
      </c>
      <c r="Z21" s="17" t="n">
        <v>146289</v>
      </c>
      <c r="AA21" s="17" t="n">
        <v>14613.3</v>
      </c>
      <c r="AB21" s="17" t="n">
        <v>14613.3</v>
      </c>
      <c r="AC21" s="17" t="n">
        <v>14605.5</v>
      </c>
      <c r="AD21" s="17" t="n">
        <v>30</v>
      </c>
      <c r="AE21" s="17" t="n">
        <v>40</v>
      </c>
      <c r="AF21" s="17" t="n">
        <v>6.09</v>
      </c>
      <c r="AG21" s="17" t="n">
        <v>0.1</v>
      </c>
      <c r="AH21" s="17" t="n">
        <v>1.46</v>
      </c>
      <c r="AI21" s="17" t="n">
        <v>7.22</v>
      </c>
      <c r="AJ21" s="17" t="n">
        <v>54.87</v>
      </c>
      <c r="AK21" s="17" t="n">
        <v>14550.63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10:53 IST</t>
        </is>
      </c>
      <c r="O22" s="17" t="n">
        <v>23865.75</v>
      </c>
      <c r="P22" s="17" t="n">
        <v>23946.25</v>
      </c>
      <c r="Q22" s="17" t="inlineStr">
        <is>
          <t>23900 PE</t>
        </is>
      </c>
      <c r="R22" s="17" t="inlineStr">
        <is>
          <t>23800 PE</t>
        </is>
      </c>
      <c r="S22" s="17" t="n">
        <v>32</v>
      </c>
      <c r="T22" s="17" t="n">
        <v>65</v>
      </c>
      <c r="U22" s="17" t="n">
        <v>2080</v>
      </c>
      <c r="V22" s="17" t="n">
        <v>23.18</v>
      </c>
      <c r="W22" s="17" t="n">
        <v>30.13</v>
      </c>
      <c r="X22" s="17" t="n">
        <v>48214.4</v>
      </c>
      <c r="Y22" s="17" t="n">
        <v>48269.19</v>
      </c>
      <c r="Z22" s="17" t="n">
        <v>159785.6</v>
      </c>
      <c r="AA22" s="17" t="n">
        <v>14464.32</v>
      </c>
      <c r="AB22" s="17" t="n">
        <v>14464.32</v>
      </c>
      <c r="AC22" s="17" t="n">
        <v>14456</v>
      </c>
      <c r="AD22" s="17" t="n">
        <v>30</v>
      </c>
      <c r="AE22" s="17" t="n">
        <v>40</v>
      </c>
      <c r="AF22" s="17" t="n">
        <v>6.03</v>
      </c>
      <c r="AG22" s="17" t="n">
        <v>0.1</v>
      </c>
      <c r="AH22" s="17" t="n">
        <v>1.45</v>
      </c>
      <c r="AI22" s="17" t="n">
        <v>7.22</v>
      </c>
      <c r="AJ22" s="17" t="n">
        <v>54.79</v>
      </c>
      <c r="AK22" s="17" t="n">
        <v>14401.21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2026-07-02</t>
        </is>
      </c>
      <c r="B23" s="15" t="inlineStr">
        <is>
          <t>NIFTY</t>
        </is>
      </c>
      <c r="C23" s="15" t="inlineStr">
        <is>
          <t>Bear Put Spread</t>
        </is>
      </c>
      <c r="D23" s="15" t="inlineStr">
        <is>
          <t>Bear Put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Price↑(24175.7&gt;24005.85) &amp; EMA9↑(23986.43&gt;23821.26)</t>
        </is>
      </c>
      <c r="H23" s="15" t="n">
        <v>23986.43</v>
      </c>
      <c r="I23" s="15" t="n">
        <v>23821.26</v>
      </c>
      <c r="J23" s="15" t="inlineStr">
        <is>
          <t>2026-07-02</t>
        </is>
      </c>
      <c r="K23" s="15" t="inlineStr">
        <is>
          <t>WEEKLY</t>
        </is>
      </c>
      <c r="L23" s="15" t="n">
        <v>0</v>
      </c>
      <c r="M23" s="15" t="inlineStr">
        <is>
          <t>09:20 IST</t>
        </is>
      </c>
      <c r="N23" s="15" t="inlineStr">
        <is>
          <t>09:30 IST</t>
        </is>
      </c>
      <c r="O23" s="15" t="n">
        <v>24175.7</v>
      </c>
      <c r="P23" s="15" t="n">
        <v>24005.85</v>
      </c>
      <c r="Q23" s="15" t="inlineStr">
        <is>
          <t>24200 PE</t>
        </is>
      </c>
      <c r="R23" s="15" t="inlineStr">
        <is>
          <t>24100 PE</t>
        </is>
      </c>
      <c r="S23" s="15" t="n">
        <v>37</v>
      </c>
      <c r="T23" s="15" t="n">
        <v>65</v>
      </c>
      <c r="U23" s="15" t="n">
        <v>2405</v>
      </c>
      <c r="V23" s="15" t="n">
        <v>20.16</v>
      </c>
      <c r="W23" s="15" t="n">
        <v>14.11</v>
      </c>
      <c r="X23" s="15" t="n">
        <v>48484.8</v>
      </c>
      <c r="Y23" s="15" t="n">
        <v>48539.63</v>
      </c>
      <c r="Z23" s="15" t="n">
        <v>192015.2</v>
      </c>
      <c r="AA23" s="15" t="n">
        <v>14545.44</v>
      </c>
      <c r="AB23" s="15" t="n">
        <v>14545.44</v>
      </c>
      <c r="AC23" s="15" t="n">
        <v>-14550.25</v>
      </c>
      <c r="AD23" s="15" t="n">
        <v>-30</v>
      </c>
      <c r="AE23" s="15" t="n">
        <v>40</v>
      </c>
      <c r="AF23" s="15" t="n">
        <v>6.06</v>
      </c>
      <c r="AG23" s="15" t="n">
        <v>0.1</v>
      </c>
      <c r="AH23" s="15" t="n">
        <v>1.45</v>
      </c>
      <c r="AI23" s="15" t="n">
        <v>7.22</v>
      </c>
      <c r="AJ23" s="15" t="n">
        <v>54.83</v>
      </c>
      <c r="AK23" s="15" t="n">
        <v>-14605.08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Bear Put Spread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09:49 IST</t>
        </is>
      </c>
      <c r="O24" s="17" t="n">
        <v>24005.85</v>
      </c>
      <c r="P24" s="17" t="n">
        <v>23865.75</v>
      </c>
      <c r="Q24" s="17" t="inlineStr">
        <is>
          <t>24100 PE</t>
        </is>
      </c>
      <c r="R24" s="17" t="inlineStr">
        <is>
          <t>24000 PE</t>
        </is>
      </c>
      <c r="S24" s="17" t="n">
        <v>37</v>
      </c>
      <c r="T24" s="17" t="n">
        <v>65</v>
      </c>
      <c r="U24" s="17" t="n">
        <v>2405</v>
      </c>
      <c r="V24" s="17" t="n">
        <v>19.76</v>
      </c>
      <c r="W24" s="17" t="n">
        <v>25.69</v>
      </c>
      <c r="X24" s="17" t="n">
        <v>47522.8</v>
      </c>
      <c r="Y24" s="17" t="n">
        <v>47577.48</v>
      </c>
      <c r="Z24" s="17" t="n">
        <v>192977.2</v>
      </c>
      <c r="AA24" s="17" t="n">
        <v>14256.84</v>
      </c>
      <c r="AB24" s="17" t="n">
        <v>14256.84</v>
      </c>
      <c r="AC24" s="17" t="n">
        <v>14261.65</v>
      </c>
      <c r="AD24" s="17" t="n">
        <v>30</v>
      </c>
      <c r="AE24" s="17" t="n">
        <v>40</v>
      </c>
      <c r="AF24" s="17" t="n">
        <v>5.94</v>
      </c>
      <c r="AG24" s="17" t="n">
        <v>0.1</v>
      </c>
      <c r="AH24" s="17" t="n">
        <v>1.43</v>
      </c>
      <c r="AI24" s="17" t="n">
        <v>7.22</v>
      </c>
      <c r="AJ24" s="17" t="n">
        <v>54.68</v>
      </c>
      <c r="AK24" s="17" t="n">
        <v>14206.97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11:49 IST</t>
        </is>
      </c>
      <c r="O25" s="17" t="n">
        <v>24270.85</v>
      </c>
      <c r="P25" s="17" t="n">
        <v>24175.7</v>
      </c>
      <c r="Q25" s="17" t="inlineStr">
        <is>
          <t>24300 PE</t>
        </is>
      </c>
      <c r="R25" s="17" t="inlineStr">
        <is>
          <t>24200 PE</t>
        </is>
      </c>
      <c r="S25" s="17" t="n">
        <v>25</v>
      </c>
      <c r="T25" s="17" t="n">
        <v>65</v>
      </c>
      <c r="U25" s="17" t="n">
        <v>1625</v>
      </c>
      <c r="V25" s="17" t="n">
        <v>29.5</v>
      </c>
      <c r="W25" s="17" t="n">
        <v>38.35</v>
      </c>
      <c r="X25" s="17" t="n">
        <v>47937.5</v>
      </c>
      <c r="Y25" s="17" t="n">
        <v>47992.24</v>
      </c>
      <c r="Z25" s="17" t="n">
        <v>114562.5</v>
      </c>
      <c r="AA25" s="17" t="n">
        <v>14381.25</v>
      </c>
      <c r="AB25" s="17" t="n">
        <v>14381.25</v>
      </c>
      <c r="AC25" s="17" t="n">
        <v>14381.25</v>
      </c>
      <c r="AD25" s="17" t="n">
        <v>30</v>
      </c>
      <c r="AE25" s="17" t="n">
        <v>40</v>
      </c>
      <c r="AF25" s="17" t="n">
        <v>5.99</v>
      </c>
      <c r="AG25" s="17" t="n">
        <v>0.1</v>
      </c>
      <c r="AH25" s="17" t="n">
        <v>1.44</v>
      </c>
      <c r="AI25" s="17" t="n">
        <v>7.22</v>
      </c>
      <c r="AJ25" s="17" t="n">
        <v>54.74</v>
      </c>
      <c r="AK25" s="17" t="n">
        <v>14326.51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Bear Put Spread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11:52 IST</t>
        </is>
      </c>
      <c r="O26" s="17" t="n">
        <v>24175.7</v>
      </c>
      <c r="P26" s="17" t="n">
        <v>24005.85</v>
      </c>
      <c r="Q26" s="17" t="inlineStr">
        <is>
          <t>24200 PE</t>
        </is>
      </c>
      <c r="R26" s="17" t="inlineStr">
        <is>
          <t>24100 PE</t>
        </is>
      </c>
      <c r="S26" s="17" t="n">
        <v>19</v>
      </c>
      <c r="T26" s="17" t="n">
        <v>65</v>
      </c>
      <c r="U26" s="17" t="n">
        <v>1235</v>
      </c>
      <c r="V26" s="17" t="n">
        <v>39.83</v>
      </c>
      <c r="W26" s="17" t="n">
        <v>51.78</v>
      </c>
      <c r="X26" s="17" t="n">
        <v>49190.05</v>
      </c>
      <c r="Y26" s="17" t="n">
        <v>49244.99</v>
      </c>
      <c r="Z26" s="17" t="n">
        <v>74309.95</v>
      </c>
      <c r="AA26" s="17" t="n">
        <v>14757.01</v>
      </c>
      <c r="AB26" s="17" t="n">
        <v>14757.01</v>
      </c>
      <c r="AC26" s="17" t="n">
        <v>14758.25</v>
      </c>
      <c r="AD26" s="17" t="n">
        <v>30</v>
      </c>
      <c r="AE26" s="17" t="n">
        <v>40</v>
      </c>
      <c r="AF26" s="17" t="n">
        <v>6.15</v>
      </c>
      <c r="AG26" s="17" t="n">
        <v>0.1</v>
      </c>
      <c r="AH26" s="17" t="n">
        <v>1.48</v>
      </c>
      <c r="AI26" s="17" t="n">
        <v>7.22</v>
      </c>
      <c r="AJ26" s="17" t="n">
        <v>54.94</v>
      </c>
      <c r="AK26" s="17" t="n">
        <v>14703.31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Bear Put Spread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11:22 IST</t>
        </is>
      </c>
      <c r="O27" s="17" t="n">
        <v>24430.35</v>
      </c>
      <c r="P27" s="17" t="n">
        <v>24270.85</v>
      </c>
      <c r="Q27" s="17" t="inlineStr">
        <is>
          <t>24500 PE</t>
        </is>
      </c>
      <c r="R27" s="17" t="inlineStr">
        <is>
          <t>24400 PE</t>
        </is>
      </c>
      <c r="S27" s="17" t="n">
        <v>29</v>
      </c>
      <c r="T27" s="17" t="n">
        <v>65</v>
      </c>
      <c r="U27" s="17" t="n">
        <v>1885</v>
      </c>
      <c r="V27" s="17" t="n">
        <v>25.41</v>
      </c>
      <c r="W27" s="17" t="n">
        <v>33.03</v>
      </c>
      <c r="X27" s="17" t="n">
        <v>47897.85</v>
      </c>
      <c r="Y27" s="17" t="n">
        <v>47952.59</v>
      </c>
      <c r="Z27" s="17" t="n">
        <v>140602.15</v>
      </c>
      <c r="AA27" s="17" t="n">
        <v>14369.35</v>
      </c>
      <c r="AB27" s="17" t="n">
        <v>14369.35</v>
      </c>
      <c r="AC27" s="17" t="n">
        <v>14363.7</v>
      </c>
      <c r="AD27" s="17" t="n">
        <v>30</v>
      </c>
      <c r="AE27" s="17" t="n">
        <v>40</v>
      </c>
      <c r="AF27" s="17" t="n">
        <v>5.99</v>
      </c>
      <c r="AG27" s="17" t="n">
        <v>0.1</v>
      </c>
      <c r="AH27" s="17" t="n">
        <v>1.44</v>
      </c>
      <c r="AI27" s="17" t="n">
        <v>7.22</v>
      </c>
      <c r="AJ27" s="17" t="n">
        <v>54.74</v>
      </c>
      <c r="AK27" s="17" t="n">
        <v>14308.96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Price↑(24270.85&gt;24175.7) &amp; EMA9↑(24043.47&gt;23837.96)</t>
        </is>
      </c>
      <c r="H28" s="17" t="n">
        <v>24043.47</v>
      </c>
      <c r="I28" s="17" t="n">
        <v>23837.96</v>
      </c>
      <c r="J28" s="17" t="inlineStr">
        <is>
          <t>2026-07-09</t>
        </is>
      </c>
      <c r="K28" s="17" t="inlineStr">
        <is>
          <t>WEEKLY</t>
        </is>
      </c>
      <c r="L28" s="17" t="n">
        <v>3</v>
      </c>
      <c r="M28" s="17" t="inlineStr">
        <is>
          <t>09:20 IST</t>
        </is>
      </c>
      <c r="N28" s="17" t="inlineStr">
        <is>
          <t>10:18 IST</t>
        </is>
      </c>
      <c r="O28" s="17" t="n">
        <v>24270.85</v>
      </c>
      <c r="P28" s="17" t="n">
        <v>24175.7</v>
      </c>
      <c r="Q28" s="17" t="inlineStr">
        <is>
          <t>24300 PE</t>
        </is>
      </c>
      <c r="R28" s="17" t="inlineStr">
        <is>
          <t>24200 PE</t>
        </is>
      </c>
      <c r="S28" s="17" t="n">
        <v>19</v>
      </c>
      <c r="T28" s="17" t="n">
        <v>65</v>
      </c>
      <c r="U28" s="17" t="n">
        <v>1235</v>
      </c>
      <c r="V28" s="17" t="n">
        <v>38.72</v>
      </c>
      <c r="W28" s="17" t="n">
        <v>50.34</v>
      </c>
      <c r="X28" s="17" t="n">
        <v>47819.2</v>
      </c>
      <c r="Y28" s="17" t="n">
        <v>47873.92</v>
      </c>
      <c r="Z28" s="17" t="n">
        <v>75680.8</v>
      </c>
      <c r="AA28" s="17" t="n">
        <v>14345.76</v>
      </c>
      <c r="AB28" s="17" t="n">
        <v>14345.76</v>
      </c>
      <c r="AC28" s="17" t="n">
        <v>14350.7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1.43</v>
      </c>
      <c r="AI28" s="17" t="n">
        <v>7.22</v>
      </c>
      <c r="AJ28" s="17" t="n">
        <v>54.72</v>
      </c>
      <c r="AK28" s="17" t="n">
        <v>14295.98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Bear Put Spread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10:29 IST</t>
        </is>
      </c>
      <c r="O29" s="17" t="n">
        <v>24398.7</v>
      </c>
      <c r="P29" s="17" t="n">
        <v>24430.35</v>
      </c>
      <c r="Q29" s="17" t="inlineStr">
        <is>
          <t>24400 PE</t>
        </is>
      </c>
      <c r="R29" s="17" t="inlineStr">
        <is>
          <t>24300 PE</t>
        </is>
      </c>
      <c r="S29" s="17" t="n">
        <v>36</v>
      </c>
      <c r="T29" s="17" t="n">
        <v>65</v>
      </c>
      <c r="U29" s="17" t="n">
        <v>2340</v>
      </c>
      <c r="V29" s="17" t="n">
        <v>20.53</v>
      </c>
      <c r="W29" s="17" t="n">
        <v>26.69</v>
      </c>
      <c r="X29" s="17" t="n">
        <v>48040.2</v>
      </c>
      <c r="Y29" s="17" t="n">
        <v>48094.96</v>
      </c>
      <c r="Z29" s="17" t="n">
        <v>185959.8</v>
      </c>
      <c r="AA29" s="17" t="n">
        <v>14412.06</v>
      </c>
      <c r="AB29" s="17" t="n">
        <v>14412.06</v>
      </c>
      <c r="AC29" s="17" t="n">
        <v>14414.4</v>
      </c>
      <c r="AD29" s="17" t="n">
        <v>30</v>
      </c>
      <c r="AE29" s="17" t="n">
        <v>40</v>
      </c>
      <c r="AF29" s="17" t="n">
        <v>6.01</v>
      </c>
      <c r="AG29" s="17" t="n">
        <v>0.1</v>
      </c>
      <c r="AH29" s="17" t="n">
        <v>1.44</v>
      </c>
      <c r="AI29" s="17" t="n">
        <v>7.22</v>
      </c>
      <c r="AJ29" s="17" t="n">
        <v>54.76</v>
      </c>
      <c r="AK29" s="17" t="n">
        <v>14359.64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2026-07-08</t>
        </is>
      </c>
      <c r="B30" s="17" t="inlineStr">
        <is>
          <t>NIFTY</t>
        </is>
      </c>
      <c r="C30" s="17" t="inlineStr">
        <is>
          <t>Bear Put Spread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Price↑(24430.35&gt;24270.85) &amp; EMA9↑(24120.45&gt;23875.28)</t>
        </is>
      </c>
      <c r="H30" s="17" t="n">
        <v>24120.45</v>
      </c>
      <c r="I30" s="17" t="n">
        <v>23875.28</v>
      </c>
      <c r="J30" s="17" t="inlineStr">
        <is>
          <t>2026-07-09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12:09 IST</t>
        </is>
      </c>
      <c r="O30" s="17" t="n">
        <v>24430.35</v>
      </c>
      <c r="P30" s="17" t="n">
        <v>24270.85</v>
      </c>
      <c r="Q30" s="17" t="inlineStr">
        <is>
          <t>24500 PE</t>
        </is>
      </c>
      <c r="R30" s="17" t="inlineStr">
        <is>
          <t>24400 PE</t>
        </is>
      </c>
      <c r="S30" s="17" t="n">
        <v>39</v>
      </c>
      <c r="T30" s="17" t="n">
        <v>65</v>
      </c>
      <c r="U30" s="17" t="n">
        <v>2535</v>
      </c>
      <c r="V30" s="17" t="n">
        <v>18.7</v>
      </c>
      <c r="W30" s="17" t="n">
        <v>24.31</v>
      </c>
      <c r="X30" s="17" t="n">
        <v>47404.5</v>
      </c>
      <c r="Y30" s="17" t="n">
        <v>47459.16</v>
      </c>
      <c r="Z30" s="17" t="n">
        <v>206095.5</v>
      </c>
      <c r="AA30" s="17" t="n">
        <v>14221.35</v>
      </c>
      <c r="AB30" s="17" t="n">
        <v>14221.35</v>
      </c>
      <c r="AC30" s="17" t="n">
        <v>14221.35</v>
      </c>
      <c r="AD30" s="17" t="n">
        <v>30</v>
      </c>
      <c r="AE30" s="17" t="n">
        <v>40</v>
      </c>
      <c r="AF30" s="17" t="n">
        <v>5.93</v>
      </c>
      <c r="AG30" s="17" t="n">
        <v>0.09</v>
      </c>
      <c r="AH30" s="17" t="n">
        <v>1.42</v>
      </c>
      <c r="AI30" s="17" t="n">
        <v>7.22</v>
      </c>
      <c r="AJ30" s="17" t="n">
        <v>54.66</v>
      </c>
      <c r="AK30" s="17" t="n">
        <v>14166.69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Bear Put Spread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11:36 IST</t>
        </is>
      </c>
      <c r="O31" s="17" t="n">
        <v>23882.05</v>
      </c>
      <c r="P31" s="17" t="n">
        <v>24398.7</v>
      </c>
      <c r="Q31" s="17" t="inlineStr">
        <is>
          <t>23900 PE</t>
        </is>
      </c>
      <c r="R31" s="17" t="inlineStr">
        <is>
          <t>23800 PE</t>
        </is>
      </c>
      <c r="S31" s="17" t="n">
        <v>36</v>
      </c>
      <c r="T31" s="17" t="n">
        <v>65</v>
      </c>
      <c r="U31" s="17" t="n">
        <v>2340</v>
      </c>
      <c r="V31" s="17" t="n">
        <v>20.74</v>
      </c>
      <c r="W31" s="17" t="n">
        <v>26.96</v>
      </c>
      <c r="X31" s="17" t="n">
        <v>48531.6</v>
      </c>
      <c r="Y31" s="17" t="n">
        <v>48586.44</v>
      </c>
      <c r="Z31" s="17" t="n">
        <v>185468.4</v>
      </c>
      <c r="AA31" s="17" t="n">
        <v>14559.48</v>
      </c>
      <c r="AB31" s="17" t="n">
        <v>14559.48</v>
      </c>
      <c r="AC31" s="17" t="n">
        <v>14554.8</v>
      </c>
      <c r="AD31" s="17" t="n">
        <v>30</v>
      </c>
      <c r="AE31" s="17" t="n">
        <v>40</v>
      </c>
      <c r="AF31" s="17" t="n">
        <v>6.07</v>
      </c>
      <c r="AG31" s="17" t="n">
        <v>0.1</v>
      </c>
      <c r="AH31" s="17" t="n">
        <v>1.46</v>
      </c>
      <c r="AI31" s="17" t="n">
        <v>7.22</v>
      </c>
      <c r="AJ31" s="17" t="n">
        <v>54.84</v>
      </c>
      <c r="AK31" s="17" t="n">
        <v>14499.96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Bear Put Spread</t>
        </is>
      </c>
      <c r="D32" s="16" t="inlineStr">
        <is>
          <t>Bear Put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13:25 IST</t>
        </is>
      </c>
      <c r="O32" s="16" t="n">
        <v>24398.7</v>
      </c>
      <c r="P32" s="16" t="n">
        <v>24430.35</v>
      </c>
      <c r="Q32" s="16" t="inlineStr">
        <is>
          <t>24400 PE</t>
        </is>
      </c>
      <c r="R32" s="16" t="inlineStr">
        <is>
          <t>24300 PE</t>
        </is>
      </c>
      <c r="S32" s="16" t="n">
        <v>33</v>
      </c>
      <c r="T32" s="16" t="n">
        <v>65</v>
      </c>
      <c r="U32" s="16" t="n">
        <v>2145</v>
      </c>
      <c r="V32" s="16" t="n">
        <v>22.31</v>
      </c>
      <c r="W32" s="16" t="n">
        <v>21.86</v>
      </c>
      <c r="X32" s="16" t="n">
        <v>47854.95</v>
      </c>
      <c r="Y32" s="16" t="n">
        <v>47909.68</v>
      </c>
      <c r="Z32" s="16" t="n">
        <v>166645.05</v>
      </c>
      <c r="AA32" s="16" t="n">
        <v>14356.48</v>
      </c>
      <c r="AB32" s="16" t="n">
        <v>14356.48</v>
      </c>
      <c r="AC32" s="16" t="n">
        <v>-965.25</v>
      </c>
      <c r="AD32" s="16" t="n">
        <v>-2</v>
      </c>
      <c r="AE32" s="16" t="n">
        <v>40</v>
      </c>
      <c r="AF32" s="16" t="n">
        <v>5.98</v>
      </c>
      <c r="AG32" s="16" t="n">
        <v>0.1</v>
      </c>
      <c r="AH32" s="16" t="n">
        <v>1.44</v>
      </c>
      <c r="AI32" s="16" t="n">
        <v>7.22</v>
      </c>
      <c r="AJ32" s="16" t="n">
        <v>54.73</v>
      </c>
      <c r="AK32" s="16" t="n">
        <v>-1019.98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12:11 IST</t>
        </is>
      </c>
      <c r="O33" s="17" t="n">
        <v>23962.8</v>
      </c>
      <c r="P33" s="17" t="n">
        <v>23882.05</v>
      </c>
      <c r="Q33" s="17" t="inlineStr">
        <is>
          <t>24000 PE</t>
        </is>
      </c>
      <c r="R33" s="17" t="inlineStr">
        <is>
          <t>23900 PE</t>
        </is>
      </c>
      <c r="S33" s="17" t="n">
        <v>46</v>
      </c>
      <c r="T33" s="17" t="n">
        <v>65</v>
      </c>
      <c r="U33" s="17" t="n">
        <v>2990</v>
      </c>
      <c r="V33" s="17" t="n">
        <v>16</v>
      </c>
      <c r="W33" s="17" t="n">
        <v>20.8</v>
      </c>
      <c r="X33" s="17" t="n">
        <v>47840</v>
      </c>
      <c r="Y33" s="17" t="n">
        <v>47894.73</v>
      </c>
      <c r="Z33" s="17" t="n">
        <v>251160</v>
      </c>
      <c r="AA33" s="17" t="n">
        <v>14352</v>
      </c>
      <c r="AB33" s="17" t="n">
        <v>14352</v>
      </c>
      <c r="AC33" s="17" t="n">
        <v>14352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14297.27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NIFTY</t>
        </is>
      </c>
      <c r="C34" s="17" t="inlineStr">
        <is>
          <t>Bear Put Spread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24116.8</v>
      </c>
      <c r="I34" s="17" t="n">
        <v>23907.04</v>
      </c>
      <c r="J34" s="17" t="inlineStr">
        <is>
          <t>2026-07-09</t>
        </is>
      </c>
      <c r="K34" s="17" t="inlineStr">
        <is>
          <t>WEEKLY</t>
        </is>
      </c>
      <c r="L34" s="17" t="n">
        <v>0</v>
      </c>
      <c r="M34" s="17" t="inlineStr">
        <is>
          <t>09:20 IST</t>
        </is>
      </c>
      <c r="N34" s="17" t="inlineStr">
        <is>
          <t>10:18 IST</t>
        </is>
      </c>
      <c r="O34" s="17" t="n">
        <v>23882.05</v>
      </c>
      <c r="P34" s="17" t="n">
        <v>24398.7</v>
      </c>
      <c r="Q34" s="17" t="inlineStr">
        <is>
          <t>23900 PE</t>
        </is>
      </c>
      <c r="R34" s="17" t="inlineStr">
        <is>
          <t>23800 PE</t>
        </is>
      </c>
      <c r="S34" s="17" t="n">
        <v>32</v>
      </c>
      <c r="T34" s="17" t="n">
        <v>65</v>
      </c>
      <c r="U34" s="17" t="n">
        <v>2080</v>
      </c>
      <c r="V34" s="17" t="n">
        <v>22.99</v>
      </c>
      <c r="W34" s="17" t="n">
        <v>29.89</v>
      </c>
      <c r="X34" s="17" t="n">
        <v>47819.2</v>
      </c>
      <c r="Y34" s="17" t="n">
        <v>47873.92</v>
      </c>
      <c r="Z34" s="17" t="n">
        <v>160180.8</v>
      </c>
      <c r="AA34" s="17" t="n">
        <v>14345.76</v>
      </c>
      <c r="AB34" s="17" t="n">
        <v>14345.76</v>
      </c>
      <c r="AC34" s="17" t="n">
        <v>14352</v>
      </c>
      <c r="AD34" s="17" t="n">
        <v>30</v>
      </c>
      <c r="AE34" s="17" t="n">
        <v>40</v>
      </c>
      <c r="AF34" s="17" t="n">
        <v>5.98</v>
      </c>
      <c r="AG34" s="17" t="n">
        <v>0.1</v>
      </c>
      <c r="AH34" s="17" t="n">
        <v>1.43</v>
      </c>
      <c r="AI34" s="17" t="n">
        <v>7.22</v>
      </c>
      <c r="AJ34" s="17" t="n">
        <v>54.72</v>
      </c>
      <c r="AK34" s="17" t="n">
        <v>14297.28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Price↑(24206.9&gt;23962.8) &amp; EMA9↑(24110.13&gt;23937.59)</t>
        </is>
      </c>
      <c r="H35" s="17" t="n">
        <v>24110.13</v>
      </c>
      <c r="I35" s="17" t="n">
        <v>23937.59</v>
      </c>
      <c r="J35" s="17" t="inlineStr">
        <is>
          <t>2026-07-16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10:23 IST</t>
        </is>
      </c>
      <c r="O35" s="17" t="n">
        <v>24206.9</v>
      </c>
      <c r="P35" s="17" t="n">
        <v>23962.8</v>
      </c>
      <c r="Q35" s="17" t="inlineStr">
        <is>
          <t>24300 PE</t>
        </is>
      </c>
      <c r="R35" s="17" t="inlineStr">
        <is>
          <t>24200 PE</t>
        </is>
      </c>
      <c r="S35" s="17" t="n">
        <v>20</v>
      </c>
      <c r="T35" s="17" t="n">
        <v>65</v>
      </c>
      <c r="U35" s="17" t="n">
        <v>1300</v>
      </c>
      <c r="V35" s="17" t="n">
        <v>37.68</v>
      </c>
      <c r="W35" s="17" t="n">
        <v>48.98</v>
      </c>
      <c r="X35" s="17" t="n">
        <v>48984</v>
      </c>
      <c r="Y35" s="17" t="n">
        <v>49038.91</v>
      </c>
      <c r="Z35" s="17" t="n">
        <v>81016</v>
      </c>
      <c r="AA35" s="17" t="n">
        <v>14695.2</v>
      </c>
      <c r="AB35" s="17" t="n">
        <v>14695.2</v>
      </c>
      <c r="AC35" s="17" t="n">
        <v>14690</v>
      </c>
      <c r="AD35" s="17" t="n">
        <v>30</v>
      </c>
      <c r="AE35" s="17" t="n">
        <v>40</v>
      </c>
      <c r="AF35" s="17" t="n">
        <v>6.12</v>
      </c>
      <c r="AG35" s="17" t="n">
        <v>0.1</v>
      </c>
      <c r="AH35" s="17" t="n">
        <v>1.47</v>
      </c>
      <c r="AI35" s="17" t="n">
        <v>7.22</v>
      </c>
      <c r="AJ35" s="17" t="n">
        <v>54.91</v>
      </c>
      <c r="AK35" s="17" t="n">
        <v>14635.09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NIFTY</t>
        </is>
      </c>
      <c r="C36" s="17" t="inlineStr">
        <is>
          <t>Bear Put Spread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Price↑(23962.8&gt;23882.05) &amp; EMA9↑(24085.94&gt;23910.66)</t>
        </is>
      </c>
      <c r="H36" s="17" t="n">
        <v>24085.94</v>
      </c>
      <c r="I36" s="17" t="n">
        <v>23910.66</v>
      </c>
      <c r="J36" s="17" t="inlineStr">
        <is>
          <t>2026-07-16</t>
        </is>
      </c>
      <c r="K36" s="17" t="inlineStr">
        <is>
          <t>WEEKLY</t>
        </is>
      </c>
      <c r="L36" s="17" t="n">
        <v>6</v>
      </c>
      <c r="M36" s="17" t="inlineStr">
        <is>
          <t>09:20 IST</t>
        </is>
      </c>
      <c r="N36" s="17" t="inlineStr">
        <is>
          <t>10:44 IST</t>
        </is>
      </c>
      <c r="O36" s="17" t="n">
        <v>23962.8</v>
      </c>
      <c r="P36" s="17" t="n">
        <v>23882.05</v>
      </c>
      <c r="Q36" s="17" t="inlineStr">
        <is>
          <t>24000 PE</t>
        </is>
      </c>
      <c r="R36" s="17" t="inlineStr">
        <is>
          <t>23900 PE</t>
        </is>
      </c>
      <c r="S36" s="17" t="n">
        <v>18</v>
      </c>
      <c r="T36" s="17" t="n">
        <v>65</v>
      </c>
      <c r="U36" s="17" t="n">
        <v>1170</v>
      </c>
      <c r="V36" s="17" t="n">
        <v>39.96</v>
      </c>
      <c r="W36" s="17" t="n">
        <v>51.95</v>
      </c>
      <c r="X36" s="17" t="n">
        <v>46753.2</v>
      </c>
      <c r="Y36" s="17" t="n">
        <v>46807.76</v>
      </c>
      <c r="Z36" s="17" t="n">
        <v>70246.8</v>
      </c>
      <c r="AA36" s="17" t="n">
        <v>14025.96</v>
      </c>
      <c r="AB36" s="17" t="n">
        <v>14025.96</v>
      </c>
      <c r="AC36" s="17" t="n">
        <v>14028.3</v>
      </c>
      <c r="AD36" s="17" t="n">
        <v>30</v>
      </c>
      <c r="AE36" s="17" t="n">
        <v>40</v>
      </c>
      <c r="AF36" s="17" t="n">
        <v>5.84</v>
      </c>
      <c r="AG36" s="17" t="n">
        <v>0.09</v>
      </c>
      <c r="AH36" s="17" t="n">
        <v>1.4</v>
      </c>
      <c r="AI36" s="17" t="n">
        <v>7.22</v>
      </c>
      <c r="AJ36" s="17" t="n">
        <v>54.56</v>
      </c>
      <c r="AK36" s="17" t="n">
        <v>13973.74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NIFTY</t>
        </is>
      </c>
      <c r="C37" s="16" t="inlineStr">
        <is>
          <t>Bear Put Spread</t>
        </is>
      </c>
      <c r="D37" s="16" t="inlineStr">
        <is>
          <t>Bear Put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Price↑(24211.0&gt;24206.9) &amp; EMA9↑(24129.89&gt;23962.6)</t>
        </is>
      </c>
      <c r="H37" s="16" t="n">
        <v>24129.89</v>
      </c>
      <c r="I37" s="16" t="n">
        <v>23962.6</v>
      </c>
      <c r="J37" s="16" t="inlineStr">
        <is>
          <t>2026-07-16</t>
        </is>
      </c>
      <c r="K37" s="16" t="inlineStr">
        <is>
          <t>WEEKLY</t>
        </is>
      </c>
      <c r="L37" s="16" t="n">
        <v>3</v>
      </c>
      <c r="M37" s="16" t="inlineStr">
        <is>
          <t>09:20 IST</t>
        </is>
      </c>
      <c r="N37" s="16" t="inlineStr">
        <is>
          <t>14:44 IST</t>
        </is>
      </c>
      <c r="O37" s="16" t="n">
        <v>24211</v>
      </c>
      <c r="P37" s="16" t="n">
        <v>24206.9</v>
      </c>
      <c r="Q37" s="16" t="inlineStr">
        <is>
          <t>24300 PE</t>
        </is>
      </c>
      <c r="R37" s="16" t="inlineStr">
        <is>
          <t>24200 PE</t>
        </is>
      </c>
      <c r="S37" s="16" t="n">
        <v>26</v>
      </c>
      <c r="T37" s="16" t="n">
        <v>65</v>
      </c>
      <c r="U37" s="16" t="n">
        <v>1690</v>
      </c>
      <c r="V37" s="16" t="n">
        <v>28.01</v>
      </c>
      <c r="W37" s="16" t="n">
        <v>27.36</v>
      </c>
      <c r="X37" s="16" t="n">
        <v>47336.9</v>
      </c>
      <c r="Y37" s="16" t="n">
        <v>47391.55</v>
      </c>
      <c r="Z37" s="16" t="n">
        <v>121663.1</v>
      </c>
      <c r="AA37" s="16" t="n">
        <v>14201.07</v>
      </c>
      <c r="AB37" s="16" t="n">
        <v>14201.07</v>
      </c>
      <c r="AC37" s="16" t="n">
        <v>-1098.5</v>
      </c>
      <c r="AD37" s="16" t="n">
        <v>-2.3</v>
      </c>
      <c r="AE37" s="16" t="n">
        <v>40</v>
      </c>
      <c r="AF37" s="16" t="n">
        <v>5.92</v>
      </c>
      <c r="AG37" s="16" t="n">
        <v>0.09</v>
      </c>
      <c r="AH37" s="16" t="n">
        <v>1.42</v>
      </c>
      <c r="AI37" s="16" t="n">
        <v>7.22</v>
      </c>
      <c r="AJ37" s="16" t="n">
        <v>54.65</v>
      </c>
      <c r="AK37" s="16" t="n">
        <v>-1153.15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Price↑(24206.9&gt;23962.8) &amp; EMA9↑(24109.62&gt;23937.76)</t>
        </is>
      </c>
      <c r="H38" s="17" t="n">
        <v>24109.62</v>
      </c>
      <c r="I38" s="17" t="n">
        <v>23937.76</v>
      </c>
      <c r="J38" s="17" t="inlineStr">
        <is>
          <t>2026-07-16</t>
        </is>
      </c>
      <c r="K38" s="17" t="inlineStr">
        <is>
          <t>WEEKLY</t>
        </is>
      </c>
      <c r="L38" s="17" t="n">
        <v>3</v>
      </c>
      <c r="M38" s="17" t="inlineStr">
        <is>
          <t>09:20 IST</t>
        </is>
      </c>
      <c r="N38" s="17" t="inlineStr">
        <is>
          <t>11:50 IST</t>
        </is>
      </c>
      <c r="O38" s="17" t="n">
        <v>24206.9</v>
      </c>
      <c r="P38" s="17" t="n">
        <v>23962.8</v>
      </c>
      <c r="Q38" s="17" t="inlineStr">
        <is>
          <t>24300 PE</t>
        </is>
      </c>
      <c r="R38" s="17" t="inlineStr">
        <is>
          <t>24200 PE</t>
        </is>
      </c>
      <c r="S38" s="17" t="n">
        <v>21</v>
      </c>
      <c r="T38" s="17" t="n">
        <v>65</v>
      </c>
      <c r="U38" s="17" t="n">
        <v>1365</v>
      </c>
      <c r="V38" s="17" t="n">
        <v>35.58</v>
      </c>
      <c r="W38" s="17" t="n">
        <v>46.25</v>
      </c>
      <c r="X38" s="17" t="n">
        <v>48566.7</v>
      </c>
      <c r="Y38" s="17" t="n">
        <v>48621.54</v>
      </c>
      <c r="Z38" s="17" t="n">
        <v>87933.3</v>
      </c>
      <c r="AA38" s="17" t="n">
        <v>14570.01</v>
      </c>
      <c r="AB38" s="17" t="n">
        <v>14570.01</v>
      </c>
      <c r="AC38" s="17" t="n">
        <v>14564.55</v>
      </c>
      <c r="AD38" s="17" t="n">
        <v>30</v>
      </c>
      <c r="AE38" s="17" t="n">
        <v>40</v>
      </c>
      <c r="AF38" s="17" t="n">
        <v>6.07</v>
      </c>
      <c r="AG38" s="17" t="n">
        <v>0.1</v>
      </c>
      <c r="AH38" s="17" t="n">
        <v>1.46</v>
      </c>
      <c r="AI38" s="17" t="n">
        <v>7.22</v>
      </c>
      <c r="AJ38" s="17" t="n">
        <v>54.84</v>
      </c>
      <c r="AK38" s="17" t="n">
        <v>14509.71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24131.43</v>
      </c>
      <c r="I39" s="17" t="n">
        <v>23974.58</v>
      </c>
      <c r="J39" s="17" t="inlineStr">
        <is>
          <t>2026-07-16</t>
        </is>
      </c>
      <c r="K39" s="17" t="inlineStr">
        <is>
          <t>WEEKLY</t>
        </is>
      </c>
      <c r="L39" s="17" t="n">
        <v>2</v>
      </c>
      <c r="M39" s="17" t="inlineStr">
        <is>
          <t>09:20 IST</t>
        </is>
      </c>
      <c r="N39" s="17" t="inlineStr">
        <is>
          <t>10:20 IST</t>
        </is>
      </c>
      <c r="O39" s="17" t="n">
        <v>24141.15</v>
      </c>
      <c r="P39" s="17" t="n">
        <v>24211</v>
      </c>
      <c r="Q39" s="17" t="inlineStr">
        <is>
          <t>24200 PE</t>
        </is>
      </c>
      <c r="R39" s="17" t="inlineStr">
        <is>
          <t>24100 PE</t>
        </is>
      </c>
      <c r="S39" s="17" t="n">
        <v>45</v>
      </c>
      <c r="T39" s="17" t="n">
        <v>65</v>
      </c>
      <c r="U39" s="17" t="n">
        <v>2925</v>
      </c>
      <c r="V39" s="17" t="n">
        <v>16.14</v>
      </c>
      <c r="W39" s="17" t="n">
        <v>20.98</v>
      </c>
      <c r="X39" s="17" t="n">
        <v>47209.5</v>
      </c>
      <c r="Y39" s="17" t="n">
        <v>47264.13</v>
      </c>
      <c r="Z39" s="17" t="n">
        <v>245290.5</v>
      </c>
      <c r="AA39" s="17" t="n">
        <v>14162.85</v>
      </c>
      <c r="AB39" s="17" t="n">
        <v>14162.85</v>
      </c>
      <c r="AC39" s="17" t="n">
        <v>14157</v>
      </c>
      <c r="AD39" s="17" t="n">
        <v>30</v>
      </c>
      <c r="AE39" s="17" t="n">
        <v>40</v>
      </c>
      <c r="AF39" s="17" t="n">
        <v>5.9</v>
      </c>
      <c r="AG39" s="17" t="n">
        <v>0.09</v>
      </c>
      <c r="AH39" s="17" t="n">
        <v>1.42</v>
      </c>
      <c r="AI39" s="17" t="n">
        <v>7.22</v>
      </c>
      <c r="AJ39" s="17" t="n">
        <v>54.63</v>
      </c>
      <c r="AK39" s="17" t="n">
        <v>14102.37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Bear Put Spread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12:14 IST</t>
        </is>
      </c>
      <c r="O40" s="17" t="n">
        <v>24052.05</v>
      </c>
      <c r="P40" s="17" t="n">
        <v>24211</v>
      </c>
      <c r="Q40" s="17" t="inlineStr">
        <is>
          <t>24100 PE</t>
        </is>
      </c>
      <c r="R40" s="17" t="inlineStr">
        <is>
          <t>24000 PE</t>
        </is>
      </c>
      <c r="S40" s="17" t="n">
        <v>38</v>
      </c>
      <c r="T40" s="17" t="n">
        <v>65</v>
      </c>
      <c r="U40" s="17" t="n">
        <v>2470</v>
      </c>
      <c r="V40" s="17" t="n">
        <v>19.41</v>
      </c>
      <c r="W40" s="17" t="n">
        <v>25.23</v>
      </c>
      <c r="X40" s="17" t="n">
        <v>47942.7</v>
      </c>
      <c r="Y40" s="17" t="n">
        <v>47997.44</v>
      </c>
      <c r="Z40" s="17" t="n">
        <v>199057.3</v>
      </c>
      <c r="AA40" s="17" t="n">
        <v>14382.81</v>
      </c>
      <c r="AB40" s="17" t="n">
        <v>14382.81</v>
      </c>
      <c r="AC40" s="17" t="n">
        <v>14375.4</v>
      </c>
      <c r="AD40" s="17" t="n">
        <v>30</v>
      </c>
      <c r="AE40" s="17" t="n">
        <v>40</v>
      </c>
      <c r="AF40" s="17" t="n">
        <v>5.99</v>
      </c>
      <c r="AG40" s="17" t="n">
        <v>0.1</v>
      </c>
      <c r="AH40" s="17" t="n">
        <v>1.44</v>
      </c>
      <c r="AI40" s="17" t="n">
        <v>7.22</v>
      </c>
      <c r="AJ40" s="17" t="n">
        <v>54.74</v>
      </c>
      <c r="AK40" s="17" t="n">
        <v>14320.66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NIFTY</t>
        </is>
      </c>
      <c r="C41" s="16" t="inlineStr">
        <is>
          <t>Bear Put Spread</t>
        </is>
      </c>
      <c r="D41" s="16" t="inlineStr">
        <is>
          <t>Bear Put Spread</t>
        </is>
      </c>
      <c r="E41" s="16" t="inlineStr">
        <is>
          <t>SIMULATED</t>
        </is>
      </c>
      <c r="F41" s="16" t="inlineStr">
        <is>
          <t>SKIP</t>
        </is>
      </c>
      <c r="G41" s="16" t="inlineStr">
        <is>
          <t>Conflicting — Price:BEARISH EMA:BULLISH</t>
        </is>
      </c>
      <c r="H41" s="16" t="n">
        <v>24143.29</v>
      </c>
      <c r="I41" s="16" t="n">
        <v>23977</v>
      </c>
      <c r="J41" s="16" t="inlineStr">
        <is>
          <t>2026-07-16</t>
        </is>
      </c>
      <c r="K41" s="16" t="inlineStr">
        <is>
          <t>WEEKLY</t>
        </is>
      </c>
      <c r="L41" s="16" t="n">
        <v>1</v>
      </c>
      <c r="M41" s="16" t="inlineStr">
        <is>
          <t>09:20 IST</t>
        </is>
      </c>
      <c r="N41" s="16" t="inlineStr">
        <is>
          <t>14:07 IST</t>
        </is>
      </c>
      <c r="O41" s="16" t="n">
        <v>24204.6</v>
      </c>
      <c r="P41" s="16" t="n">
        <v>24211</v>
      </c>
      <c r="Q41" s="16" t="inlineStr">
        <is>
          <t>24300 PE</t>
        </is>
      </c>
      <c r="R41" s="16" t="inlineStr">
        <is>
          <t>24200 PE</t>
        </is>
      </c>
      <c r="S41" s="16" t="n">
        <v>30</v>
      </c>
      <c r="T41" s="16" t="n">
        <v>65</v>
      </c>
      <c r="U41" s="16" t="n">
        <v>1950</v>
      </c>
      <c r="V41" s="16" t="n">
        <v>24.38</v>
      </c>
      <c r="W41" s="16" t="n">
        <v>24.56</v>
      </c>
      <c r="X41" s="16" t="n">
        <v>47541</v>
      </c>
      <c r="Y41" s="16" t="n">
        <v>47595.68</v>
      </c>
      <c r="Z41" s="16" t="n">
        <v>147459</v>
      </c>
      <c r="AA41" s="16" t="n">
        <v>14262.3</v>
      </c>
      <c r="AB41" s="16" t="n">
        <v>14262.3</v>
      </c>
      <c r="AC41" s="16" t="n">
        <v>351</v>
      </c>
      <c r="AD41" s="16" t="n">
        <v>0.7</v>
      </c>
      <c r="AE41" s="16" t="n">
        <v>40</v>
      </c>
      <c r="AF41" s="16" t="n">
        <v>5.94</v>
      </c>
      <c r="AG41" s="16" t="n">
        <v>0.1</v>
      </c>
      <c r="AH41" s="16" t="n">
        <v>1.43</v>
      </c>
      <c r="AI41" s="16" t="n">
        <v>7.22</v>
      </c>
      <c r="AJ41" s="16" t="n">
        <v>54.68</v>
      </c>
      <c r="AK41" s="16" t="n">
        <v>296.32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NIFTY</t>
        </is>
      </c>
      <c r="C42" s="17" t="inlineStr">
        <is>
          <t>Bear Put Spread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24118.07</v>
      </c>
      <c r="I42" s="17" t="n">
        <v>23965.53</v>
      </c>
      <c r="J42" s="17" t="inlineStr">
        <is>
          <t>2026-07-16</t>
        </is>
      </c>
      <c r="K42" s="17" t="inlineStr">
        <is>
          <t>WEEKLY</t>
        </is>
      </c>
      <c r="L42" s="17" t="n">
        <v>1</v>
      </c>
      <c r="M42" s="17" t="inlineStr">
        <is>
          <t>09:20 IST</t>
        </is>
      </c>
      <c r="N42" s="17" t="inlineStr">
        <is>
          <t>11:04 IST</t>
        </is>
      </c>
      <c r="O42" s="17" t="n">
        <v>24078.5</v>
      </c>
      <c r="P42" s="17" t="n">
        <v>24211</v>
      </c>
      <c r="Q42" s="17" t="inlineStr">
        <is>
          <t>24100 PE</t>
        </is>
      </c>
      <c r="R42" s="17" t="inlineStr">
        <is>
          <t>24000 PE</t>
        </is>
      </c>
      <c r="S42" s="17" t="n">
        <v>38</v>
      </c>
      <c r="T42" s="17" t="n">
        <v>65</v>
      </c>
      <c r="U42" s="17" t="n">
        <v>2470</v>
      </c>
      <c r="V42" s="17" t="n">
        <v>19.37</v>
      </c>
      <c r="W42" s="17" t="n">
        <v>25.18</v>
      </c>
      <c r="X42" s="17" t="n">
        <v>47843.9</v>
      </c>
      <c r="Y42" s="17" t="n">
        <v>47898.63</v>
      </c>
      <c r="Z42" s="17" t="n">
        <v>199156.1</v>
      </c>
      <c r="AA42" s="17" t="n">
        <v>14353.17</v>
      </c>
      <c r="AB42" s="17" t="n">
        <v>14353.17</v>
      </c>
      <c r="AC42" s="17" t="n">
        <v>14350.7</v>
      </c>
      <c r="AD42" s="17" t="n">
        <v>30</v>
      </c>
      <c r="AE42" s="17" t="n">
        <v>40</v>
      </c>
      <c r="AF42" s="17" t="n">
        <v>5.98</v>
      </c>
      <c r="AG42" s="17" t="n">
        <v>0.1</v>
      </c>
      <c r="AH42" s="17" t="n">
        <v>1.44</v>
      </c>
      <c r="AI42" s="17" t="n">
        <v>7.22</v>
      </c>
      <c r="AJ42" s="17" t="n">
        <v>54.73</v>
      </c>
      <c r="AK42" s="17" t="n">
        <v>14295.97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BULLISH</t>
        </is>
      </c>
      <c r="G43" s="16" t="inlineStr">
        <is>
          <t>Price↑(24152.45&gt;24078.5) &amp; EMA9↑(24114.61&gt;23985.11)</t>
        </is>
      </c>
      <c r="H43" s="16" t="n">
        <v>24114.61</v>
      </c>
      <c r="I43" s="16" t="n">
        <v>23985.11</v>
      </c>
      <c r="J43" s="16" t="inlineStr">
        <is>
          <t>2026-07-16</t>
        </is>
      </c>
      <c r="K43" s="16" t="inlineStr">
        <is>
          <t>WEEKLY</t>
        </is>
      </c>
      <c r="L43" s="16" t="n">
        <v>0</v>
      </c>
      <c r="M43" s="16" t="inlineStr">
        <is>
          <t>09:20 IST</t>
        </is>
      </c>
      <c r="N43" s="16" t="inlineStr">
        <is>
          <t>13:41 IST</t>
        </is>
      </c>
      <c r="O43" s="16" t="n">
        <v>24152.45</v>
      </c>
      <c r="P43" s="16" t="n">
        <v>24078.5</v>
      </c>
      <c r="Q43" s="16" t="inlineStr">
        <is>
          <t>24200 PE</t>
        </is>
      </c>
      <c r="R43" s="16" t="inlineStr">
        <is>
          <t>24100 PE</t>
        </is>
      </c>
      <c r="S43" s="16" t="n">
        <v>36</v>
      </c>
      <c r="T43" s="16" t="n">
        <v>65</v>
      </c>
      <c r="U43" s="16" t="n">
        <v>2340</v>
      </c>
      <c r="V43" s="16" t="n">
        <v>20.64</v>
      </c>
      <c r="W43" s="16" t="n">
        <v>20.8</v>
      </c>
      <c r="X43" s="16" t="n">
        <v>48297.6</v>
      </c>
      <c r="Y43" s="16" t="n">
        <v>48352.4</v>
      </c>
      <c r="Z43" s="16" t="n">
        <v>185702.4</v>
      </c>
      <c r="AA43" s="16" t="n">
        <v>14489.28</v>
      </c>
      <c r="AB43" s="16" t="n">
        <v>14489.28</v>
      </c>
      <c r="AC43" s="16" t="n">
        <v>374.4</v>
      </c>
      <c r="AD43" s="16" t="n">
        <v>0.8</v>
      </c>
      <c r="AE43" s="16" t="n">
        <v>40</v>
      </c>
      <c r="AF43" s="16" t="n">
        <v>6.04</v>
      </c>
      <c r="AG43" s="16" t="n">
        <v>0.1</v>
      </c>
      <c r="AH43" s="16" t="n">
        <v>1.45</v>
      </c>
      <c r="AI43" s="16" t="n">
        <v>7.22</v>
      </c>
      <c r="AJ43" s="16" t="n">
        <v>54.8</v>
      </c>
      <c r="AK43" s="16" t="n">
        <v>319.6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24098.67</v>
      </c>
      <c r="I44" s="16" t="n">
        <v>23977.87</v>
      </c>
      <c r="J44" s="16" t="inlineStr">
        <is>
          <t>2026-07-16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15:06 IST</t>
        </is>
      </c>
      <c r="O44" s="16" t="n">
        <v>24072.75</v>
      </c>
      <c r="P44" s="16" t="n">
        <v>24078.5</v>
      </c>
      <c r="Q44" s="16" t="inlineStr">
        <is>
          <t>24100 PE</t>
        </is>
      </c>
      <c r="R44" s="16" t="inlineStr">
        <is>
          <t>24000 PE</t>
        </is>
      </c>
      <c r="S44" s="16" t="n">
        <v>40</v>
      </c>
      <c r="T44" s="16" t="n">
        <v>65</v>
      </c>
      <c r="U44" s="16" t="n">
        <v>2600</v>
      </c>
      <c r="V44" s="16" t="n">
        <v>18.4</v>
      </c>
      <c r="W44" s="16" t="n">
        <v>17.6</v>
      </c>
      <c r="X44" s="16" t="n">
        <v>47840</v>
      </c>
      <c r="Y44" s="16" t="n">
        <v>47894.73</v>
      </c>
      <c r="Z44" s="16" t="n">
        <v>212160</v>
      </c>
      <c r="AA44" s="16" t="n">
        <v>14352</v>
      </c>
      <c r="AB44" s="16" t="n">
        <v>14352</v>
      </c>
      <c r="AC44" s="16" t="n">
        <v>-2080</v>
      </c>
      <c r="AD44" s="16" t="n">
        <v>-4.3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-2134.73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Price↑(24255.3&gt;24072.75) &amp; EMA9↑(24129.52&gt;24002.12)</t>
        </is>
      </c>
      <c r="H45" s="17" t="n">
        <v>24129.52</v>
      </c>
      <c r="I45" s="17" t="n">
        <v>24002.12</v>
      </c>
      <c r="J45" s="17" t="inlineStr">
        <is>
          <t>2026-07-23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10:48 IST</t>
        </is>
      </c>
      <c r="O45" s="17" t="n">
        <v>24255.3</v>
      </c>
      <c r="P45" s="17" t="n">
        <v>24072.75</v>
      </c>
      <c r="Q45" s="17" t="inlineStr">
        <is>
          <t>24300 PE</t>
        </is>
      </c>
      <c r="R45" s="17" t="inlineStr">
        <is>
          <t>24200 PE</t>
        </is>
      </c>
      <c r="S45" s="17" t="n">
        <v>20</v>
      </c>
      <c r="T45" s="17" t="n">
        <v>65</v>
      </c>
      <c r="U45" s="17" t="n">
        <v>1300</v>
      </c>
      <c r="V45" s="17" t="n">
        <v>37.73</v>
      </c>
      <c r="W45" s="17" t="n">
        <v>49.05</v>
      </c>
      <c r="X45" s="17" t="n">
        <v>49049</v>
      </c>
      <c r="Y45" s="17" t="n">
        <v>49103.92</v>
      </c>
      <c r="Z45" s="17" t="n">
        <v>80951</v>
      </c>
      <c r="AA45" s="17" t="n">
        <v>14714.7</v>
      </c>
      <c r="AB45" s="17" t="n">
        <v>14714.7</v>
      </c>
      <c r="AC45" s="17" t="n">
        <v>14716</v>
      </c>
      <c r="AD45" s="17" t="n">
        <v>30</v>
      </c>
      <c r="AE45" s="17" t="n">
        <v>40</v>
      </c>
      <c r="AF45" s="17" t="n">
        <v>6.13</v>
      </c>
      <c r="AG45" s="17" t="n">
        <v>0.1</v>
      </c>
      <c r="AH45" s="17" t="n">
        <v>1.47</v>
      </c>
      <c r="AI45" s="17" t="n">
        <v>7.22</v>
      </c>
      <c r="AJ45" s="17" t="n">
        <v>54.92</v>
      </c>
      <c r="AK45" s="17" t="n">
        <v>14661.08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11:10 IST</t>
        </is>
      </c>
      <c r="O46" s="17" t="n">
        <v>24334.3</v>
      </c>
      <c r="P46" s="17" t="n">
        <v>24072.75</v>
      </c>
      <c r="Q46" s="17" t="inlineStr">
        <is>
          <t>24400 PE</t>
        </is>
      </c>
      <c r="R46" s="17" t="inlineStr">
        <is>
          <t>24300 PE</t>
        </is>
      </c>
      <c r="S46" s="17" t="n">
        <v>22</v>
      </c>
      <c r="T46" s="17" t="n">
        <v>65</v>
      </c>
      <c r="U46" s="17" t="n">
        <v>1430</v>
      </c>
      <c r="V46" s="17" t="n">
        <v>33.56</v>
      </c>
      <c r="W46" s="17" t="n">
        <v>43.63</v>
      </c>
      <c r="X46" s="17" t="n">
        <v>47990.8</v>
      </c>
      <c r="Y46" s="17" t="n">
        <v>48045.55</v>
      </c>
      <c r="Z46" s="17" t="n">
        <v>95009.2</v>
      </c>
      <c r="AA46" s="17" t="n">
        <v>14397.24</v>
      </c>
      <c r="AB46" s="17" t="n">
        <v>14397.24</v>
      </c>
      <c r="AC46" s="17" t="n">
        <v>14400.1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14345.35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24152.5</v>
      </c>
      <c r="I47" s="17" t="n">
        <v>24041.8</v>
      </c>
      <c r="J47" s="17" t="inlineStr">
        <is>
          <t>2026-07-23</t>
        </is>
      </c>
      <c r="K47" s="17" t="inlineStr">
        <is>
          <t>WEEKLY</t>
        </is>
      </c>
      <c r="L47" s="17" t="n">
        <v>3</v>
      </c>
      <c r="M47" s="17" t="inlineStr">
        <is>
          <t>09:20 IST</t>
        </is>
      </c>
      <c r="N47" s="17" t="inlineStr">
        <is>
          <t>10:32 IST</t>
        </is>
      </c>
      <c r="O47" s="17" t="n">
        <v>24180.2</v>
      </c>
      <c r="P47" s="17" t="n">
        <v>24334.3</v>
      </c>
      <c r="Q47" s="17" t="inlineStr">
        <is>
          <t>24200 PE</t>
        </is>
      </c>
      <c r="R47" s="17" t="inlineStr">
        <is>
          <t>24100 PE</t>
        </is>
      </c>
      <c r="S47" s="17" t="n">
        <v>26</v>
      </c>
      <c r="T47" s="17" t="n">
        <v>65</v>
      </c>
      <c r="U47" s="17" t="n">
        <v>1690</v>
      </c>
      <c r="V47" s="17" t="n">
        <v>27.91</v>
      </c>
      <c r="W47" s="17" t="n">
        <v>36.28</v>
      </c>
      <c r="X47" s="17" t="n">
        <v>47167.9</v>
      </c>
      <c r="Y47" s="17" t="n">
        <v>47222.52</v>
      </c>
      <c r="Z47" s="17" t="n">
        <v>121832.1</v>
      </c>
      <c r="AA47" s="17" t="n">
        <v>14150.37</v>
      </c>
      <c r="AB47" s="17" t="n">
        <v>14150.37</v>
      </c>
      <c r="AC47" s="17" t="n">
        <v>14145.3</v>
      </c>
      <c r="AD47" s="17" t="n">
        <v>30</v>
      </c>
      <c r="AE47" s="17" t="n">
        <v>40</v>
      </c>
      <c r="AF47" s="17" t="n">
        <v>5.9</v>
      </c>
      <c r="AG47" s="17" t="n">
        <v>0.09</v>
      </c>
      <c r="AH47" s="17" t="n">
        <v>1.42</v>
      </c>
      <c r="AI47" s="17" t="n">
        <v>7.22</v>
      </c>
      <c r="AJ47" s="17" t="n">
        <v>54.62</v>
      </c>
      <c r="AK47" s="17" t="n">
        <v>14090.68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NIFTY</t>
        </is>
      </c>
      <c r="C48" s="15" t="inlineStr">
        <is>
          <t>Bear Put Spread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24164.16</v>
      </c>
      <c r="I48" s="15" t="n">
        <v>24047.1</v>
      </c>
      <c r="J48" s="15" t="inlineStr">
        <is>
          <t>2026-07-23</t>
        </is>
      </c>
      <c r="K48" s="15" t="inlineStr">
        <is>
          <t>WEEKLY</t>
        </is>
      </c>
      <c r="L48" s="15" t="n">
        <v>3</v>
      </c>
      <c r="M48" s="15" t="inlineStr">
        <is>
          <t>09:20 IST</t>
        </is>
      </c>
      <c r="N48" s="15" t="inlineStr">
        <is>
          <t>09:45 IST</t>
        </is>
      </c>
      <c r="O48" s="15" t="n">
        <v>24238.5</v>
      </c>
      <c r="P48" s="15" t="n">
        <v>24334.3</v>
      </c>
      <c r="Q48" s="15" t="inlineStr">
        <is>
          <t>24300 PE</t>
        </is>
      </c>
      <c r="R48" s="15" t="inlineStr">
        <is>
          <t>24200 PE</t>
        </is>
      </c>
      <c r="S48" s="15" t="n">
        <v>29</v>
      </c>
      <c r="T48" s="15" t="n">
        <v>65</v>
      </c>
      <c r="U48" s="15" t="n">
        <v>1885</v>
      </c>
      <c r="V48" s="15" t="n">
        <v>25.8</v>
      </c>
      <c r="W48" s="15" t="n">
        <v>18.06</v>
      </c>
      <c r="X48" s="15" t="n">
        <v>48633</v>
      </c>
      <c r="Y48" s="15" t="n">
        <v>48687.85</v>
      </c>
      <c r="Z48" s="15" t="n">
        <v>139867</v>
      </c>
      <c r="AA48" s="15" t="n">
        <v>14589.9</v>
      </c>
      <c r="AB48" s="15" t="n">
        <v>14589.9</v>
      </c>
      <c r="AC48" s="15" t="n">
        <v>-14589.9</v>
      </c>
      <c r="AD48" s="15" t="n">
        <v>-30</v>
      </c>
      <c r="AE48" s="15" t="n">
        <v>40</v>
      </c>
      <c r="AF48" s="15" t="n">
        <v>6.08</v>
      </c>
      <c r="AG48" s="15" t="n">
        <v>0.1</v>
      </c>
      <c r="AH48" s="15" t="n">
        <v>1.46</v>
      </c>
      <c r="AI48" s="15" t="n">
        <v>7.22</v>
      </c>
      <c r="AJ48" s="15" t="n">
        <v>54.85</v>
      </c>
      <c r="AK48" s="15" t="n">
        <v>-14644.75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24164.13</v>
      </c>
      <c r="I49" s="15" t="n">
        <v>24071.86</v>
      </c>
      <c r="J49" s="15" t="inlineStr">
        <is>
          <t>2026-07-23</t>
        </is>
      </c>
      <c r="K49" s="15" t="inlineStr">
        <is>
          <t>WEEKLY</t>
        </is>
      </c>
      <c r="L49" s="15" t="n">
        <v>2</v>
      </c>
      <c r="M49" s="15" t="inlineStr">
        <is>
          <t>09:20 IST</t>
        </is>
      </c>
      <c r="N49" s="15" t="inlineStr">
        <is>
          <t>09:33 IST</t>
        </is>
      </c>
      <c r="O49" s="15" t="n">
        <v>24163.1</v>
      </c>
      <c r="P49" s="15" t="n">
        <v>24238.5</v>
      </c>
      <c r="Q49" s="15" t="inlineStr">
        <is>
          <t>24200 PE</t>
        </is>
      </c>
      <c r="R49" s="15" t="inlineStr">
        <is>
          <t>24100 PE</t>
        </is>
      </c>
      <c r="S49" s="15" t="n">
        <v>37</v>
      </c>
      <c r="T49" s="15" t="n">
        <v>65</v>
      </c>
      <c r="U49" s="15" t="n">
        <v>2405</v>
      </c>
      <c r="V49" s="15" t="n">
        <v>20.04</v>
      </c>
      <c r="W49" s="15" t="n">
        <v>14.03</v>
      </c>
      <c r="X49" s="15" t="n">
        <v>48196.2</v>
      </c>
      <c r="Y49" s="15" t="n">
        <v>48250.98</v>
      </c>
      <c r="Z49" s="15" t="n">
        <v>192303.8</v>
      </c>
      <c r="AA49" s="15" t="n">
        <v>14458.86</v>
      </c>
      <c r="AB49" s="15" t="n">
        <v>14458.86</v>
      </c>
      <c r="AC49" s="15" t="n">
        <v>-14454.05</v>
      </c>
      <c r="AD49" s="15" t="n">
        <v>-30</v>
      </c>
      <c r="AE49" s="15" t="n">
        <v>40</v>
      </c>
      <c r="AF49" s="15" t="n">
        <v>6.02</v>
      </c>
      <c r="AG49" s="15" t="n">
        <v>0.1</v>
      </c>
      <c r="AH49" s="15" t="n">
        <v>1.45</v>
      </c>
      <c r="AI49" s="15" t="n">
        <v>7.22</v>
      </c>
      <c r="AJ49" s="15" t="n">
        <v>54.78</v>
      </c>
      <c r="AK49" s="15" t="n">
        <v>-14508.83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10:52 IST</t>
        </is>
      </c>
      <c r="O50" s="15" t="n">
        <v>24187.7</v>
      </c>
      <c r="P50" s="15" t="n">
        <v>24238.5</v>
      </c>
      <c r="Q50" s="15" t="inlineStr">
        <is>
          <t>24200 PE</t>
        </is>
      </c>
      <c r="R50" s="15" t="inlineStr">
        <is>
          <t>24100 PE</t>
        </is>
      </c>
      <c r="S50" s="15" t="n">
        <v>37</v>
      </c>
      <c r="T50" s="15" t="n">
        <v>65</v>
      </c>
      <c r="U50" s="15" t="n">
        <v>2405</v>
      </c>
      <c r="V50" s="15" t="n">
        <v>19.85</v>
      </c>
      <c r="W50" s="15" t="n">
        <v>13.89</v>
      </c>
      <c r="X50" s="15" t="n">
        <v>47739.25</v>
      </c>
      <c r="Y50" s="15" t="n">
        <v>47793.96</v>
      </c>
      <c r="Z50" s="15" t="n">
        <v>192760.75</v>
      </c>
      <c r="AA50" s="15" t="n">
        <v>14321.77</v>
      </c>
      <c r="AB50" s="15" t="n">
        <v>14321.77</v>
      </c>
      <c r="AC50" s="15" t="n">
        <v>-14333.8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-14388.51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24145.08</v>
      </c>
      <c r="I51" s="17" t="n">
        <v>24082.85</v>
      </c>
      <c r="J51" s="17" t="inlineStr">
        <is>
          <t>2026-07-23</t>
        </is>
      </c>
      <c r="K51" s="17" t="inlineStr">
        <is>
          <t>WEEKLY</t>
        </is>
      </c>
      <c r="L51" s="17" t="n">
        <v>1</v>
      </c>
      <c r="M51" s="17" t="inlineStr">
        <is>
          <t>09:20 IST</t>
        </is>
      </c>
      <c r="N51" s="17" t="inlineStr">
        <is>
          <t>10:17 IST</t>
        </is>
      </c>
      <c r="O51" s="17" t="n">
        <v>24045.55</v>
      </c>
      <c r="P51" s="17" t="n">
        <v>24187.7</v>
      </c>
      <c r="Q51" s="17" t="inlineStr">
        <is>
          <t>24100 PE</t>
        </is>
      </c>
      <c r="R51" s="17" t="inlineStr">
        <is>
          <t>24000 PE</t>
        </is>
      </c>
      <c r="S51" s="17" t="n">
        <v>36</v>
      </c>
      <c r="T51" s="17" t="n">
        <v>65</v>
      </c>
      <c r="U51" s="17" t="n">
        <v>2340</v>
      </c>
      <c r="V51" s="17" t="n">
        <v>20.55</v>
      </c>
      <c r="W51" s="17" t="n">
        <v>26.72</v>
      </c>
      <c r="X51" s="17" t="n">
        <v>48087</v>
      </c>
      <c r="Y51" s="17" t="n">
        <v>48141.77</v>
      </c>
      <c r="Z51" s="17" t="n">
        <v>185913</v>
      </c>
      <c r="AA51" s="17" t="n">
        <v>14426.1</v>
      </c>
      <c r="AB51" s="17" t="n">
        <v>14426.1</v>
      </c>
      <c r="AC51" s="17" t="n">
        <v>14437.8</v>
      </c>
      <c r="AD51" s="17" t="n">
        <v>30</v>
      </c>
      <c r="AE51" s="17" t="n">
        <v>40</v>
      </c>
      <c r="AF51" s="17" t="n">
        <v>6.01</v>
      </c>
      <c r="AG51" s="17" t="n">
        <v>0.1</v>
      </c>
      <c r="AH51" s="17" t="n">
        <v>1.44</v>
      </c>
      <c r="AI51" s="17" t="n">
        <v>7.22</v>
      </c>
      <c r="AJ51" s="17" t="n">
        <v>54.77</v>
      </c>
      <c r="AK51" s="17" t="n">
        <v>14383.03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Bear Put Spread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10:14 IST</t>
        </is>
      </c>
      <c r="O52" s="17" t="n">
        <v>23996.25</v>
      </c>
      <c r="P52" s="17" t="n">
        <v>24187.7</v>
      </c>
      <c r="Q52" s="17" t="inlineStr">
        <is>
          <t>24000 PE</t>
        </is>
      </c>
      <c r="R52" s="17" t="inlineStr">
        <is>
          <t>23900 PE</t>
        </is>
      </c>
      <c r="S52" s="17" t="n">
        <v>48</v>
      </c>
      <c r="T52" s="17" t="n">
        <v>65</v>
      </c>
      <c r="U52" s="17" t="n">
        <v>3120</v>
      </c>
      <c r="V52" s="17" t="n">
        <v>15.39</v>
      </c>
      <c r="W52" s="17" t="n">
        <v>20.01</v>
      </c>
      <c r="X52" s="17" t="n">
        <v>48016.8</v>
      </c>
      <c r="Y52" s="17" t="n">
        <v>48071.56</v>
      </c>
      <c r="Z52" s="17" t="n">
        <v>263983.2</v>
      </c>
      <c r="AA52" s="17" t="n">
        <v>14405.04</v>
      </c>
      <c r="AB52" s="17" t="n">
        <v>14405.04</v>
      </c>
      <c r="AC52" s="17" t="n">
        <v>14414.4</v>
      </c>
      <c r="AD52" s="17" t="n">
        <v>30</v>
      </c>
      <c r="AE52" s="17" t="n">
        <v>40</v>
      </c>
      <c r="AF52" s="17" t="n">
        <v>6</v>
      </c>
      <c r="AG52" s="17" t="n">
        <v>0.1</v>
      </c>
      <c r="AH52" s="17" t="n">
        <v>1.44</v>
      </c>
      <c r="AI52" s="17" t="n">
        <v>7.22</v>
      </c>
      <c r="AJ52" s="17" t="n">
        <v>54.76</v>
      </c>
      <c r="AK52" s="17" t="n">
        <v>14359.64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NIFTY</t>
        </is>
      </c>
      <c r="C53" s="15" t="inlineStr">
        <is>
          <t>Bear Put Spread</t>
        </is>
      </c>
      <c r="D53" s="15" t="inlineStr">
        <is>
          <t>Bear Put Spread</t>
        </is>
      </c>
      <c r="E53" s="15" t="inlineStr">
        <is>
          <t>SIMULATED</t>
        </is>
      </c>
      <c r="F53" s="15" t="inlineStr">
        <is>
          <t>SKIP</t>
        </is>
      </c>
      <c r="G53" s="15" t="inlineStr">
        <is>
          <t>Conflicting — Price:BEARISH EMA:BULLISH</t>
        </is>
      </c>
      <c r="H53" s="15" t="n">
        <v>24097.47</v>
      </c>
      <c r="I53" s="15" t="n">
        <v>24080.49</v>
      </c>
      <c r="J53" s="15" t="inlineStr">
        <is>
          <t>2026-07-23</t>
        </is>
      </c>
      <c r="K53" s="15" t="inlineStr">
        <is>
          <t>WEEKLY</t>
        </is>
      </c>
      <c r="L53" s="15" t="n">
        <v>0</v>
      </c>
      <c r="M53" s="15" t="inlineStr">
        <is>
          <t>09:20 IST</t>
        </is>
      </c>
      <c r="N53" s="15" t="inlineStr">
        <is>
          <t>10:50 IST</t>
        </is>
      </c>
      <c r="O53" s="15" t="n">
        <v>23942.7</v>
      </c>
      <c r="P53" s="15" t="n">
        <v>23996.25</v>
      </c>
      <c r="Q53" s="15" t="inlineStr">
        <is>
          <t>24000 PE</t>
        </is>
      </c>
      <c r="R53" s="15" t="inlineStr">
        <is>
          <t>23900 PE</t>
        </is>
      </c>
      <c r="S53" s="15" t="n">
        <v>32</v>
      </c>
      <c r="T53" s="15" t="n">
        <v>65</v>
      </c>
      <c r="U53" s="15" t="n">
        <v>2080</v>
      </c>
      <c r="V53" s="15" t="n">
        <v>23.17</v>
      </c>
      <c r="W53" s="15" t="n">
        <v>16.22</v>
      </c>
      <c r="X53" s="15" t="n">
        <v>48193.6</v>
      </c>
      <c r="Y53" s="15" t="n">
        <v>48248.38</v>
      </c>
      <c r="Z53" s="15" t="n">
        <v>159806.4</v>
      </c>
      <c r="AA53" s="15" t="n">
        <v>14458.08</v>
      </c>
      <c r="AB53" s="15" t="n">
        <v>14458.08</v>
      </c>
      <c r="AC53" s="15" t="n">
        <v>-14456</v>
      </c>
      <c r="AD53" s="15" t="n">
        <v>-30</v>
      </c>
      <c r="AE53" s="15" t="n">
        <v>40</v>
      </c>
      <c r="AF53" s="15" t="n">
        <v>6.02</v>
      </c>
      <c r="AG53" s="15" t="n">
        <v>0.1</v>
      </c>
      <c r="AH53" s="15" t="n">
        <v>1.45</v>
      </c>
      <c r="AI53" s="15" t="n">
        <v>7.22</v>
      </c>
      <c r="AJ53" s="15" t="n">
        <v>54.78</v>
      </c>
      <c r="AK53" s="15" t="n">
        <v>-14510.78</v>
      </c>
      <c r="AL53" s="15" t="inlineStr">
        <is>
          <t>STOP LOSS</t>
        </is>
      </c>
      <c r="AM53" s="15" t="n">
        <v>50000</v>
      </c>
      <c r="AN53" s="15" t="inlineStr">
        <is>
          <t>PAPER TRADING</t>
        </is>
      </c>
    </row>
    <row r="54">
      <c r="A54" s="15" t="inlineStr">
        <is>
          <t>2026-07-23</t>
        </is>
      </c>
      <c r="B54" s="15" t="inlineStr">
        <is>
          <t>NIFTY</t>
        </is>
      </c>
      <c r="C54" s="15" t="inlineStr">
        <is>
          <t>Bear Put Spread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24082.85</v>
      </c>
      <c r="I54" s="15" t="n">
        <v>24073.84</v>
      </c>
      <c r="J54" s="15" t="inlineStr">
        <is>
          <t>2026-07-23</t>
        </is>
      </c>
      <c r="K54" s="15" t="inlineStr">
        <is>
          <t>WEEKLY</t>
        </is>
      </c>
      <c r="L54" s="15" t="n">
        <v>0</v>
      </c>
      <c r="M54" s="15" t="inlineStr">
        <is>
          <t>09:20 IST</t>
        </is>
      </c>
      <c r="N54" s="15" t="inlineStr">
        <is>
          <t>10:10 IST</t>
        </is>
      </c>
      <c r="O54" s="15" t="n">
        <v>23869.6</v>
      </c>
      <c r="P54" s="15" t="n">
        <v>23996.25</v>
      </c>
      <c r="Q54" s="15" t="inlineStr">
        <is>
          <t>23900 PE</t>
        </is>
      </c>
      <c r="R54" s="15" t="inlineStr">
        <is>
          <t>23800 PE</t>
        </is>
      </c>
      <c r="S54" s="15" t="n">
        <v>31</v>
      </c>
      <c r="T54" s="15" t="n">
        <v>65</v>
      </c>
      <c r="U54" s="15" t="n">
        <v>2015</v>
      </c>
      <c r="V54" s="15" t="n">
        <v>23.87</v>
      </c>
      <c r="W54" s="15" t="n">
        <v>16.71</v>
      </c>
      <c r="X54" s="15" t="n">
        <v>48098.05</v>
      </c>
      <c r="Y54" s="15" t="n">
        <v>48152.82</v>
      </c>
      <c r="Z54" s="15" t="n">
        <v>153401.95</v>
      </c>
      <c r="AA54" s="15" t="n">
        <v>14429.42</v>
      </c>
      <c r="AB54" s="15" t="n">
        <v>14429.42</v>
      </c>
      <c r="AC54" s="15" t="n">
        <v>-14427.4</v>
      </c>
      <c r="AD54" s="15" t="n">
        <v>-30</v>
      </c>
      <c r="AE54" s="15" t="n">
        <v>40</v>
      </c>
      <c r="AF54" s="15" t="n">
        <v>6.01</v>
      </c>
      <c r="AG54" s="15" t="n">
        <v>0.1</v>
      </c>
      <c r="AH54" s="15" t="n">
        <v>1.44</v>
      </c>
      <c r="AI54" s="15" t="n">
        <v>7.22</v>
      </c>
      <c r="AJ54" s="15" t="n">
        <v>54.77</v>
      </c>
      <c r="AK54" s="15" t="n">
        <v>-14482.17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NIFTY</t>
        </is>
      </c>
      <c r="C55" s="17" t="inlineStr">
        <is>
          <t>Bear Put Spread</t>
        </is>
      </c>
      <c r="D55" s="17" t="inlineStr">
        <is>
          <t>Bear Put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Price↓(23682.7&lt;23869.6) &amp; EMA9↓(24003.16&lt;24047.82)</t>
        </is>
      </c>
      <c r="H55" s="17" t="n">
        <v>24003.16</v>
      </c>
      <c r="I55" s="17" t="n">
        <v>24047.82</v>
      </c>
      <c r="J55" s="17" t="inlineStr">
        <is>
          <t>2026-07-30</t>
        </is>
      </c>
      <c r="K55" s="17" t="inlineStr">
        <is>
          <t>WEEKLY</t>
        </is>
      </c>
      <c r="L55" s="17" t="n">
        <v>6</v>
      </c>
      <c r="M55" s="17" t="inlineStr">
        <is>
          <t>09:20 IST</t>
        </is>
      </c>
      <c r="N55" s="17" t="inlineStr">
        <is>
          <t>12:05 IST</t>
        </is>
      </c>
      <c r="O55" s="17" t="n">
        <v>23682.7</v>
      </c>
      <c r="P55" s="17" t="n">
        <v>23869.6</v>
      </c>
      <c r="Q55" s="17" t="inlineStr">
        <is>
          <t>23700 PE</t>
        </is>
      </c>
      <c r="R55" s="17" t="inlineStr">
        <is>
          <t>23600 PE</t>
        </is>
      </c>
      <c r="S55" s="17" t="n">
        <v>19</v>
      </c>
      <c r="T55" s="17" t="n">
        <v>65</v>
      </c>
      <c r="U55" s="17" t="n">
        <v>1235</v>
      </c>
      <c r="V55" s="17" t="n">
        <v>39.22</v>
      </c>
      <c r="W55" s="17" t="n">
        <v>50.99</v>
      </c>
      <c r="X55" s="17" t="n">
        <v>48436.7</v>
      </c>
      <c r="Y55" s="17" t="n">
        <v>48491.52</v>
      </c>
      <c r="Z55" s="17" t="n">
        <v>75063.3</v>
      </c>
      <c r="AA55" s="17" t="n">
        <v>14531.01</v>
      </c>
      <c r="AB55" s="17" t="n">
        <v>14531.01</v>
      </c>
      <c r="AC55" s="17" t="n">
        <v>14535.95</v>
      </c>
      <c r="AD55" s="17" t="n">
        <v>30</v>
      </c>
      <c r="AE55" s="17" t="n">
        <v>40</v>
      </c>
      <c r="AF55" s="17" t="n">
        <v>6.05</v>
      </c>
      <c r="AG55" s="17" t="n">
        <v>0.1</v>
      </c>
      <c r="AH55" s="17" t="n">
        <v>1.45</v>
      </c>
      <c r="AI55" s="17" t="n">
        <v>7.22</v>
      </c>
      <c r="AJ55" s="17" t="n">
        <v>54.82</v>
      </c>
      <c r="AK55" s="17" t="n">
        <v>14481.13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NIFTY</t>
        </is>
      </c>
      <c r="C56" s="16" t="inlineStr">
        <is>
          <t>Bear Put Spread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BEARISH</t>
        </is>
      </c>
      <c r="G56" s="16" t="inlineStr">
        <is>
          <t>Price↓(23767.45&lt;23869.6) &amp; EMA9↓(24020.11&lt;24055.52)</t>
        </is>
      </c>
      <c r="H56" s="16" t="n">
        <v>24020.11</v>
      </c>
      <c r="I56" s="16" t="n">
        <v>24055.52</v>
      </c>
      <c r="J56" s="16" t="inlineStr">
        <is>
          <t>2026-07-30</t>
        </is>
      </c>
      <c r="K56" s="16" t="inlineStr">
        <is>
          <t>WEEKLY</t>
        </is>
      </c>
      <c r="L56" s="16" t="n">
        <v>6</v>
      </c>
      <c r="M56" s="16" t="inlineStr">
        <is>
          <t>09:20 IST</t>
        </is>
      </c>
      <c r="N56" s="16" t="inlineStr">
        <is>
          <t>14:38 IST</t>
        </is>
      </c>
      <c r="O56" s="16" t="n">
        <v>23767.45</v>
      </c>
      <c r="P56" s="16" t="n">
        <v>23869.6</v>
      </c>
      <c r="Q56" s="16" t="inlineStr">
        <is>
          <t>23800 PE</t>
        </is>
      </c>
      <c r="R56" s="16" t="inlineStr">
        <is>
          <t>23700 PE</t>
        </is>
      </c>
      <c r="S56" s="16" t="n">
        <v>22</v>
      </c>
      <c r="T56" s="16" t="n">
        <v>65</v>
      </c>
      <c r="U56" s="16" t="n">
        <v>1430</v>
      </c>
      <c r="V56" s="16" t="n">
        <v>33.23</v>
      </c>
      <c r="W56" s="16" t="n">
        <v>32.42</v>
      </c>
      <c r="X56" s="16" t="n">
        <v>47518.9</v>
      </c>
      <c r="Y56" s="16" t="n">
        <v>47573.58</v>
      </c>
      <c r="Z56" s="16" t="n">
        <v>95481.10000000001</v>
      </c>
      <c r="AA56" s="16" t="n">
        <v>14255.67</v>
      </c>
      <c r="AB56" s="16" t="n">
        <v>14255.67</v>
      </c>
      <c r="AC56" s="16" t="n">
        <v>-1158.3</v>
      </c>
      <c r="AD56" s="16" t="n">
        <v>-2.4</v>
      </c>
      <c r="AE56" s="16" t="n">
        <v>40</v>
      </c>
      <c r="AF56" s="16" t="n">
        <v>5.94</v>
      </c>
      <c r="AG56" s="16" t="n">
        <v>0.1</v>
      </c>
      <c r="AH56" s="16" t="n">
        <v>1.43</v>
      </c>
      <c r="AI56" s="16" t="n">
        <v>7.22</v>
      </c>
      <c r="AJ56" s="16" t="n">
        <v>54.68</v>
      </c>
      <c r="AK56" s="16" t="n">
        <v>-1212.98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24007.53</v>
      </c>
      <c r="I57" s="17" t="n">
        <v>24051.2</v>
      </c>
      <c r="J57" s="17" t="inlineStr">
        <is>
          <t>2026-07-30</t>
        </is>
      </c>
      <c r="K57" s="17" t="inlineStr">
        <is>
          <t>WEEKLY</t>
        </is>
      </c>
      <c r="L57" s="17" t="n">
        <v>3</v>
      </c>
      <c r="M57" s="17" t="inlineStr">
        <is>
          <t>09:20 IST</t>
        </is>
      </c>
      <c r="N57" s="17" t="inlineStr">
        <is>
          <t>11:23 IST</t>
        </is>
      </c>
      <c r="O57" s="17" t="n">
        <v>23955.85</v>
      </c>
      <c r="P57" s="17" t="n">
        <v>23767.45</v>
      </c>
      <c r="Q57" s="17" t="inlineStr">
        <is>
          <t>24000 PE</t>
        </is>
      </c>
      <c r="R57" s="17" t="inlineStr">
        <is>
          <t>23900 PE</t>
        </is>
      </c>
      <c r="S57" s="17" t="n">
        <v>28</v>
      </c>
      <c r="T57" s="17" t="n">
        <v>65</v>
      </c>
      <c r="U57" s="17" t="n">
        <v>1820</v>
      </c>
      <c r="V57" s="17" t="n">
        <v>26.77</v>
      </c>
      <c r="W57" s="17" t="n">
        <v>34.8</v>
      </c>
      <c r="X57" s="17" t="n">
        <v>48721.4</v>
      </c>
      <c r="Y57" s="17" t="n">
        <v>48776.27</v>
      </c>
      <c r="Z57" s="17" t="n">
        <v>133278.6</v>
      </c>
      <c r="AA57" s="17" t="n">
        <v>14616.42</v>
      </c>
      <c r="AB57" s="17" t="n">
        <v>14616.42</v>
      </c>
      <c r="AC57" s="17" t="n">
        <v>14614.6</v>
      </c>
      <c r="AD57" s="17" t="n">
        <v>30</v>
      </c>
      <c r="AE57" s="17" t="n">
        <v>40</v>
      </c>
      <c r="AF57" s="17" t="n">
        <v>6.09</v>
      </c>
      <c r="AG57" s="17" t="n">
        <v>0.1</v>
      </c>
      <c r="AH57" s="17" t="n">
        <v>1.46</v>
      </c>
      <c r="AI57" s="17" t="n">
        <v>7.22</v>
      </c>
      <c r="AJ57" s="17" t="n">
        <v>54.87</v>
      </c>
      <c r="AK57" s="17" t="n">
        <v>14559.73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NIFTY</t>
        </is>
      </c>
      <c r="C58" s="17" t="inlineStr">
        <is>
          <t>Bear Put Spread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24015.55</v>
      </c>
      <c r="I58" s="17" t="n">
        <v>24054.84</v>
      </c>
      <c r="J58" s="17" t="inlineStr">
        <is>
          <t>2026-07-30</t>
        </is>
      </c>
      <c r="K58" s="17" t="inlineStr">
        <is>
          <t>WEEKLY</t>
        </is>
      </c>
      <c r="L58" s="17" t="n">
        <v>3</v>
      </c>
      <c r="M58" s="17" t="inlineStr">
        <is>
          <t>09:20 IST</t>
        </is>
      </c>
      <c r="N58" s="17" t="inlineStr">
        <is>
          <t>10:21 IST</t>
        </is>
      </c>
      <c r="O58" s="17" t="n">
        <v>23995.95</v>
      </c>
      <c r="P58" s="17" t="n">
        <v>23767.45</v>
      </c>
      <c r="Q58" s="17" t="inlineStr">
        <is>
          <t>24000 PE</t>
        </is>
      </c>
      <c r="R58" s="17" t="inlineStr">
        <is>
          <t>23900 PE</t>
        </is>
      </c>
      <c r="S58" s="17" t="n">
        <v>20</v>
      </c>
      <c r="T58" s="17" t="n">
        <v>65</v>
      </c>
      <c r="U58" s="17" t="n">
        <v>1300</v>
      </c>
      <c r="V58" s="17" t="n">
        <v>37.38</v>
      </c>
      <c r="W58" s="17" t="n">
        <v>48.59</v>
      </c>
      <c r="X58" s="17" t="n">
        <v>48594</v>
      </c>
      <c r="Y58" s="17" t="n">
        <v>48648.85</v>
      </c>
      <c r="Z58" s="17" t="n">
        <v>81406</v>
      </c>
      <c r="AA58" s="17" t="n">
        <v>14578.2</v>
      </c>
      <c r="AB58" s="17" t="n">
        <v>14578.2</v>
      </c>
      <c r="AC58" s="17" t="n">
        <v>14573</v>
      </c>
      <c r="AD58" s="17" t="n">
        <v>30</v>
      </c>
      <c r="AE58" s="17" t="n">
        <v>40</v>
      </c>
      <c r="AF58" s="17" t="n">
        <v>6.07</v>
      </c>
      <c r="AG58" s="17" t="n">
        <v>0.1</v>
      </c>
      <c r="AH58" s="17" t="n">
        <v>1.46</v>
      </c>
      <c r="AI58" s="17" t="n">
        <v>7.22</v>
      </c>
      <c r="AJ58" s="17" t="n">
        <v>54.85</v>
      </c>
      <c r="AK58" s="17" t="n">
        <v>14518.15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Bear Put Spread</t>
        </is>
      </c>
      <c r="D59" s="15" t="inlineStr">
        <is>
          <t>Bear Put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09:49 IST</t>
        </is>
      </c>
      <c r="O59" s="15" t="n">
        <v>24021.3</v>
      </c>
      <c r="P59" s="15" t="n">
        <v>23995.95</v>
      </c>
      <c r="Q59" s="15" t="inlineStr">
        <is>
          <t>24100 PE</t>
        </is>
      </c>
      <c r="R59" s="15" t="inlineStr">
        <is>
          <t>24000 PE</t>
        </is>
      </c>
      <c r="S59" s="15" t="n">
        <v>42</v>
      </c>
      <c r="T59" s="15" t="n">
        <v>65</v>
      </c>
      <c r="U59" s="15" t="n">
        <v>2730</v>
      </c>
      <c r="V59" s="15" t="n">
        <v>17.3</v>
      </c>
      <c r="W59" s="15" t="n">
        <v>12.11</v>
      </c>
      <c r="X59" s="15" t="n">
        <v>47229</v>
      </c>
      <c r="Y59" s="15" t="n">
        <v>47283.63</v>
      </c>
      <c r="Z59" s="15" t="n">
        <v>225771</v>
      </c>
      <c r="AA59" s="15" t="n">
        <v>14168.7</v>
      </c>
      <c r="AB59" s="15" t="n">
        <v>14168.7</v>
      </c>
      <c r="AC59" s="15" t="n">
        <v>-14168.7</v>
      </c>
      <c r="AD59" s="15" t="n">
        <v>-30</v>
      </c>
      <c r="AE59" s="15" t="n">
        <v>40</v>
      </c>
      <c r="AF59" s="15" t="n">
        <v>5.9</v>
      </c>
      <c r="AG59" s="15" t="n">
        <v>0.09</v>
      </c>
      <c r="AH59" s="15" t="n">
        <v>1.42</v>
      </c>
      <c r="AI59" s="15" t="n">
        <v>7.22</v>
      </c>
      <c r="AJ59" s="15" t="n">
        <v>54.63</v>
      </c>
      <c r="AK59" s="15" t="n">
        <v>-14223.33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NIFTY</t>
        </is>
      </c>
      <c r="C60" s="16" t="inlineStr">
        <is>
          <t>Bear Put Spread</t>
        </is>
      </c>
      <c r="D60" s="16" t="inlineStr">
        <is>
          <t>Bear Put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Price↓(23985.35&lt;23995.95) &amp; EMA9↓(24009.71&lt;24050.83)</t>
        </is>
      </c>
      <c r="H60" s="16" t="n">
        <v>24009.71</v>
      </c>
      <c r="I60" s="16" t="n">
        <v>24050.83</v>
      </c>
      <c r="J60" s="16" t="inlineStr">
        <is>
          <t>2026-07-30</t>
        </is>
      </c>
      <c r="K60" s="16" t="inlineStr">
        <is>
          <t>WEEKLY</t>
        </is>
      </c>
      <c r="L60" s="16" t="n">
        <v>2</v>
      </c>
      <c r="M60" s="16" t="inlineStr">
        <is>
          <t>09:20 IST</t>
        </is>
      </c>
      <c r="N60" s="16" t="inlineStr">
        <is>
          <t>14:07 IST</t>
        </is>
      </c>
      <c r="O60" s="16" t="n">
        <v>23985.35</v>
      </c>
      <c r="P60" s="16" t="n">
        <v>23995.95</v>
      </c>
      <c r="Q60" s="16" t="inlineStr">
        <is>
          <t>24000 PE</t>
        </is>
      </c>
      <c r="R60" s="16" t="inlineStr">
        <is>
          <t>23900 PE</t>
        </is>
      </c>
      <c r="S60" s="16" t="n">
        <v>30</v>
      </c>
      <c r="T60" s="16" t="n">
        <v>65</v>
      </c>
      <c r="U60" s="16" t="n">
        <v>1950</v>
      </c>
      <c r="V60" s="16" t="n">
        <v>24.22</v>
      </c>
      <c r="W60" s="16" t="n">
        <v>23.37</v>
      </c>
      <c r="X60" s="16" t="n">
        <v>47229</v>
      </c>
      <c r="Y60" s="16" t="n">
        <v>47283.63</v>
      </c>
      <c r="Z60" s="16" t="n">
        <v>147771</v>
      </c>
      <c r="AA60" s="16" t="n">
        <v>14168.7</v>
      </c>
      <c r="AB60" s="16" t="n">
        <v>14168.7</v>
      </c>
      <c r="AC60" s="16" t="n">
        <v>-1657.5</v>
      </c>
      <c r="AD60" s="16" t="n">
        <v>-3.5</v>
      </c>
      <c r="AE60" s="16" t="n">
        <v>40</v>
      </c>
      <c r="AF60" s="16" t="n">
        <v>5.9</v>
      </c>
      <c r="AG60" s="16" t="n">
        <v>0.09</v>
      </c>
      <c r="AH60" s="16" t="n">
        <v>1.42</v>
      </c>
      <c r="AI60" s="16" t="n">
        <v>7.22</v>
      </c>
      <c r="AJ60" s="16" t="n">
        <v>54.63</v>
      </c>
      <c r="AK60" s="16" t="n">
        <v>-1712.13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BULLISH</t>
        </is>
      </c>
      <c r="G61" s="17" t="inlineStr">
        <is>
          <t>Price↑(24229.9&gt;23995.95) &amp; EMA9↑(24099.01&gt;24091.53)</t>
        </is>
      </c>
      <c r="H61" s="17" t="n">
        <v>24099.01</v>
      </c>
      <c r="I61" s="17" t="n">
        <v>24091.53</v>
      </c>
      <c r="J61" s="17" t="inlineStr">
        <is>
          <t>2026-07-30</t>
        </is>
      </c>
      <c r="K61" s="17" t="inlineStr">
        <is>
          <t>WEEKLY</t>
        </is>
      </c>
      <c r="L61" s="17" t="n">
        <v>1</v>
      </c>
      <c r="M61" s="17" t="inlineStr">
        <is>
          <t>09:20 IST</t>
        </is>
      </c>
      <c r="N61" s="17" t="inlineStr">
        <is>
          <t>11:16 IST</t>
        </is>
      </c>
      <c r="O61" s="17" t="n">
        <v>24229.9</v>
      </c>
      <c r="P61" s="17" t="n">
        <v>23995.95</v>
      </c>
      <c r="Q61" s="17" t="inlineStr">
        <is>
          <t>24300 PE</t>
        </is>
      </c>
      <c r="R61" s="17" t="inlineStr">
        <is>
          <t>24200 PE</t>
        </is>
      </c>
      <c r="S61" s="17" t="n">
        <v>36</v>
      </c>
      <c r="T61" s="17" t="n">
        <v>65</v>
      </c>
      <c r="U61" s="17" t="n">
        <v>2340</v>
      </c>
      <c r="V61" s="17" t="n">
        <v>20.3</v>
      </c>
      <c r="W61" s="17" t="n">
        <v>26.39</v>
      </c>
      <c r="X61" s="17" t="n">
        <v>47502</v>
      </c>
      <c r="Y61" s="17" t="n">
        <v>47556.67</v>
      </c>
      <c r="Z61" s="17" t="n">
        <v>186498</v>
      </c>
      <c r="AA61" s="17" t="n">
        <v>14250.6</v>
      </c>
      <c r="AB61" s="17" t="n">
        <v>14250.6</v>
      </c>
      <c r="AC61" s="17" t="n">
        <v>14250.6</v>
      </c>
      <c r="AD61" s="17" t="n">
        <v>30</v>
      </c>
      <c r="AE61" s="17" t="n">
        <v>40</v>
      </c>
      <c r="AF61" s="17" t="n">
        <v>5.94</v>
      </c>
      <c r="AG61" s="17" t="n">
        <v>0.1</v>
      </c>
      <c r="AH61" s="17" t="n">
        <v>1.43</v>
      </c>
      <c r="AI61" s="17" t="n">
        <v>7.22</v>
      </c>
      <c r="AJ61" s="17" t="n">
        <v>54.67</v>
      </c>
      <c r="AK61" s="17" t="n">
        <v>14195.93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24057.72</v>
      </c>
      <c r="I62" s="17" t="n">
        <v>24063.99</v>
      </c>
      <c r="J62" s="17" t="inlineStr">
        <is>
          <t>2026-07-30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11:14 IST</t>
        </is>
      </c>
      <c r="O62" s="17" t="n">
        <v>24250.2</v>
      </c>
      <c r="P62" s="17" t="n">
        <v>23985.35</v>
      </c>
      <c r="Q62" s="17" t="inlineStr">
        <is>
          <t>24300 PE</t>
        </is>
      </c>
      <c r="R62" s="17" t="inlineStr">
        <is>
          <t>24200 PE</t>
        </is>
      </c>
      <c r="S62" s="17" t="n">
        <v>41</v>
      </c>
      <c r="T62" s="17" t="n">
        <v>65</v>
      </c>
      <c r="U62" s="17" t="n">
        <v>2665</v>
      </c>
      <c r="V62" s="17" t="n">
        <v>17.7</v>
      </c>
      <c r="W62" s="17" t="n">
        <v>23.01</v>
      </c>
      <c r="X62" s="17" t="n">
        <v>47170.5</v>
      </c>
      <c r="Y62" s="17" t="n">
        <v>47225.12</v>
      </c>
      <c r="Z62" s="17" t="n">
        <v>219329.5</v>
      </c>
      <c r="AA62" s="17" t="n">
        <v>14151.15</v>
      </c>
      <c r="AB62" s="17" t="n">
        <v>14151.15</v>
      </c>
      <c r="AC62" s="17" t="n">
        <v>14151.15</v>
      </c>
      <c r="AD62" s="17" t="n">
        <v>30</v>
      </c>
      <c r="AE62" s="17" t="n">
        <v>40</v>
      </c>
      <c r="AF62" s="17" t="n">
        <v>5.9</v>
      </c>
      <c r="AG62" s="17" t="n">
        <v>0.09</v>
      </c>
      <c r="AH62" s="17" t="n">
        <v>1.42</v>
      </c>
      <c r="AI62" s="17" t="n">
        <v>7.22</v>
      </c>
      <c r="AJ62" s="17" t="n">
        <v>54.62</v>
      </c>
      <c r="AK62" s="17" t="n">
        <v>14096.53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Price↑(24269.6&gt;24250.2) &amp; EMA9↑(24099.7&gt;24078.34)</t>
        </is>
      </c>
      <c r="H63" s="17" t="n">
        <v>24099.7</v>
      </c>
      <c r="I63" s="17" t="n">
        <v>24078.34</v>
      </c>
      <c r="J63" s="17" t="inlineStr">
        <is>
          <t>2026-07-30</t>
        </is>
      </c>
      <c r="K63" s="17" t="inlineStr">
        <is>
          <t>WEEKLY</t>
        </is>
      </c>
      <c r="L63" s="17" t="n">
        <v>0</v>
      </c>
      <c r="M63" s="17" t="inlineStr">
        <is>
          <t>09:20 IST</t>
        </is>
      </c>
      <c r="N63" s="17" t="inlineStr">
        <is>
          <t>10:38 IST</t>
        </is>
      </c>
      <c r="O63" s="17" t="n">
        <v>24269.6</v>
      </c>
      <c r="P63" s="17" t="n">
        <v>24250.2</v>
      </c>
      <c r="Q63" s="17" t="inlineStr">
        <is>
          <t>24300 PE</t>
        </is>
      </c>
      <c r="R63" s="17" t="inlineStr">
        <is>
          <t>24200 PE</t>
        </is>
      </c>
      <c r="S63" s="17" t="n">
        <v>37</v>
      </c>
      <c r="T63" s="17" t="n">
        <v>65</v>
      </c>
      <c r="U63" s="17" t="n">
        <v>2405</v>
      </c>
      <c r="V63" s="17" t="n">
        <v>20</v>
      </c>
      <c r="W63" s="17" t="n">
        <v>26</v>
      </c>
      <c r="X63" s="17" t="n">
        <v>48100</v>
      </c>
      <c r="Y63" s="17" t="n">
        <v>48154.77</v>
      </c>
      <c r="Z63" s="17" t="n">
        <v>192400</v>
      </c>
      <c r="AA63" s="17" t="n">
        <v>14430</v>
      </c>
      <c r="AB63" s="17" t="n">
        <v>14430</v>
      </c>
      <c r="AC63" s="17" t="n">
        <v>14430</v>
      </c>
      <c r="AD63" s="17" t="n">
        <v>30</v>
      </c>
      <c r="AE63" s="17" t="n">
        <v>40</v>
      </c>
      <c r="AF63" s="17" t="n">
        <v>6.01</v>
      </c>
      <c r="AG63" s="17" t="n">
        <v>0.1</v>
      </c>
      <c r="AH63" s="17" t="n">
        <v>1.44</v>
      </c>
      <c r="AI63" s="17" t="n">
        <v>7.22</v>
      </c>
      <c r="AJ63" s="17" t="n">
        <v>54.77</v>
      </c>
      <c r="AK63" s="17" t="n">
        <v>14375.23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Bear Put Spread</t>
        </is>
      </c>
      <c r="D64" s="16" t="inlineStr">
        <is>
          <t>Bear Put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15:14 IST</t>
        </is>
      </c>
      <c r="O64" s="16" t="n">
        <v>24317.15</v>
      </c>
      <c r="P64" s="16" t="n">
        <v>24250.2</v>
      </c>
      <c r="Q64" s="16" t="inlineStr">
        <is>
          <t>24400 PE</t>
        </is>
      </c>
      <c r="R64" s="16" t="inlineStr">
        <is>
          <t>24300 PE</t>
        </is>
      </c>
      <c r="S64" s="16" t="n">
        <v>40</v>
      </c>
      <c r="T64" s="16" t="n">
        <v>65</v>
      </c>
      <c r="U64" s="16" t="n">
        <v>2600</v>
      </c>
      <c r="V64" s="16" t="n">
        <v>18.43</v>
      </c>
      <c r="W64" s="16" t="n">
        <v>17.59</v>
      </c>
      <c r="X64" s="16" t="n">
        <v>47918</v>
      </c>
      <c r="Y64" s="16" t="n">
        <v>47972.74</v>
      </c>
      <c r="Z64" s="16" t="n">
        <v>212082</v>
      </c>
      <c r="AA64" s="16" t="n">
        <v>14375.4</v>
      </c>
      <c r="AB64" s="16" t="n">
        <v>14375.4</v>
      </c>
      <c r="AC64" s="16" t="n">
        <v>-2184</v>
      </c>
      <c r="AD64" s="16" t="n">
        <v>-4.6</v>
      </c>
      <c r="AE64" s="16" t="n">
        <v>40</v>
      </c>
      <c r="AF64" s="16" t="n">
        <v>5.99</v>
      </c>
      <c r="AG64" s="16" t="n">
        <v>0.1</v>
      </c>
      <c r="AH64" s="16" t="n">
        <v>1.44</v>
      </c>
      <c r="AI64" s="16" t="n">
        <v>7.22</v>
      </c>
      <c r="AJ64" s="16" t="n">
        <v>54.74</v>
      </c>
      <c r="AK64" s="16" t="n">
        <v>-2238.74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BULLISH</t>
        </is>
      </c>
      <c r="G65" s="15" t="inlineStr">
        <is>
          <t>Price↑(24367.65&gt;24317.15) &amp; EMA9↑(24160.61&gt;24108.83)</t>
        </is>
      </c>
      <c r="H65" s="15" t="n">
        <v>24160.61</v>
      </c>
      <c r="I65" s="15" t="n">
        <v>24108.83</v>
      </c>
      <c r="J65" s="15" t="inlineStr">
        <is>
          <t>2026-08-06</t>
        </is>
      </c>
      <c r="K65" s="15" t="inlineStr">
        <is>
          <t>WEEKLY</t>
        </is>
      </c>
      <c r="L65" s="15" t="n">
        <v>6</v>
      </c>
      <c r="M65" s="15" t="inlineStr">
        <is>
          <t>09:20 IST</t>
        </is>
      </c>
      <c r="N65" s="15" t="inlineStr">
        <is>
          <t>09:57 IST</t>
        </is>
      </c>
      <c r="O65" s="15" t="n">
        <v>24367.65</v>
      </c>
      <c r="P65" s="15" t="n">
        <v>24317.15</v>
      </c>
      <c r="Q65" s="15" t="inlineStr">
        <is>
          <t>24400 PE</t>
        </is>
      </c>
      <c r="R65" s="15" t="inlineStr">
        <is>
          <t>24300 PE</t>
        </is>
      </c>
      <c r="S65" s="15" t="n">
        <v>28</v>
      </c>
      <c r="T65" s="15" t="n">
        <v>65</v>
      </c>
      <c r="U65" s="15" t="n">
        <v>1820</v>
      </c>
      <c r="V65" s="15" t="n">
        <v>26.43</v>
      </c>
      <c r="W65" s="15" t="n">
        <v>18.5</v>
      </c>
      <c r="X65" s="15" t="n">
        <v>48102.6</v>
      </c>
      <c r="Y65" s="15" t="n">
        <v>48157.37</v>
      </c>
      <c r="Z65" s="15" t="n">
        <v>133897.4</v>
      </c>
      <c r="AA65" s="15" t="n">
        <v>14430.78</v>
      </c>
      <c r="AB65" s="15" t="n">
        <v>14430.78</v>
      </c>
      <c r="AC65" s="15" t="n">
        <v>-14432.6</v>
      </c>
      <c r="AD65" s="15" t="n">
        <v>-30</v>
      </c>
      <c r="AE65" s="15" t="n">
        <v>40</v>
      </c>
      <c r="AF65" s="15" t="n">
        <v>6.01</v>
      </c>
      <c r="AG65" s="15" t="n">
        <v>0.1</v>
      </c>
      <c r="AH65" s="15" t="n">
        <v>1.44</v>
      </c>
      <c r="AI65" s="15" t="n">
        <v>7.22</v>
      </c>
      <c r="AJ65" s="15" t="n">
        <v>54.77</v>
      </c>
      <c r="AK65" s="15" t="n">
        <v>-14487.37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Bear Put Spread</t>
        </is>
      </c>
      <c r="D66" s="17" t="inlineStr">
        <is>
          <t>Bear Put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10:42 IST</t>
        </is>
      </c>
      <c r="O66" s="17" t="n">
        <v>24383.6</v>
      </c>
      <c r="P66" s="17" t="n">
        <v>24317.15</v>
      </c>
      <c r="Q66" s="17" t="inlineStr">
        <is>
          <t>24400 PE</t>
        </is>
      </c>
      <c r="R66" s="17" t="inlineStr">
        <is>
          <t>24300 PE</t>
        </is>
      </c>
      <c r="S66" s="17" t="n">
        <v>20</v>
      </c>
      <c r="T66" s="17" t="n">
        <v>65</v>
      </c>
      <c r="U66" s="17" t="n">
        <v>1300</v>
      </c>
      <c r="V66" s="17" t="n">
        <v>36.34</v>
      </c>
      <c r="W66" s="17" t="n">
        <v>47.24</v>
      </c>
      <c r="X66" s="17" t="n">
        <v>47242</v>
      </c>
      <c r="Y66" s="17" t="n">
        <v>47296.63</v>
      </c>
      <c r="Z66" s="17" t="n">
        <v>82758</v>
      </c>
      <c r="AA66" s="17" t="n">
        <v>14172.6</v>
      </c>
      <c r="AB66" s="17" t="n">
        <v>14172.6</v>
      </c>
      <c r="AC66" s="17" t="n">
        <v>14170</v>
      </c>
      <c r="AD66" s="17" t="n">
        <v>30</v>
      </c>
      <c r="AE66" s="17" t="n">
        <v>40</v>
      </c>
      <c r="AF66" s="17" t="n">
        <v>5.91</v>
      </c>
      <c r="AG66" s="17" t="n">
        <v>0.09</v>
      </c>
      <c r="AH66" s="17" t="n">
        <v>1.42</v>
      </c>
      <c r="AI66" s="17" t="n">
        <v>7.22</v>
      </c>
      <c r="AJ66" s="17" t="n">
        <v>54.63</v>
      </c>
      <c r="AK66" s="17" t="n">
        <v>14115.37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NIFTY</t>
        </is>
      </c>
      <c r="C67" s="16" t="inlineStr">
        <is>
          <t>Bear Put Spread</t>
        </is>
      </c>
      <c r="D67" s="16" t="inlineStr">
        <is>
          <t>Bear Put Spread</t>
        </is>
      </c>
      <c r="E67" s="16" t="inlineStr">
        <is>
          <t>SIMULATED</t>
        </is>
      </c>
      <c r="F67" s="16" t="inlineStr">
        <is>
          <t>BULLISH</t>
        </is>
      </c>
      <c r="G67" s="16" t="inlineStr">
        <is>
          <t>Price↑(24606.4&gt;24383.6) &amp; EMA9↑(24251.81&gt;24157.86)</t>
        </is>
      </c>
      <c r="H67" s="16" t="n">
        <v>24251.81</v>
      </c>
      <c r="I67" s="16" t="n">
        <v>24157.86</v>
      </c>
      <c r="J67" s="16" t="inlineStr">
        <is>
          <t>2026-08-06</t>
        </is>
      </c>
      <c r="K67" s="16" t="inlineStr">
        <is>
          <t>WEEKLY</t>
        </is>
      </c>
      <c r="L67" s="16" t="n">
        <v>3</v>
      </c>
      <c r="M67" s="16" t="inlineStr">
        <is>
          <t>09:20 IST</t>
        </is>
      </c>
      <c r="N67" s="16" t="inlineStr">
        <is>
          <t>13:27 IST</t>
        </is>
      </c>
      <c r="O67" s="16" t="n">
        <v>24606.4</v>
      </c>
      <c r="P67" s="16" t="n">
        <v>24383.6</v>
      </c>
      <c r="Q67" s="16" t="inlineStr">
        <is>
          <t>24700 PE</t>
        </is>
      </c>
      <c r="R67" s="16" t="inlineStr">
        <is>
          <t>24600 PE</t>
        </is>
      </c>
      <c r="S67" s="16" t="n">
        <v>29</v>
      </c>
      <c r="T67" s="16" t="n">
        <v>65</v>
      </c>
      <c r="U67" s="16" t="n">
        <v>1885</v>
      </c>
      <c r="V67" s="16" t="n">
        <v>25.8</v>
      </c>
      <c r="W67" s="16" t="n">
        <v>26.06</v>
      </c>
      <c r="X67" s="16" t="n">
        <v>48633</v>
      </c>
      <c r="Y67" s="16" t="n">
        <v>48687.85</v>
      </c>
      <c r="Z67" s="16" t="n">
        <v>139867</v>
      </c>
      <c r="AA67" s="16" t="n">
        <v>14589.9</v>
      </c>
      <c r="AB67" s="16" t="n">
        <v>14589.9</v>
      </c>
      <c r="AC67" s="16" t="n">
        <v>490.1</v>
      </c>
      <c r="AD67" s="16" t="n">
        <v>1</v>
      </c>
      <c r="AE67" s="16" t="n">
        <v>40</v>
      </c>
      <c r="AF67" s="16" t="n">
        <v>6.08</v>
      </c>
      <c r="AG67" s="16" t="n">
        <v>0.1</v>
      </c>
      <c r="AH67" s="16" t="n">
        <v>1.46</v>
      </c>
      <c r="AI67" s="16" t="n">
        <v>7.22</v>
      </c>
      <c r="AJ67" s="16" t="n">
        <v>54.85</v>
      </c>
      <c r="AK67" s="16" t="n">
        <v>435.25</v>
      </c>
      <c r="AL67" s="16" t="inlineStr">
        <is>
          <t>FLAT</t>
        </is>
      </c>
      <c r="AM67" s="16" t="n">
        <v>50000</v>
      </c>
      <c r="AN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11:07 IST</t>
        </is>
      </c>
      <c r="O68" s="15" t="n">
        <v>24774.3</v>
      </c>
      <c r="P68" s="15" t="n">
        <v>24383.6</v>
      </c>
      <c r="Q68" s="15" t="inlineStr">
        <is>
          <t>24800 PE</t>
        </is>
      </c>
      <c r="R68" s="15" t="inlineStr">
        <is>
          <t>24700 PE</t>
        </is>
      </c>
      <c r="S68" s="15" t="n">
        <v>19</v>
      </c>
      <c r="T68" s="15" t="n">
        <v>65</v>
      </c>
      <c r="U68" s="15" t="n">
        <v>1235</v>
      </c>
      <c r="V68" s="15" t="n">
        <v>39.74</v>
      </c>
      <c r="W68" s="15" t="n">
        <v>27.82</v>
      </c>
      <c r="X68" s="15" t="n">
        <v>49078.9</v>
      </c>
      <c r="Y68" s="15" t="n">
        <v>49133.82</v>
      </c>
      <c r="Z68" s="15" t="n">
        <v>74421.10000000001</v>
      </c>
      <c r="AA68" s="15" t="n">
        <v>14723.67</v>
      </c>
      <c r="AB68" s="15" t="n">
        <v>14723.67</v>
      </c>
      <c r="AC68" s="15" t="n">
        <v>-14721.2</v>
      </c>
      <c r="AD68" s="15" t="n">
        <v>-30</v>
      </c>
      <c r="AE68" s="15" t="n">
        <v>40</v>
      </c>
      <c r="AF68" s="15" t="n">
        <v>6.13</v>
      </c>
      <c r="AG68" s="15" t="n">
        <v>0.1</v>
      </c>
      <c r="AH68" s="15" t="n">
        <v>1.47</v>
      </c>
      <c r="AI68" s="15" t="n">
        <v>7.22</v>
      </c>
      <c r="AJ68" s="15" t="n">
        <v>54.92</v>
      </c>
      <c r="AK68" s="15" t="n">
        <v>-14776.12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Bear Put Spread</t>
        </is>
      </c>
      <c r="D69" s="17" t="inlineStr">
        <is>
          <t>Bear Put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10:43 IST</t>
        </is>
      </c>
      <c r="O69" s="17" t="n">
        <v>24552.85</v>
      </c>
      <c r="P69" s="17" t="n">
        <v>24383.6</v>
      </c>
      <c r="Q69" s="17" t="inlineStr">
        <is>
          <t>24600 PE</t>
        </is>
      </c>
      <c r="R69" s="17" t="inlineStr">
        <is>
          <t>24500 PE</t>
        </is>
      </c>
      <c r="S69" s="17" t="n">
        <v>34</v>
      </c>
      <c r="T69" s="17" t="n">
        <v>65</v>
      </c>
      <c r="U69" s="17" t="n">
        <v>2210</v>
      </c>
      <c r="V69" s="17" t="n">
        <v>21.68</v>
      </c>
      <c r="W69" s="17" t="n">
        <v>28.18</v>
      </c>
      <c r="X69" s="17" t="n">
        <v>47912.8</v>
      </c>
      <c r="Y69" s="17" t="n">
        <v>47967.54</v>
      </c>
      <c r="Z69" s="17" t="n">
        <v>173087.2</v>
      </c>
      <c r="AA69" s="17" t="n">
        <v>14373.84</v>
      </c>
      <c r="AB69" s="17" t="n">
        <v>14373.84</v>
      </c>
      <c r="AC69" s="17" t="n">
        <v>14365</v>
      </c>
      <c r="AD69" s="17" t="n">
        <v>30</v>
      </c>
      <c r="AE69" s="17" t="n">
        <v>40</v>
      </c>
      <c r="AF69" s="17" t="n">
        <v>5.99</v>
      </c>
      <c r="AG69" s="17" t="n">
        <v>0.1</v>
      </c>
      <c r="AH69" s="17" t="n">
        <v>1.44</v>
      </c>
      <c r="AI69" s="17" t="n">
        <v>7.22</v>
      </c>
      <c r="AJ69" s="17" t="n">
        <v>54.74</v>
      </c>
      <c r="AK69" s="17" t="n">
        <v>14310.26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SKIP</t>
        </is>
      </c>
      <c r="G70" s="17" t="inlineStr">
        <is>
          <t>Conflicting — Price:BEARISH EMA:BULLISH</t>
        </is>
      </c>
      <c r="H70" s="17" t="n">
        <v>24351.26</v>
      </c>
      <c r="I70" s="17" t="n">
        <v>24224.31</v>
      </c>
      <c r="J70" s="17" t="inlineStr">
        <is>
          <t>2026-08-06</t>
        </is>
      </c>
      <c r="K70" s="17" t="inlineStr">
        <is>
          <t>WEEKLY</t>
        </is>
      </c>
      <c r="L70" s="17" t="n">
        <v>2</v>
      </c>
      <c r="M70" s="17" t="inlineStr">
        <is>
          <t>09:20 IST</t>
        </is>
      </c>
      <c r="N70" s="17" t="inlineStr">
        <is>
          <t>11:55 IST</t>
        </is>
      </c>
      <c r="O70" s="17" t="n">
        <v>24614.9</v>
      </c>
      <c r="P70" s="17" t="n">
        <v>24774.3</v>
      </c>
      <c r="Q70" s="17" t="inlineStr">
        <is>
          <t>24700 PE</t>
        </is>
      </c>
      <c r="R70" s="17" t="inlineStr">
        <is>
          <t>24600 PE</t>
        </is>
      </c>
      <c r="S70" s="17" t="n">
        <v>48</v>
      </c>
      <c r="T70" s="17" t="n">
        <v>65</v>
      </c>
      <c r="U70" s="17" t="n">
        <v>3120</v>
      </c>
      <c r="V70" s="17" t="n">
        <v>15.32</v>
      </c>
      <c r="W70" s="17" t="n">
        <v>19.92</v>
      </c>
      <c r="X70" s="17" t="n">
        <v>47798.4</v>
      </c>
      <c r="Y70" s="17" t="n">
        <v>47853.12</v>
      </c>
      <c r="Z70" s="17" t="n">
        <v>264201.6</v>
      </c>
      <c r="AA70" s="17" t="n">
        <v>14339.52</v>
      </c>
      <c r="AB70" s="17" t="n">
        <v>14339.52</v>
      </c>
      <c r="AC70" s="17" t="n">
        <v>14352</v>
      </c>
      <c r="AD70" s="17" t="n">
        <v>30</v>
      </c>
      <c r="AE70" s="17" t="n">
        <v>40</v>
      </c>
      <c r="AF70" s="17" t="n">
        <v>5.97</v>
      </c>
      <c r="AG70" s="17" t="n">
        <v>0.1</v>
      </c>
      <c r="AH70" s="17" t="n">
        <v>1.43</v>
      </c>
      <c r="AI70" s="17" t="n">
        <v>7.22</v>
      </c>
      <c r="AJ70" s="17" t="n">
        <v>54.72</v>
      </c>
      <c r="AK70" s="17" t="n">
        <v>14297.28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11:04 IST</t>
        </is>
      </c>
      <c r="O71" s="17" t="n">
        <v>24598.1</v>
      </c>
      <c r="P71" s="17" t="n">
        <v>24614.9</v>
      </c>
      <c r="Q71" s="17" t="inlineStr">
        <is>
          <t>24600 PE</t>
        </is>
      </c>
      <c r="R71" s="17" t="inlineStr">
        <is>
          <t>24500 PE</t>
        </is>
      </c>
      <c r="S71" s="17" t="n">
        <v>45</v>
      </c>
      <c r="T71" s="17" t="n">
        <v>65</v>
      </c>
      <c r="U71" s="17" t="n">
        <v>2925</v>
      </c>
      <c r="V71" s="17" t="n">
        <v>16.2</v>
      </c>
      <c r="W71" s="17" t="n">
        <v>21.06</v>
      </c>
      <c r="X71" s="17" t="n">
        <v>47385</v>
      </c>
      <c r="Y71" s="17" t="n">
        <v>47439.66</v>
      </c>
      <c r="Z71" s="17" t="n">
        <v>245115</v>
      </c>
      <c r="AA71" s="17" t="n">
        <v>14215.5</v>
      </c>
      <c r="AB71" s="17" t="n">
        <v>14215.5</v>
      </c>
      <c r="AC71" s="17" t="n">
        <v>14215.5</v>
      </c>
      <c r="AD71" s="17" t="n">
        <v>30</v>
      </c>
      <c r="AE71" s="17" t="n">
        <v>40</v>
      </c>
      <c r="AF71" s="17" t="n">
        <v>5.92</v>
      </c>
      <c r="AG71" s="17" t="n">
        <v>0.09</v>
      </c>
      <c r="AH71" s="17" t="n">
        <v>1.42</v>
      </c>
      <c r="AI71" s="17" t="n">
        <v>7.22</v>
      </c>
      <c r="AJ71" s="17" t="n">
        <v>54.66</v>
      </c>
      <c r="AK71" s="17" t="n">
        <v>14160.84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NIFTY</t>
        </is>
      </c>
      <c r="C72" s="17" t="inlineStr">
        <is>
          <t>Bear Put Spread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Price↑(24624.65&gt;24614.9) &amp; EMA9↑(24406.33&gt;24269.49)</t>
        </is>
      </c>
      <c r="H72" s="17" t="n">
        <v>24406.33</v>
      </c>
      <c r="I72" s="17" t="n">
        <v>24269.49</v>
      </c>
      <c r="J72" s="17" t="inlineStr">
        <is>
          <t>2026-08-06</t>
        </is>
      </c>
      <c r="K72" s="17" t="inlineStr">
        <is>
          <t>WEEKLY</t>
        </is>
      </c>
      <c r="L72" s="17" t="n">
        <v>1</v>
      </c>
      <c r="M72" s="17" t="inlineStr">
        <is>
          <t>09:20 IST</t>
        </is>
      </c>
      <c r="N72" s="17" t="inlineStr">
        <is>
          <t>12:05 IST</t>
        </is>
      </c>
      <c r="O72" s="17" t="n">
        <v>24624.65</v>
      </c>
      <c r="P72" s="17" t="n">
        <v>24614.9</v>
      </c>
      <c r="Q72" s="17" t="inlineStr">
        <is>
          <t>24700 PE</t>
        </is>
      </c>
      <c r="R72" s="17" t="inlineStr">
        <is>
          <t>24600 PE</t>
        </is>
      </c>
      <c r="S72" s="17" t="n">
        <v>38</v>
      </c>
      <c r="T72" s="17" t="n">
        <v>65</v>
      </c>
      <c r="U72" s="17" t="n">
        <v>2470</v>
      </c>
      <c r="V72" s="17" t="n">
        <v>19.42</v>
      </c>
      <c r="W72" s="17" t="n">
        <v>25.25</v>
      </c>
      <c r="X72" s="17" t="n">
        <v>47967.4</v>
      </c>
      <c r="Y72" s="17" t="n">
        <v>48022.15</v>
      </c>
      <c r="Z72" s="17" t="n">
        <v>199032.6</v>
      </c>
      <c r="AA72" s="17" t="n">
        <v>14390.22</v>
      </c>
      <c r="AB72" s="17" t="n">
        <v>14390.22</v>
      </c>
      <c r="AC72" s="17" t="n">
        <v>14400.1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54.75</v>
      </c>
      <c r="AK72" s="17" t="n">
        <v>14345.35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Price↑(24630.75&gt;24624.65) &amp; EMA9↑(24451.45&gt;24305.23)</t>
        </is>
      </c>
      <c r="H73" s="15" t="n">
        <v>24451.45</v>
      </c>
      <c r="I73" s="15" t="n">
        <v>24305.23</v>
      </c>
      <c r="J73" s="15" t="inlineStr">
        <is>
          <t>2026-08-06</t>
        </is>
      </c>
      <c r="K73" s="15" t="inlineStr">
        <is>
          <t>WEEKLY</t>
        </is>
      </c>
      <c r="L73" s="15" t="n">
        <v>0</v>
      </c>
      <c r="M73" s="15" t="inlineStr">
        <is>
          <t>09:20 IST</t>
        </is>
      </c>
      <c r="N73" s="15" t="inlineStr">
        <is>
          <t>10:56 IST</t>
        </is>
      </c>
      <c r="O73" s="15" t="n">
        <v>24630.75</v>
      </c>
      <c r="P73" s="15" t="n">
        <v>24624.65</v>
      </c>
      <c r="Q73" s="15" t="inlineStr">
        <is>
          <t>24700 PE</t>
        </is>
      </c>
      <c r="R73" s="15" t="inlineStr">
        <is>
          <t>24600 PE</t>
        </is>
      </c>
      <c r="S73" s="15" t="n">
        <v>41</v>
      </c>
      <c r="T73" s="15" t="n">
        <v>65</v>
      </c>
      <c r="U73" s="15" t="n">
        <v>2665</v>
      </c>
      <c r="V73" s="15" t="n">
        <v>17.97</v>
      </c>
      <c r="W73" s="15" t="n">
        <v>12.58</v>
      </c>
      <c r="X73" s="15" t="n">
        <v>47890.05</v>
      </c>
      <c r="Y73" s="15" t="n">
        <v>47944.79</v>
      </c>
      <c r="Z73" s="15" t="n">
        <v>218609.95</v>
      </c>
      <c r="AA73" s="15" t="n">
        <v>14367.02</v>
      </c>
      <c r="AB73" s="15" t="n">
        <v>14367.02</v>
      </c>
      <c r="AC73" s="15" t="n">
        <v>-14364.35</v>
      </c>
      <c r="AD73" s="15" t="n">
        <v>-30</v>
      </c>
      <c r="AE73" s="15" t="n">
        <v>40</v>
      </c>
      <c r="AF73" s="15" t="n">
        <v>5.99</v>
      </c>
      <c r="AG73" s="15" t="n">
        <v>0.1</v>
      </c>
      <c r="AH73" s="15" t="n">
        <v>1.44</v>
      </c>
      <c r="AI73" s="15" t="n">
        <v>7.22</v>
      </c>
      <c r="AJ73" s="15" t="n">
        <v>54.74</v>
      </c>
      <c r="AK73" s="15" t="n">
        <v>-14419.09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NIFTY</t>
        </is>
      </c>
      <c r="C74" s="15" t="inlineStr">
        <is>
          <t>Bear Put Spread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SKIP</t>
        </is>
      </c>
      <c r="G74" s="15" t="inlineStr">
        <is>
          <t>Conflicting — Price:BEARISH EMA:BULLISH</t>
        </is>
      </c>
      <c r="H74" s="15" t="n">
        <v>24478.6</v>
      </c>
      <c r="I74" s="15" t="n">
        <v>24330.91</v>
      </c>
      <c r="J74" s="15" t="inlineStr">
        <is>
          <t>2026-08-13</t>
        </is>
      </c>
      <c r="K74" s="15" t="inlineStr">
        <is>
          <t>WEEKLY</t>
        </is>
      </c>
      <c r="L74" s="15" t="n">
        <v>6</v>
      </c>
      <c r="M74" s="15" t="inlineStr">
        <is>
          <t>09:20 IST</t>
        </is>
      </c>
      <c r="N74" s="15" t="inlineStr">
        <is>
          <t>09:50 IST</t>
        </is>
      </c>
      <c r="O74" s="15" t="n">
        <v>24583</v>
      </c>
      <c r="P74" s="15" t="n">
        <v>24636</v>
      </c>
      <c r="Q74" s="15" t="inlineStr">
        <is>
          <t>24600 PE</t>
        </is>
      </c>
      <c r="R74" s="15" t="inlineStr">
        <is>
          <t>24500 PE</t>
        </is>
      </c>
      <c r="S74" s="15" t="n">
        <v>19</v>
      </c>
      <c r="T74" s="15" t="n">
        <v>65</v>
      </c>
      <c r="U74" s="15" t="n">
        <v>1235</v>
      </c>
      <c r="V74" s="15" t="n">
        <v>39.65</v>
      </c>
      <c r="W74" s="15" t="n">
        <v>27.75</v>
      </c>
      <c r="X74" s="15" t="n">
        <v>48967.75</v>
      </c>
      <c r="Y74" s="15" t="n">
        <v>49022.66</v>
      </c>
      <c r="Z74" s="15" t="n">
        <v>74532.25</v>
      </c>
      <c r="AA74" s="15" t="n">
        <v>14690.32</v>
      </c>
      <c r="AB74" s="15" t="n">
        <v>14690.32</v>
      </c>
      <c r="AC74" s="15" t="n">
        <v>-14696.5</v>
      </c>
      <c r="AD74" s="15" t="n">
        <v>-30</v>
      </c>
      <c r="AE74" s="15" t="n">
        <v>40</v>
      </c>
      <c r="AF74" s="15" t="n">
        <v>6.12</v>
      </c>
      <c r="AG74" s="15" t="n">
        <v>0.1</v>
      </c>
      <c r="AH74" s="15" t="n">
        <v>1.47</v>
      </c>
      <c r="AI74" s="15" t="n">
        <v>7.22</v>
      </c>
      <c r="AJ74" s="15" t="n">
        <v>54.91</v>
      </c>
      <c r="AK74" s="15" t="n">
        <v>-14751.41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NIFTY</t>
        </is>
      </c>
      <c r="C75" s="15" t="inlineStr">
        <is>
          <t>Bear Put Spread</t>
        </is>
      </c>
      <c r="D75" s="15" t="inlineStr">
        <is>
          <t>Bear Put Spread</t>
        </is>
      </c>
      <c r="E75" s="15" t="inlineStr">
        <is>
          <t>SIMULATED</t>
        </is>
      </c>
      <c r="F75" s="15" t="inlineStr">
        <is>
          <t>SKIP</t>
        </is>
      </c>
      <c r="G75" s="15" t="inlineStr">
        <is>
          <t>Conflicting — Price:BEARISH EMA:BULLISH</t>
        </is>
      </c>
      <c r="H75" s="15" t="n">
        <v>24476.13</v>
      </c>
      <c r="I75" s="15" t="n">
        <v>24329.79</v>
      </c>
      <c r="J75" s="15" t="inlineStr">
        <is>
          <t>2026-08-13</t>
        </is>
      </c>
      <c r="K75" s="15" t="inlineStr">
        <is>
          <t>WEEKLY</t>
        </is>
      </c>
      <c r="L75" s="15" t="n">
        <v>6</v>
      </c>
      <c r="M75" s="15" t="inlineStr">
        <is>
          <t>09:20 IST</t>
        </is>
      </c>
      <c r="N75" s="15" t="inlineStr">
        <is>
          <t>11:06 IST</t>
        </is>
      </c>
      <c r="O75" s="15" t="n">
        <v>24570.65</v>
      </c>
      <c r="P75" s="15" t="n">
        <v>24636</v>
      </c>
      <c r="Q75" s="15" t="inlineStr">
        <is>
          <t>24600 PE</t>
        </is>
      </c>
      <c r="R75" s="15" t="inlineStr">
        <is>
          <t>24500 PE</t>
        </is>
      </c>
      <c r="S75" s="15" t="n">
        <v>23</v>
      </c>
      <c r="T75" s="15" t="n">
        <v>65</v>
      </c>
      <c r="U75" s="15" t="n">
        <v>1495</v>
      </c>
      <c r="V75" s="15" t="n">
        <v>32.67</v>
      </c>
      <c r="W75" s="15" t="n">
        <v>22.87</v>
      </c>
      <c r="X75" s="15" t="n">
        <v>48841.65</v>
      </c>
      <c r="Y75" s="15" t="n">
        <v>48896.54</v>
      </c>
      <c r="Z75" s="15" t="n">
        <v>100658.35</v>
      </c>
      <c r="AA75" s="15" t="n">
        <v>14652.5</v>
      </c>
      <c r="AB75" s="15" t="n">
        <v>14652.5</v>
      </c>
      <c r="AC75" s="15" t="n">
        <v>-14651</v>
      </c>
      <c r="AD75" s="15" t="n">
        <v>-30</v>
      </c>
      <c r="AE75" s="15" t="n">
        <v>40</v>
      </c>
      <c r="AF75" s="15" t="n">
        <v>6.11</v>
      </c>
      <c r="AG75" s="15" t="n">
        <v>0.1</v>
      </c>
      <c r="AH75" s="15" t="n">
        <v>1.47</v>
      </c>
      <c r="AI75" s="15" t="n">
        <v>7.22</v>
      </c>
      <c r="AJ75" s="15" t="n">
        <v>54.89</v>
      </c>
      <c r="AK75" s="15" t="n">
        <v>-14705.89</v>
      </c>
      <c r="AL75" s="15" t="inlineStr">
        <is>
          <t>STOP LOSS</t>
        </is>
      </c>
      <c r="AM75" s="15" t="n">
        <v>50000</v>
      </c>
      <c r="AN75" s="15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NIFTY</t>
        </is>
      </c>
      <c r="C76" s="16" t="inlineStr">
        <is>
          <t>Bear Put Spread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BULLISH</t>
        </is>
      </c>
      <c r="G76" s="16" t="inlineStr">
        <is>
          <t>Price↑(24597.3&gt;24570.65) &amp; EMA9↑(24500.44&gt;24359.04)</t>
        </is>
      </c>
      <c r="H76" s="16" t="n">
        <v>24500.44</v>
      </c>
      <c r="I76" s="16" t="n">
        <v>24359.04</v>
      </c>
      <c r="J76" s="16" t="inlineStr">
        <is>
          <t>2026-08-13</t>
        </is>
      </c>
      <c r="K76" s="16" t="inlineStr">
        <is>
          <t>WEEKLY</t>
        </is>
      </c>
      <c r="L76" s="16" t="n">
        <v>3</v>
      </c>
      <c r="M76" s="16" t="inlineStr">
        <is>
          <t>09:20 IST</t>
        </is>
      </c>
      <c r="N76" s="16" t="inlineStr">
        <is>
          <t>14:53 IST</t>
        </is>
      </c>
      <c r="O76" s="16" t="n">
        <v>24597.3</v>
      </c>
      <c r="P76" s="16" t="n">
        <v>24570.65</v>
      </c>
      <c r="Q76" s="16" t="inlineStr">
        <is>
          <t>24600 PE</t>
        </is>
      </c>
      <c r="R76" s="16" t="inlineStr">
        <is>
          <t>24500 PE</t>
        </is>
      </c>
      <c r="S76" s="16" t="n">
        <v>20</v>
      </c>
      <c r="T76" s="16" t="n">
        <v>65</v>
      </c>
      <c r="U76" s="16" t="n">
        <v>1300</v>
      </c>
      <c r="V76" s="16" t="n">
        <v>37.78</v>
      </c>
      <c r="W76" s="16" t="n">
        <v>38.99</v>
      </c>
      <c r="X76" s="16" t="n">
        <v>49114</v>
      </c>
      <c r="Y76" s="16" t="n">
        <v>49168.93</v>
      </c>
      <c r="Z76" s="16" t="n">
        <v>80886</v>
      </c>
      <c r="AA76" s="16" t="n">
        <v>14734.2</v>
      </c>
      <c r="AB76" s="16" t="n">
        <v>14734.2</v>
      </c>
      <c r="AC76" s="16" t="n">
        <v>1573</v>
      </c>
      <c r="AD76" s="16" t="n">
        <v>3.2</v>
      </c>
      <c r="AE76" s="16" t="n">
        <v>40</v>
      </c>
      <c r="AF76" s="16" t="n">
        <v>6.14</v>
      </c>
      <c r="AG76" s="16" t="n">
        <v>0.1</v>
      </c>
      <c r="AH76" s="16" t="n">
        <v>1.47</v>
      </c>
      <c r="AI76" s="16" t="n">
        <v>7.22</v>
      </c>
      <c r="AJ76" s="16" t="n">
        <v>54.93</v>
      </c>
      <c r="AK76" s="16" t="n">
        <v>1518.07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NIFTY</t>
        </is>
      </c>
      <c r="C77" s="15" t="inlineStr">
        <is>
          <t>Bear Put Spread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BULLISH</t>
        </is>
      </c>
      <c r="G77" s="15" t="inlineStr">
        <is>
          <t>Price↑(24583.8&gt;24570.65) &amp; EMA9↑(24497.74&gt;24357.82)</t>
        </is>
      </c>
      <c r="H77" s="15" t="n">
        <v>24497.74</v>
      </c>
      <c r="I77" s="15" t="n">
        <v>24357.82</v>
      </c>
      <c r="J77" s="15" t="inlineStr">
        <is>
          <t>2026-08-13</t>
        </is>
      </c>
      <c r="K77" s="15" t="inlineStr">
        <is>
          <t>WEEKLY</t>
        </is>
      </c>
      <c r="L77" s="15" t="n">
        <v>3</v>
      </c>
      <c r="M77" s="15" t="inlineStr">
        <is>
          <t>09:20 IST</t>
        </is>
      </c>
      <c r="N77" s="15" t="inlineStr">
        <is>
          <t>10:50 IST</t>
        </is>
      </c>
      <c r="O77" s="15" t="n">
        <v>24583.8</v>
      </c>
      <c r="P77" s="15" t="n">
        <v>24570.65</v>
      </c>
      <c r="Q77" s="15" t="inlineStr">
        <is>
          <t>24600 PE</t>
        </is>
      </c>
      <c r="R77" s="15" t="inlineStr">
        <is>
          <t>24500 PE</t>
        </is>
      </c>
      <c r="S77" s="15" t="n">
        <v>20</v>
      </c>
      <c r="T77" s="15" t="n">
        <v>65</v>
      </c>
      <c r="U77" s="15" t="n">
        <v>1300</v>
      </c>
      <c r="V77" s="15" t="n">
        <v>36.14</v>
      </c>
      <c r="W77" s="15" t="n">
        <v>25.3</v>
      </c>
      <c r="X77" s="15" t="n">
        <v>46982</v>
      </c>
      <c r="Y77" s="15" t="n">
        <v>47036.59</v>
      </c>
      <c r="Z77" s="15" t="n">
        <v>83018</v>
      </c>
      <c r="AA77" s="15" t="n">
        <v>14094.6</v>
      </c>
      <c r="AB77" s="15" t="n">
        <v>14094.6</v>
      </c>
      <c r="AC77" s="15" t="n">
        <v>-14092</v>
      </c>
      <c r="AD77" s="15" t="n">
        <v>-30</v>
      </c>
      <c r="AE77" s="15" t="n">
        <v>40</v>
      </c>
      <c r="AF77" s="15" t="n">
        <v>5.87</v>
      </c>
      <c r="AG77" s="15" t="n">
        <v>0.09</v>
      </c>
      <c r="AH77" s="15" t="n">
        <v>1.41</v>
      </c>
      <c r="AI77" s="15" t="n">
        <v>7.22</v>
      </c>
      <c r="AJ77" s="15" t="n">
        <v>54.59</v>
      </c>
      <c r="AK77" s="15" t="n">
        <v>-14146.59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NIFTY</t>
        </is>
      </c>
      <c r="C78" s="15" t="inlineStr">
        <is>
          <t>Bear Put Spread</t>
        </is>
      </c>
      <c r="D78" s="15" t="inlineStr">
        <is>
          <t>Bear Put Spread</t>
        </is>
      </c>
      <c r="E78" s="15" t="inlineStr">
        <is>
          <t>SIMULATED</t>
        </is>
      </c>
      <c r="F78" s="15" t="inlineStr">
        <is>
          <t>SKIP</t>
        </is>
      </c>
      <c r="G78" s="15" t="inlineStr">
        <is>
          <t>Conflicting — Price:BEARISH EMA:BULLISH</t>
        </is>
      </c>
      <c r="H78" s="15" t="n">
        <v>24492.52</v>
      </c>
      <c r="I78" s="15" t="n">
        <v>24369.84</v>
      </c>
      <c r="J78" s="15" t="inlineStr">
        <is>
          <t>2026-08-13</t>
        </is>
      </c>
      <c r="K78" s="15" t="inlineStr">
        <is>
          <t>WEEKLY</t>
        </is>
      </c>
      <c r="L78" s="15" t="n">
        <v>2</v>
      </c>
      <c r="M78" s="15" t="inlineStr">
        <is>
          <t>09:20 IST</t>
        </is>
      </c>
      <c r="N78" s="15" t="inlineStr">
        <is>
          <t>10:45 IST</t>
        </is>
      </c>
      <c r="O78" s="15" t="n">
        <v>24470.6</v>
      </c>
      <c r="P78" s="15" t="n">
        <v>24583.8</v>
      </c>
      <c r="Q78" s="15" t="inlineStr">
        <is>
          <t>24500 PE</t>
        </is>
      </c>
      <c r="R78" s="15" t="inlineStr">
        <is>
          <t>24400 PE</t>
        </is>
      </c>
      <c r="S78" s="15" t="n">
        <v>43</v>
      </c>
      <c r="T78" s="15" t="n">
        <v>65</v>
      </c>
      <c r="U78" s="15" t="n">
        <v>2795</v>
      </c>
      <c r="V78" s="15" t="n">
        <v>17.03</v>
      </c>
      <c r="W78" s="15" t="n">
        <v>11.92</v>
      </c>
      <c r="X78" s="15" t="n">
        <v>47598.85</v>
      </c>
      <c r="Y78" s="15" t="n">
        <v>47653.54</v>
      </c>
      <c r="Z78" s="15" t="n">
        <v>231901.15</v>
      </c>
      <c r="AA78" s="15" t="n">
        <v>14279.65</v>
      </c>
      <c r="AB78" s="15" t="n">
        <v>14279.65</v>
      </c>
      <c r="AC78" s="15" t="n">
        <v>-14282.45</v>
      </c>
      <c r="AD78" s="15" t="n">
        <v>-30</v>
      </c>
      <c r="AE78" s="15" t="n">
        <v>40</v>
      </c>
      <c r="AF78" s="15" t="n">
        <v>5.95</v>
      </c>
      <c r="AG78" s="15" t="n">
        <v>0.1</v>
      </c>
      <c r="AH78" s="15" t="n">
        <v>1.43</v>
      </c>
      <c r="AI78" s="15" t="n">
        <v>7.22</v>
      </c>
      <c r="AJ78" s="15" t="n">
        <v>54.69</v>
      </c>
      <c r="AK78" s="15" t="n">
        <v>-14337.14</v>
      </c>
      <c r="AL78" s="15" t="inlineStr">
        <is>
          <t>STOP LOSS</t>
        </is>
      </c>
      <c r="AM78" s="15" t="n">
        <v>50000</v>
      </c>
      <c r="AN78" s="15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NIFTY</t>
        </is>
      </c>
      <c r="C79" s="17" t="inlineStr">
        <is>
          <t>Bear Put Spread</t>
        </is>
      </c>
      <c r="D79" s="17" t="inlineStr">
        <is>
          <t>Bear Put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24492.74</v>
      </c>
      <c r="I79" s="17" t="n">
        <v>24369.94</v>
      </c>
      <c r="J79" s="17" t="inlineStr">
        <is>
          <t>2026-08-13</t>
        </is>
      </c>
      <c r="K79" s="17" t="inlineStr">
        <is>
          <t>WEEKLY</t>
        </is>
      </c>
      <c r="L79" s="17" t="n">
        <v>2</v>
      </c>
      <c r="M79" s="17" t="inlineStr">
        <is>
          <t>09:20 IST</t>
        </is>
      </c>
      <c r="N79" s="17" t="inlineStr">
        <is>
          <t>10:36 IST</t>
        </is>
      </c>
      <c r="O79" s="17" t="n">
        <v>24471.7</v>
      </c>
      <c r="P79" s="17" t="n">
        <v>24583.8</v>
      </c>
      <c r="Q79" s="17" t="inlineStr">
        <is>
          <t>24500 PE</t>
        </is>
      </c>
      <c r="R79" s="17" t="inlineStr">
        <is>
          <t>24400 PE</t>
        </is>
      </c>
      <c r="S79" s="17" t="n">
        <v>44</v>
      </c>
      <c r="T79" s="17" t="n">
        <v>65</v>
      </c>
      <c r="U79" s="17" t="n">
        <v>2860</v>
      </c>
      <c r="V79" s="17" t="n">
        <v>16.85</v>
      </c>
      <c r="W79" s="17" t="n">
        <v>21.91</v>
      </c>
      <c r="X79" s="17" t="n">
        <v>48191</v>
      </c>
      <c r="Y79" s="17" t="n">
        <v>48245.78</v>
      </c>
      <c r="Z79" s="17" t="n">
        <v>237809</v>
      </c>
      <c r="AA79" s="17" t="n">
        <v>14457.3</v>
      </c>
      <c r="AB79" s="17" t="n">
        <v>14457.3</v>
      </c>
      <c r="AC79" s="17" t="n">
        <v>14471.6</v>
      </c>
      <c r="AD79" s="17" t="n">
        <v>30</v>
      </c>
      <c r="AE79" s="17" t="n">
        <v>40</v>
      </c>
      <c r="AF79" s="17" t="n">
        <v>6.02</v>
      </c>
      <c r="AG79" s="17" t="n">
        <v>0.1</v>
      </c>
      <c r="AH79" s="17" t="n">
        <v>1.45</v>
      </c>
      <c r="AI79" s="17" t="n">
        <v>7.22</v>
      </c>
      <c r="AJ79" s="17" t="n">
        <v>54.78</v>
      </c>
      <c r="AK79" s="17" t="n">
        <v>14416.82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5" t="inlineStr">
        <is>
          <t>2026-08-12</t>
        </is>
      </c>
      <c r="B80" s="15" t="inlineStr">
        <is>
          <t>NIFTY</t>
        </is>
      </c>
      <c r="C80" s="15" t="inlineStr">
        <is>
          <t>Bear Put Spread</t>
        </is>
      </c>
      <c r="D80" s="15" t="inlineStr">
        <is>
          <t>Bear Put Spread</t>
        </is>
      </c>
      <c r="E80" s="15" t="inlineStr">
        <is>
          <t>SIMULATED</t>
        </is>
      </c>
      <c r="F80" s="15" t="inlineStr">
        <is>
          <t>SKIP</t>
        </is>
      </c>
      <c r="G80" s="15" t="inlineStr">
        <is>
          <t>Conflicting — Price:BEARISH EMA:BULLISH</t>
        </is>
      </c>
      <c r="H80" s="15" t="n">
        <v>24465.48</v>
      </c>
      <c r="I80" s="15" t="n">
        <v>24367</v>
      </c>
      <c r="J80" s="15" t="inlineStr">
        <is>
          <t>2026-08-13</t>
        </is>
      </c>
      <c r="K80" s="15" t="inlineStr">
        <is>
          <t>WEEKLY</t>
        </is>
      </c>
      <c r="L80" s="15" t="n">
        <v>1</v>
      </c>
      <c r="M80" s="15" t="inlineStr">
        <is>
          <t>09:20 IST</t>
        </is>
      </c>
      <c r="N80" s="15" t="inlineStr">
        <is>
          <t>10:06 IST</t>
        </is>
      </c>
      <c r="O80" s="15" t="n">
        <v>24355.1</v>
      </c>
      <c r="P80" s="15" t="n">
        <v>24471.7</v>
      </c>
      <c r="Q80" s="15" t="inlineStr">
        <is>
          <t>24400 PE</t>
        </is>
      </c>
      <c r="R80" s="15" t="inlineStr">
        <is>
          <t>24300 PE</t>
        </is>
      </c>
      <c r="S80" s="15" t="n">
        <v>31</v>
      </c>
      <c r="T80" s="15" t="n">
        <v>65</v>
      </c>
      <c r="U80" s="15" t="n">
        <v>2015</v>
      </c>
      <c r="V80" s="15" t="n">
        <v>24.06</v>
      </c>
      <c r="W80" s="15" t="n">
        <v>16.84</v>
      </c>
      <c r="X80" s="15" t="n">
        <v>48480.9</v>
      </c>
      <c r="Y80" s="15" t="n">
        <v>48535.73</v>
      </c>
      <c r="Z80" s="15" t="n">
        <v>153019.1</v>
      </c>
      <c r="AA80" s="15" t="n">
        <v>14544.27</v>
      </c>
      <c r="AB80" s="15" t="n">
        <v>14544.27</v>
      </c>
      <c r="AC80" s="15" t="n">
        <v>-14548.3</v>
      </c>
      <c r="AD80" s="15" t="n">
        <v>-30</v>
      </c>
      <c r="AE80" s="15" t="n">
        <v>40</v>
      </c>
      <c r="AF80" s="15" t="n">
        <v>6.06</v>
      </c>
      <c r="AG80" s="15" t="n">
        <v>0.1</v>
      </c>
      <c r="AH80" s="15" t="n">
        <v>1.45</v>
      </c>
      <c r="AI80" s="15" t="n">
        <v>7.22</v>
      </c>
      <c r="AJ80" s="15" t="n">
        <v>54.83</v>
      </c>
      <c r="AK80" s="15" t="n">
        <v>-14603.13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7" t="inlineStr">
        <is>
          <t>2026-08-12</t>
        </is>
      </c>
      <c r="B81" s="17" t="inlineStr">
        <is>
          <t>NIFTY</t>
        </is>
      </c>
      <c r="C81" s="17" t="inlineStr">
        <is>
          <t>Bear Put Spread</t>
        </is>
      </c>
      <c r="D81" s="17" t="inlineStr">
        <is>
          <t>Bear Put Spread</t>
        </is>
      </c>
      <c r="E81" s="17" t="inlineStr">
        <is>
          <t>SIMULATED</t>
        </is>
      </c>
      <c r="F81" s="17" t="inlineStr">
        <is>
          <t>SKIP</t>
        </is>
      </c>
      <c r="G81" s="17" t="inlineStr">
        <is>
          <t>Conflicting — Price:BEARISH EMA:BULLISH</t>
        </is>
      </c>
      <c r="H81" s="17" t="n">
        <v>24474.32</v>
      </c>
      <c r="I81" s="17" t="n">
        <v>24340.75</v>
      </c>
      <c r="J81" s="17" t="inlineStr">
        <is>
          <t>2026-08-13</t>
        </is>
      </c>
      <c r="K81" s="17" t="inlineStr">
        <is>
          <t>WEEKLY</t>
        </is>
      </c>
      <c r="L81" s="17" t="n">
        <v>1</v>
      </c>
      <c r="M81" s="17" t="inlineStr">
        <is>
          <t>09:20 IST</t>
        </is>
      </c>
      <c r="N81" s="17" t="inlineStr">
        <is>
          <t>11:43 IST</t>
        </is>
      </c>
      <c r="O81" s="17" t="n">
        <v>24435.95</v>
      </c>
      <c r="P81" s="17" t="n">
        <v>24471.7</v>
      </c>
      <c r="Q81" s="17" t="inlineStr">
        <is>
          <t>24500 PE</t>
        </is>
      </c>
      <c r="R81" s="17" t="inlineStr">
        <is>
          <t>24400 PE</t>
        </is>
      </c>
      <c r="S81" s="17" t="n">
        <v>33</v>
      </c>
      <c r="T81" s="17" t="n">
        <v>65</v>
      </c>
      <c r="U81" s="17" t="n">
        <v>2145</v>
      </c>
      <c r="V81" s="17" t="n">
        <v>22.08</v>
      </c>
      <c r="W81" s="17" t="n">
        <v>28.7</v>
      </c>
      <c r="X81" s="17" t="n">
        <v>47361.6</v>
      </c>
      <c r="Y81" s="17" t="n">
        <v>47416.25</v>
      </c>
      <c r="Z81" s="17" t="n">
        <v>167138.4</v>
      </c>
      <c r="AA81" s="17" t="n">
        <v>14208.48</v>
      </c>
      <c r="AB81" s="17" t="n">
        <v>14208.48</v>
      </c>
      <c r="AC81" s="17" t="n">
        <v>14199.9</v>
      </c>
      <c r="AD81" s="17" t="n">
        <v>30</v>
      </c>
      <c r="AE81" s="17" t="n">
        <v>40</v>
      </c>
      <c r="AF81" s="17" t="n">
        <v>5.92</v>
      </c>
      <c r="AG81" s="17" t="n">
        <v>0.09</v>
      </c>
      <c r="AH81" s="17" t="n">
        <v>1.42</v>
      </c>
      <c r="AI81" s="17" t="n">
        <v>7.22</v>
      </c>
      <c r="AJ81" s="17" t="n">
        <v>54.65</v>
      </c>
      <c r="AK81" s="17" t="n">
        <v>14145.25</v>
      </c>
      <c r="AL81" s="17" t="inlineStr">
        <is>
          <t>PROFIT</t>
        </is>
      </c>
      <c r="AM81" s="17" t="n">
        <v>50000</v>
      </c>
      <c r="AN81" s="17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NIFTY</t>
        </is>
      </c>
      <c r="C82" s="15" t="inlineStr">
        <is>
          <t>Bear Put Spread</t>
        </is>
      </c>
      <c r="D82" s="15" t="inlineStr">
        <is>
          <t>Bear Put Spread</t>
        </is>
      </c>
      <c r="E82" s="15" t="inlineStr">
        <is>
          <t>SIMULATED</t>
        </is>
      </c>
      <c r="F82" s="15" t="inlineStr">
        <is>
          <t>SKIP</t>
        </is>
      </c>
      <c r="G82" s="15" t="inlineStr">
        <is>
          <t>Conflicting — Price:BEARISH EMA:BULLISH</t>
        </is>
      </c>
      <c r="H82" s="15" t="n">
        <v>24454.35</v>
      </c>
      <c r="I82" s="15" t="n">
        <v>24366</v>
      </c>
      <c r="J82" s="15" t="inlineStr">
        <is>
          <t>2026-08-13</t>
        </is>
      </c>
      <c r="K82" s="15" t="inlineStr">
        <is>
          <t>WEEKLY</t>
        </is>
      </c>
      <c r="L82" s="15" t="n">
        <v>0</v>
      </c>
      <c r="M82" s="15" t="inlineStr">
        <is>
          <t>09:20 IST</t>
        </is>
      </c>
      <c r="N82" s="15" t="inlineStr">
        <is>
          <t>09:49 IST</t>
        </is>
      </c>
      <c r="O82" s="15" t="n">
        <v>24344.75</v>
      </c>
      <c r="P82" s="15" t="n">
        <v>24435.95</v>
      </c>
      <c r="Q82" s="15" t="inlineStr">
        <is>
          <t>24400 PE</t>
        </is>
      </c>
      <c r="R82" s="15" t="inlineStr">
        <is>
          <t>24300 PE</t>
        </is>
      </c>
      <c r="S82" s="15" t="n">
        <v>38</v>
      </c>
      <c r="T82" s="15" t="n">
        <v>65</v>
      </c>
      <c r="U82" s="15" t="n">
        <v>2470</v>
      </c>
      <c r="V82" s="15" t="n">
        <v>19.14</v>
      </c>
      <c r="W82" s="15" t="n">
        <v>13.4</v>
      </c>
      <c r="X82" s="15" t="n">
        <v>47275.8</v>
      </c>
      <c r="Y82" s="15" t="n">
        <v>47330.44</v>
      </c>
      <c r="Z82" s="15" t="n">
        <v>199724.2</v>
      </c>
      <c r="AA82" s="15" t="n">
        <v>14182.74</v>
      </c>
      <c r="AB82" s="15" t="n">
        <v>14182.74</v>
      </c>
      <c r="AC82" s="15" t="n">
        <v>-14177.8</v>
      </c>
      <c r="AD82" s="15" t="n">
        <v>-30</v>
      </c>
      <c r="AE82" s="15" t="n">
        <v>40</v>
      </c>
      <c r="AF82" s="15" t="n">
        <v>5.91</v>
      </c>
      <c r="AG82" s="15" t="n">
        <v>0.09</v>
      </c>
      <c r="AH82" s="15" t="n">
        <v>1.42</v>
      </c>
      <c r="AI82" s="15" t="n">
        <v>7.22</v>
      </c>
      <c r="AJ82" s="15" t="n">
        <v>54.64</v>
      </c>
      <c r="AK82" s="15" t="n">
        <v>-14232.44</v>
      </c>
      <c r="AL82" s="15" t="inlineStr">
        <is>
          <t>STOP LOSS</t>
        </is>
      </c>
      <c r="AM82" s="15" t="n">
        <v>50000</v>
      </c>
      <c r="AN82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N16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NIFTY</t>
        </is>
      </c>
      <c r="C3" s="17" t="inlineStr">
        <is>
          <t>Both Spreads</t>
        </is>
      </c>
      <c r="D3" s="17" t="inlineStr">
        <is>
          <t>Bull Call Spread</t>
        </is>
      </c>
      <c r="E3" s="17" t="inlineStr">
        <is>
          <t>SKIP</t>
        </is>
      </c>
      <c r="F3" s="17" t="inlineStr">
        <is>
          <t>Conflicting — Price:BULLISH EMA:BEARISH</t>
        </is>
      </c>
      <c r="G3" s="17" t="n">
        <v>23385.72</v>
      </c>
      <c r="H3" s="17" t="n">
        <v>23538</v>
      </c>
      <c r="I3" s="17" t="inlineStr">
        <is>
          <t>2026-06-18</t>
        </is>
      </c>
      <c r="J3" s="17" t="inlineStr">
        <is>
          <t>WEEKLY</t>
        </is>
      </c>
      <c r="K3" s="17" t="n">
        <v>3</v>
      </c>
      <c r="L3" s="17" t="inlineStr">
        <is>
          <t>09:20 IST</t>
        </is>
      </c>
      <c r="M3" s="17" t="inlineStr">
        <is>
          <t>11:48 IST</t>
        </is>
      </c>
      <c r="N3" s="17" t="n">
        <v>23622.9</v>
      </c>
      <c r="O3" s="17" t="n">
        <v>23161.6</v>
      </c>
      <c r="P3" s="17" t="inlineStr">
        <is>
          <t>23600 CE</t>
        </is>
      </c>
      <c r="Q3" s="17" t="inlineStr">
        <is>
          <t>23700 CE</t>
        </is>
      </c>
      <c r="R3" s="17" t="n">
        <v>16</v>
      </c>
      <c r="S3" s="17" t="n">
        <v>75</v>
      </c>
      <c r="T3" s="17" t="n">
        <v>1200</v>
      </c>
      <c r="U3" s="17" t="n">
        <v>38.73</v>
      </c>
      <c r="V3" s="17" t="n">
        <v>50.35</v>
      </c>
      <c r="W3" s="17" t="n">
        <v>46476</v>
      </c>
      <c r="X3" s="17" t="n">
        <v>46530.51</v>
      </c>
      <c r="Y3" s="17" t="n">
        <v>73524</v>
      </c>
      <c r="Z3" s="17" t="n">
        <v>13942.8</v>
      </c>
      <c r="AA3" s="17" t="n">
        <v>13942.8</v>
      </c>
      <c r="AB3" s="17" t="n">
        <v>13944</v>
      </c>
      <c r="AC3" s="17" t="n">
        <v>30</v>
      </c>
      <c r="AD3" s="17" t="n">
        <v>40</v>
      </c>
      <c r="AE3" s="17" t="n">
        <v>5.81</v>
      </c>
      <c r="AF3" s="17" t="n">
        <v>0.09</v>
      </c>
      <c r="AG3" s="17" t="n">
        <v>1.39</v>
      </c>
      <c r="AH3" s="17" t="n">
        <v>7.22</v>
      </c>
      <c r="AI3" s="17" t="n">
        <v>54.51</v>
      </c>
      <c r="AJ3" s="17" t="n">
        <v>13889.49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5" t="inlineStr">
        <is>
          <t>2026-06-16</t>
        </is>
      </c>
      <c r="B4" s="15" t="inlineStr">
        <is>
          <t>NIFTY</t>
        </is>
      </c>
      <c r="C4" s="15" t="inlineStr">
        <is>
          <t>Both Spreads</t>
        </is>
      </c>
      <c r="D4" s="15" t="inlineStr">
        <is>
          <t>Bear Put Spread</t>
        </is>
      </c>
      <c r="E4" s="15" t="inlineStr">
        <is>
          <t>SKIP</t>
        </is>
      </c>
      <c r="F4" s="15" t="inlineStr">
        <is>
          <t>Conflicting — Price:BULLISH EMA:BEARISH</t>
        </is>
      </c>
      <c r="G4" s="15" t="n">
        <v>23385.72</v>
      </c>
      <c r="H4" s="15" t="n">
        <v>23538</v>
      </c>
      <c r="I4" s="15" t="inlineStr">
        <is>
          <t>2026-06-18</t>
        </is>
      </c>
      <c r="J4" s="15" t="inlineStr">
        <is>
          <t>WEEKLY</t>
        </is>
      </c>
      <c r="K4" s="15" t="n">
        <v>3</v>
      </c>
      <c r="L4" s="15" t="inlineStr">
        <is>
          <t>09:20 IST</t>
        </is>
      </c>
      <c r="M4" s="15" t="inlineStr">
        <is>
          <t>11:13 IST</t>
        </is>
      </c>
      <c r="N4" s="15" t="n">
        <v>23622.9</v>
      </c>
      <c r="O4" s="15" t="n">
        <v>23161.6</v>
      </c>
      <c r="P4" s="15" t="inlineStr">
        <is>
          <t>23700 PE</t>
        </is>
      </c>
      <c r="Q4" s="15" t="inlineStr">
        <is>
          <t>23600 PE</t>
        </is>
      </c>
      <c r="R4" s="15" t="n">
        <v>25</v>
      </c>
      <c r="S4" s="15" t="n">
        <v>75</v>
      </c>
      <c r="T4" s="15" t="n">
        <v>1875</v>
      </c>
      <c r="U4" s="15" t="n">
        <v>25.78</v>
      </c>
      <c r="V4" s="15" t="n">
        <v>18.05</v>
      </c>
      <c r="W4" s="15" t="n">
        <v>48337.5</v>
      </c>
      <c r="X4" s="15" t="n">
        <v>48392.31</v>
      </c>
      <c r="Y4" s="15" t="n">
        <v>139162.5</v>
      </c>
      <c r="Z4" s="15" t="n">
        <v>14501.25</v>
      </c>
      <c r="AA4" s="15" t="n">
        <v>14501.25</v>
      </c>
      <c r="AB4" s="15" t="n">
        <v>-14493.75</v>
      </c>
      <c r="AC4" s="15" t="n">
        <v>-30</v>
      </c>
      <c r="AD4" s="15" t="n">
        <v>40</v>
      </c>
      <c r="AE4" s="15" t="n">
        <v>6.04</v>
      </c>
      <c r="AF4" s="15" t="n">
        <v>0.1</v>
      </c>
      <c r="AG4" s="15" t="n">
        <v>1.45</v>
      </c>
      <c r="AH4" s="15" t="n">
        <v>7.22</v>
      </c>
      <c r="AI4" s="15" t="n">
        <v>54.81</v>
      </c>
      <c r="AJ4" s="15" t="n">
        <v>-14548.56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7" t="inlineStr">
        <is>
          <t>2026-06-18</t>
        </is>
      </c>
      <c r="B5" s="17" t="inlineStr">
        <is>
          <t>NIFTY</t>
        </is>
      </c>
      <c r="C5" s="17" t="inlineStr">
        <is>
          <t>Both Spreads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Price↑(24168.0&gt;24085.7) &amp; EMA9↑(23778.35&gt;23687.38)</t>
        </is>
      </c>
      <c r="G5" s="17" t="n">
        <v>23778.35</v>
      </c>
      <c r="H5" s="17" t="n">
        <v>23687.38</v>
      </c>
      <c r="I5" s="17" t="inlineStr">
        <is>
          <t>2026-06-18</t>
        </is>
      </c>
      <c r="J5" s="17" t="inlineStr">
        <is>
          <t>WEEKLY</t>
        </is>
      </c>
      <c r="K5" s="17" t="n">
        <v>0</v>
      </c>
      <c r="L5" s="17" t="inlineStr">
        <is>
          <t>09:20 IST</t>
        </is>
      </c>
      <c r="M5" s="17" t="inlineStr">
        <is>
          <t>09:54 IST</t>
        </is>
      </c>
      <c r="N5" s="17" t="n">
        <v>24168</v>
      </c>
      <c r="O5" s="17" t="n">
        <v>24085.7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21.55</v>
      </c>
      <c r="V5" s="17" t="n">
        <v>28.02</v>
      </c>
      <c r="W5" s="17" t="n">
        <v>48487.5</v>
      </c>
      <c r="X5" s="17" t="n">
        <v>48542.33</v>
      </c>
      <c r="Y5" s="17" t="n">
        <v>176512.5</v>
      </c>
      <c r="Z5" s="17" t="n">
        <v>14546.25</v>
      </c>
      <c r="AA5" s="17" t="n">
        <v>14546.25</v>
      </c>
      <c r="AB5" s="17" t="n">
        <v>14557.5</v>
      </c>
      <c r="AC5" s="17" t="n">
        <v>30</v>
      </c>
      <c r="AD5" s="17" t="n">
        <v>40</v>
      </c>
      <c r="AE5" s="17" t="n">
        <v>6.06</v>
      </c>
      <c r="AF5" s="17" t="n">
        <v>0.1</v>
      </c>
      <c r="AG5" s="17" t="n">
        <v>1.45</v>
      </c>
      <c r="AH5" s="17" t="n">
        <v>7.22</v>
      </c>
      <c r="AI5" s="17" t="n">
        <v>54.83</v>
      </c>
      <c r="AJ5" s="17" t="n">
        <v>14502.67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NIFTY</t>
        </is>
      </c>
      <c r="C6" s="15" t="inlineStr">
        <is>
          <t>Both Spreads</t>
        </is>
      </c>
      <c r="D6" s="15" t="inlineStr">
        <is>
          <t>Bear Put Spread</t>
        </is>
      </c>
      <c r="E6" s="15" t="inlineStr">
        <is>
          <t>BULLISH</t>
        </is>
      </c>
      <c r="F6" s="15" t="inlineStr">
        <is>
          <t>Price↑(24168.0&gt;24085.7) &amp; EMA9↑(23778.35&gt;23687.38)</t>
        </is>
      </c>
      <c r="G6" s="15" t="n">
        <v>23778.35</v>
      </c>
      <c r="H6" s="15" t="n">
        <v>23687.38</v>
      </c>
      <c r="I6" s="15" t="inlineStr">
        <is>
          <t>2026-06-18</t>
        </is>
      </c>
      <c r="J6" s="15" t="inlineStr">
        <is>
          <t>WEEKLY</t>
        </is>
      </c>
      <c r="K6" s="15" t="n">
        <v>0</v>
      </c>
      <c r="L6" s="15" t="inlineStr">
        <is>
          <t>09:20 IST</t>
        </is>
      </c>
      <c r="M6" s="15" t="inlineStr">
        <is>
          <t>10:35 IST</t>
        </is>
      </c>
      <c r="N6" s="15" t="n">
        <v>24168</v>
      </c>
      <c r="O6" s="15" t="n">
        <v>24085.7</v>
      </c>
      <c r="P6" s="15" t="inlineStr">
        <is>
          <t>24200 PE</t>
        </is>
      </c>
      <c r="Q6" s="15" t="inlineStr">
        <is>
          <t>24100 PE</t>
        </is>
      </c>
      <c r="R6" s="15" t="n">
        <v>37</v>
      </c>
      <c r="S6" s="15" t="n">
        <v>75</v>
      </c>
      <c r="T6" s="15" t="n">
        <v>2775</v>
      </c>
      <c r="U6" s="15" t="n">
        <v>17.44</v>
      </c>
      <c r="V6" s="15" t="n">
        <v>12.21</v>
      </c>
      <c r="W6" s="15" t="n">
        <v>48396</v>
      </c>
      <c r="X6" s="15" t="n">
        <v>48450.82</v>
      </c>
      <c r="Y6" s="15" t="n">
        <v>229104</v>
      </c>
      <c r="Z6" s="15" t="n">
        <v>14518.8</v>
      </c>
      <c r="AA6" s="15" t="n">
        <v>14518.8</v>
      </c>
      <c r="AB6" s="15" t="n">
        <v>-14513.25</v>
      </c>
      <c r="AC6" s="15" t="n">
        <v>-30</v>
      </c>
      <c r="AD6" s="15" t="n">
        <v>40</v>
      </c>
      <c r="AE6" s="15" t="n">
        <v>6.05</v>
      </c>
      <c r="AF6" s="15" t="n">
        <v>0.1</v>
      </c>
      <c r="AG6" s="15" t="n">
        <v>1.45</v>
      </c>
      <c r="AH6" s="15" t="n">
        <v>7.22</v>
      </c>
      <c r="AI6" s="15" t="n">
        <v>54.82</v>
      </c>
      <c r="AJ6" s="15" t="n">
        <v>-14568.07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23824.67</v>
      </c>
      <c r="H7" s="17" t="n">
        <v>23712.22</v>
      </c>
      <c r="I7" s="17" t="inlineStr">
        <is>
          <t>2026-06-25</t>
        </is>
      </c>
      <c r="J7" s="17" t="inlineStr">
        <is>
          <t>WEEKLY</t>
        </is>
      </c>
      <c r="K7" s="17" t="n">
        <v>6</v>
      </c>
      <c r="L7" s="17" t="inlineStr">
        <is>
          <t>09:20 IST</t>
        </is>
      </c>
      <c r="M7" s="17" t="inlineStr">
        <is>
          <t>12:16 IST</t>
        </is>
      </c>
      <c r="N7" s="17" t="n">
        <v>24013.1</v>
      </c>
      <c r="O7" s="17" t="n">
        <v>24168</v>
      </c>
      <c r="P7" s="17" t="inlineStr">
        <is>
          <t>24000 CE</t>
        </is>
      </c>
      <c r="Q7" s="17" t="inlineStr">
        <is>
          <t>24100 CE</t>
        </is>
      </c>
      <c r="R7" s="17" t="n">
        <v>25</v>
      </c>
      <c r="S7" s="17" t="n">
        <v>75</v>
      </c>
      <c r="T7" s="17" t="n">
        <v>1875</v>
      </c>
      <c r="U7" s="17" t="n">
        <v>25.32</v>
      </c>
      <c r="V7" s="17" t="n">
        <v>32.92</v>
      </c>
      <c r="W7" s="17" t="n">
        <v>47475</v>
      </c>
      <c r="X7" s="17" t="n">
        <v>47529.67</v>
      </c>
      <c r="Y7" s="17" t="n">
        <v>140025</v>
      </c>
      <c r="Z7" s="17" t="n">
        <v>14242.5</v>
      </c>
      <c r="AA7" s="17" t="n">
        <v>14242.5</v>
      </c>
      <c r="AB7" s="17" t="n">
        <v>14250</v>
      </c>
      <c r="AC7" s="17" t="n">
        <v>30</v>
      </c>
      <c r="AD7" s="17" t="n">
        <v>40</v>
      </c>
      <c r="AE7" s="17" t="n">
        <v>5.93</v>
      </c>
      <c r="AF7" s="17" t="n">
        <v>0.09</v>
      </c>
      <c r="AG7" s="17" t="n">
        <v>1.42</v>
      </c>
      <c r="AH7" s="17" t="n">
        <v>7.22</v>
      </c>
      <c r="AI7" s="17" t="n">
        <v>54.67</v>
      </c>
      <c r="AJ7" s="17" t="n">
        <v>14195.33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23824.67</v>
      </c>
      <c r="H8" s="17" t="n">
        <v>23712.22</v>
      </c>
      <c r="I8" s="17" t="inlineStr">
        <is>
          <t>2026-06-25</t>
        </is>
      </c>
      <c r="J8" s="17" t="inlineStr">
        <is>
          <t>WEEKLY</t>
        </is>
      </c>
      <c r="K8" s="17" t="n">
        <v>6</v>
      </c>
      <c r="L8" s="17" t="inlineStr">
        <is>
          <t>09:20 IST</t>
        </is>
      </c>
      <c r="M8" s="17" t="inlineStr">
        <is>
          <t>09:54 IST</t>
        </is>
      </c>
      <c r="N8" s="17" t="n">
        <v>24013.1</v>
      </c>
      <c r="O8" s="17" t="n">
        <v>24168</v>
      </c>
      <c r="P8" s="17" t="inlineStr">
        <is>
          <t>24100 PE</t>
        </is>
      </c>
      <c r="Q8" s="17" t="inlineStr">
        <is>
          <t>24000 PE</t>
        </is>
      </c>
      <c r="R8" s="17" t="n">
        <v>19</v>
      </c>
      <c r="S8" s="17" t="n">
        <v>75</v>
      </c>
      <c r="T8" s="17" t="n">
        <v>1425</v>
      </c>
      <c r="U8" s="17" t="n">
        <v>33.62</v>
      </c>
      <c r="V8" s="17" t="n">
        <v>43.71</v>
      </c>
      <c r="W8" s="17" t="n">
        <v>47908.5</v>
      </c>
      <c r="X8" s="17" t="n">
        <v>47963.24</v>
      </c>
      <c r="Y8" s="17" t="n">
        <v>94591.5</v>
      </c>
      <c r="Z8" s="17" t="n">
        <v>14372.55</v>
      </c>
      <c r="AA8" s="17" t="n">
        <v>14372.55</v>
      </c>
      <c r="AB8" s="17" t="n">
        <v>14378.25</v>
      </c>
      <c r="AC8" s="17" t="n">
        <v>30</v>
      </c>
      <c r="AD8" s="17" t="n">
        <v>40</v>
      </c>
      <c r="AE8" s="17" t="n">
        <v>5.99</v>
      </c>
      <c r="AF8" s="17" t="n">
        <v>0.1</v>
      </c>
      <c r="AG8" s="17" t="n">
        <v>1.44</v>
      </c>
      <c r="AH8" s="17" t="n">
        <v>7.22</v>
      </c>
      <c r="AI8" s="17" t="n">
        <v>54.74</v>
      </c>
      <c r="AJ8" s="17" t="n">
        <v>14323.51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5" t="inlineStr">
        <is>
          <t>2026-06-20</t>
        </is>
      </c>
      <c r="B9" s="15" t="inlineStr">
        <is>
          <t>NIFTY</t>
        </is>
      </c>
      <c r="C9" s="15" t="inlineStr">
        <is>
          <t>Both Spreads</t>
        </is>
      </c>
      <c r="D9" s="15" t="inlineStr">
        <is>
          <t>Bull Call Spread</t>
        </is>
      </c>
      <c r="E9" s="15" t="inlineStr">
        <is>
          <t>BULLISH</t>
        </is>
      </c>
      <c r="F9" s="15" t="inlineStr">
        <is>
          <t>Price↑(24168.0&gt;24085.7) &amp; EMA9↑(23777.57&gt;23682.14)</t>
        </is>
      </c>
      <c r="G9" s="15" t="n">
        <v>23777.57</v>
      </c>
      <c r="H9" s="15" t="n">
        <v>23682.14</v>
      </c>
      <c r="I9" s="15" t="inlineStr">
        <is>
          <t>2026-06-25</t>
        </is>
      </c>
      <c r="J9" s="15" t="inlineStr">
        <is>
          <t>WEEKLY</t>
        </is>
      </c>
      <c r="K9" s="15" t="n">
        <v>6</v>
      </c>
      <c r="L9" s="15" t="inlineStr">
        <is>
          <t>09:20 IST</t>
        </is>
      </c>
      <c r="M9" s="15" t="inlineStr">
        <is>
          <t>09:58 IST</t>
        </is>
      </c>
      <c r="N9" s="15" t="n">
        <v>24168</v>
      </c>
      <c r="O9" s="15" t="n">
        <v>24085.7</v>
      </c>
      <c r="P9" s="15" t="inlineStr">
        <is>
          <t>24100 CE</t>
        </is>
      </c>
      <c r="Q9" s="15" t="inlineStr">
        <is>
          <t>24200 CE</t>
        </is>
      </c>
      <c r="R9" s="15" t="n">
        <v>25</v>
      </c>
      <c r="S9" s="15" t="n">
        <v>75</v>
      </c>
      <c r="T9" s="15" t="n">
        <v>1875</v>
      </c>
      <c r="U9" s="15" t="n">
        <v>25.29</v>
      </c>
      <c r="V9" s="15" t="n">
        <v>17.7</v>
      </c>
      <c r="W9" s="15" t="n">
        <v>47418.75</v>
      </c>
      <c r="X9" s="15" t="n">
        <v>47473.41</v>
      </c>
      <c r="Y9" s="15" t="n">
        <v>140081.25</v>
      </c>
      <c r="Z9" s="15" t="n">
        <v>14225.62</v>
      </c>
      <c r="AA9" s="15" t="n">
        <v>14225.62</v>
      </c>
      <c r="AB9" s="15" t="n">
        <v>-14231.25</v>
      </c>
      <c r="AC9" s="15" t="n">
        <v>-30</v>
      </c>
      <c r="AD9" s="15" t="n">
        <v>40</v>
      </c>
      <c r="AE9" s="15" t="n">
        <v>5.93</v>
      </c>
      <c r="AF9" s="15" t="n">
        <v>0.09</v>
      </c>
      <c r="AG9" s="15" t="n">
        <v>1.42</v>
      </c>
      <c r="AH9" s="15" t="n">
        <v>7.22</v>
      </c>
      <c r="AI9" s="15" t="n">
        <v>54.66</v>
      </c>
      <c r="AJ9" s="15" t="n">
        <v>-14285.91</v>
      </c>
      <c r="AK9" s="15" t="inlineStr">
        <is>
          <t>STOP LOSS</t>
        </is>
      </c>
      <c r="AL9" s="15" t="n">
        <v>50000</v>
      </c>
      <c r="AM9" s="15" t="inlineStr">
        <is>
          <t>PAPER TRADING</t>
        </is>
      </c>
    </row>
    <row r="10">
      <c r="A10" s="17" t="inlineStr">
        <is>
          <t>2026-06-20</t>
        </is>
      </c>
      <c r="B10" s="17" t="inlineStr">
        <is>
          <t>NIFTY</t>
        </is>
      </c>
      <c r="C10" s="17" t="inlineStr">
        <is>
          <t>Both Spreads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Price↑(24168.0&gt;24085.7) &amp; EMA9↑(23777.57&gt;23682.14)</t>
        </is>
      </c>
      <c r="G10" s="17" t="n">
        <v>23777.57</v>
      </c>
      <c r="H10" s="17" t="n">
        <v>23682.14</v>
      </c>
      <c r="I10" s="17" t="inlineStr">
        <is>
          <t>2026-06-25</t>
        </is>
      </c>
      <c r="J10" s="17" t="inlineStr">
        <is>
          <t>WEEKLY</t>
        </is>
      </c>
      <c r="K10" s="17" t="n">
        <v>6</v>
      </c>
      <c r="L10" s="17" t="inlineStr">
        <is>
          <t>09:20 IST</t>
        </is>
      </c>
      <c r="M10" s="17" t="inlineStr">
        <is>
          <t>10:08 IST</t>
        </is>
      </c>
      <c r="N10" s="17" t="n">
        <v>24168</v>
      </c>
      <c r="O10" s="17" t="n">
        <v>24085.7</v>
      </c>
      <c r="P10" s="17" t="inlineStr">
        <is>
          <t>24200 PE</t>
        </is>
      </c>
      <c r="Q10" s="17" t="inlineStr">
        <is>
          <t>24100 PE</t>
        </is>
      </c>
      <c r="R10" s="17" t="n">
        <v>17</v>
      </c>
      <c r="S10" s="17" t="n">
        <v>75</v>
      </c>
      <c r="T10" s="17" t="n">
        <v>1275</v>
      </c>
      <c r="U10" s="17" t="n">
        <v>38.16</v>
      </c>
      <c r="V10" s="17" t="n">
        <v>49.61</v>
      </c>
      <c r="W10" s="17" t="n">
        <v>48654</v>
      </c>
      <c r="X10" s="17" t="n">
        <v>48708.86</v>
      </c>
      <c r="Y10" s="17" t="n">
        <v>78846</v>
      </c>
      <c r="Z10" s="17" t="n">
        <v>14596.2</v>
      </c>
      <c r="AA10" s="17" t="n">
        <v>14596.2</v>
      </c>
      <c r="AB10" s="17" t="n">
        <v>14598.75</v>
      </c>
      <c r="AC10" s="17" t="n">
        <v>30</v>
      </c>
      <c r="AD10" s="17" t="n">
        <v>40</v>
      </c>
      <c r="AE10" s="17" t="n">
        <v>6.08</v>
      </c>
      <c r="AF10" s="17" t="n">
        <v>0.1</v>
      </c>
      <c r="AG10" s="17" t="n">
        <v>1.46</v>
      </c>
      <c r="AH10" s="17" t="n">
        <v>7.22</v>
      </c>
      <c r="AI10" s="17" t="n">
        <v>54.86</v>
      </c>
      <c r="AJ10" s="17" t="n">
        <v>14543.89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NIFTY</t>
        </is>
      </c>
      <c r="C11" s="15" t="inlineStr">
        <is>
          <t>Both Spreads</t>
        </is>
      </c>
      <c r="D11" s="15" t="inlineStr">
        <is>
          <t>Bull Call Spread</t>
        </is>
      </c>
      <c r="E11" s="15" t="inlineStr">
        <is>
          <t>SKIP</t>
        </is>
      </c>
      <c r="F11" s="15" t="inlineStr">
        <is>
          <t>Conflicting — Price:BEARISH EMA:BULLISH</t>
        </is>
      </c>
      <c r="G11" s="15" t="n">
        <v>23824.22</v>
      </c>
      <c r="H11" s="15" t="n">
        <v>23714.31</v>
      </c>
      <c r="I11" s="15" t="inlineStr">
        <is>
          <t>2026-06-25</t>
        </is>
      </c>
      <c r="J11" s="15" t="inlineStr">
        <is>
          <t>WEEKLY</t>
        </is>
      </c>
      <c r="K11" s="15" t="n">
        <v>3</v>
      </c>
      <c r="L11" s="15" t="inlineStr">
        <is>
          <t>09:20 IST</t>
        </is>
      </c>
      <c r="M11" s="15" t="inlineStr">
        <is>
          <t>09:51 IST</t>
        </is>
      </c>
      <c r="N11" s="15" t="n">
        <v>24013.1</v>
      </c>
      <c r="O11" s="15" t="n">
        <v>24168</v>
      </c>
      <c r="P11" s="15" t="inlineStr">
        <is>
          <t>24000 CE</t>
        </is>
      </c>
      <c r="Q11" s="15" t="inlineStr">
        <is>
          <t>24100 CE</t>
        </is>
      </c>
      <c r="R11" s="15" t="n">
        <v>18</v>
      </c>
      <c r="S11" s="15" t="n">
        <v>75</v>
      </c>
      <c r="T11" s="15" t="n">
        <v>1350</v>
      </c>
      <c r="U11" s="15" t="n">
        <v>35</v>
      </c>
      <c r="V11" s="15" t="n">
        <v>24.5</v>
      </c>
      <c r="W11" s="15" t="n">
        <v>47250</v>
      </c>
      <c r="X11" s="15" t="n">
        <v>47304.64</v>
      </c>
      <c r="Y11" s="15" t="n">
        <v>87750</v>
      </c>
      <c r="Z11" s="15" t="n">
        <v>14175</v>
      </c>
      <c r="AA11" s="15" t="n">
        <v>14175</v>
      </c>
      <c r="AB11" s="15" t="n">
        <v>-14175</v>
      </c>
      <c r="AC11" s="15" t="n">
        <v>-30</v>
      </c>
      <c r="AD11" s="15" t="n">
        <v>40</v>
      </c>
      <c r="AE11" s="15" t="n">
        <v>5.91</v>
      </c>
      <c r="AF11" s="15" t="n">
        <v>0.09</v>
      </c>
      <c r="AG11" s="15" t="n">
        <v>1.42</v>
      </c>
      <c r="AH11" s="15" t="n">
        <v>7.22</v>
      </c>
      <c r="AI11" s="15" t="n">
        <v>54.64</v>
      </c>
      <c r="AJ11" s="15" t="n">
        <v>-14229.64</v>
      </c>
      <c r="AK11" s="15" t="inlineStr">
        <is>
          <t>STOP LOSS</t>
        </is>
      </c>
      <c r="AL11" s="15" t="n">
        <v>50000</v>
      </c>
      <c r="AM11" s="15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NIFTY</t>
        </is>
      </c>
      <c r="C12" s="17" t="inlineStr">
        <is>
          <t>Both Spreads</t>
        </is>
      </c>
      <c r="D12" s="17" t="inlineStr">
        <is>
          <t>Bear Put Spread</t>
        </is>
      </c>
      <c r="E12" s="17" t="inlineStr">
        <is>
          <t>SKIP</t>
        </is>
      </c>
      <c r="F12" s="17" t="inlineStr">
        <is>
          <t>Conflicting — Price:BEARISH EMA:BULLISH</t>
        </is>
      </c>
      <c r="G12" s="17" t="n">
        <v>23824.22</v>
      </c>
      <c r="H12" s="17" t="n">
        <v>23714.31</v>
      </c>
      <c r="I12" s="17" t="inlineStr">
        <is>
          <t>2026-06-25</t>
        </is>
      </c>
      <c r="J12" s="17" t="inlineStr">
        <is>
          <t>WEEKLY</t>
        </is>
      </c>
      <c r="K12" s="17" t="n">
        <v>3</v>
      </c>
      <c r="L12" s="17" t="inlineStr">
        <is>
          <t>09:20 IST</t>
        </is>
      </c>
      <c r="M12" s="17" t="inlineStr">
        <is>
          <t>10:07 IST</t>
        </is>
      </c>
      <c r="N12" s="17" t="n">
        <v>24013.1</v>
      </c>
      <c r="O12" s="17" t="n">
        <v>24168</v>
      </c>
      <c r="P12" s="17" t="inlineStr">
        <is>
          <t>24100 PE</t>
        </is>
      </c>
      <c r="Q12" s="17" t="inlineStr">
        <is>
          <t>24000 PE</t>
        </is>
      </c>
      <c r="R12" s="17" t="n">
        <v>17</v>
      </c>
      <c r="S12" s="17" t="n">
        <v>75</v>
      </c>
      <c r="T12" s="17" t="n">
        <v>1275</v>
      </c>
      <c r="U12" s="17" t="n">
        <v>37.94</v>
      </c>
      <c r="V12" s="17" t="n">
        <v>49.32</v>
      </c>
      <c r="W12" s="17" t="n">
        <v>48373.5</v>
      </c>
      <c r="X12" s="17" t="n">
        <v>48428.31</v>
      </c>
      <c r="Y12" s="17" t="n">
        <v>79126.5</v>
      </c>
      <c r="Z12" s="17" t="n">
        <v>14512.05</v>
      </c>
      <c r="AA12" s="17" t="n">
        <v>14512.05</v>
      </c>
      <c r="AB12" s="17" t="n">
        <v>14509.5</v>
      </c>
      <c r="AC12" s="17" t="n">
        <v>30</v>
      </c>
      <c r="AD12" s="17" t="n">
        <v>40</v>
      </c>
      <c r="AE12" s="17" t="n">
        <v>6.05</v>
      </c>
      <c r="AF12" s="17" t="n">
        <v>0.1</v>
      </c>
      <c r="AG12" s="17" t="n">
        <v>1.45</v>
      </c>
      <c r="AH12" s="17" t="n">
        <v>7.22</v>
      </c>
      <c r="AI12" s="17" t="n">
        <v>54.81</v>
      </c>
      <c r="AJ12" s="17" t="n">
        <v>14454.69</v>
      </c>
      <c r="AK12" s="17" t="inlineStr">
        <is>
          <t>PROFIT</t>
        </is>
      </c>
      <c r="AL12" s="17" t="n">
        <v>50000</v>
      </c>
      <c r="AM12" s="17" t="inlineStr">
        <is>
          <t>PAPER TRADING</t>
        </is>
      </c>
    </row>
    <row r="13">
      <c r="A13" s="17" t="inlineStr">
        <is>
          <t>2026-06-23</t>
        </is>
      </c>
      <c r="B13" s="17" t="inlineStr">
        <is>
          <t>NIFTY</t>
        </is>
      </c>
      <c r="C13" s="17" t="inlineStr">
        <is>
          <t>Both Spreads</t>
        </is>
      </c>
      <c r="D13" s="17" t="inlineStr">
        <is>
          <t>Bull Call Spread</t>
        </is>
      </c>
      <c r="E13" s="17" t="inlineStr">
        <is>
          <t>SKIP</t>
        </is>
      </c>
      <c r="F13" s="17" t="inlineStr">
        <is>
          <t>Conflicting — Price:BEARISH EMA:BULLISH</t>
        </is>
      </c>
      <c r="G13" s="17" t="n">
        <v>23824.22</v>
      </c>
      <c r="H13" s="17" t="n">
        <v>23714.31</v>
      </c>
      <c r="I13" s="17" t="inlineStr">
        <is>
          <t>2026-06-25</t>
        </is>
      </c>
      <c r="J13" s="17" t="inlineStr">
        <is>
          <t>WEEKLY</t>
        </is>
      </c>
      <c r="K13" s="17" t="n">
        <v>3</v>
      </c>
      <c r="L13" s="17" t="inlineStr">
        <is>
          <t>09:20 IST</t>
        </is>
      </c>
      <c r="M13" s="17" t="inlineStr">
        <is>
          <t>11:33 IST</t>
        </is>
      </c>
      <c r="N13" s="17" t="n">
        <v>24013.1</v>
      </c>
      <c r="O13" s="17" t="n">
        <v>24168</v>
      </c>
      <c r="P13" s="17" t="inlineStr">
        <is>
          <t>24000 CE</t>
        </is>
      </c>
      <c r="Q13" s="17" t="inlineStr">
        <is>
          <t>24100 CE</t>
        </is>
      </c>
      <c r="R13" s="17" t="n">
        <v>20</v>
      </c>
      <c r="S13" s="17" t="n">
        <v>75</v>
      </c>
      <c r="T13" s="17" t="n">
        <v>1500</v>
      </c>
      <c r="U13" s="17" t="n">
        <v>32.72</v>
      </c>
      <c r="V13" s="17" t="n">
        <v>42.54</v>
      </c>
      <c r="W13" s="17" t="n">
        <v>49080</v>
      </c>
      <c r="X13" s="17" t="n">
        <v>49134.92</v>
      </c>
      <c r="Y13" s="17" t="n">
        <v>100920</v>
      </c>
      <c r="Z13" s="17" t="n">
        <v>14724</v>
      </c>
      <c r="AA13" s="17" t="n">
        <v>14724</v>
      </c>
      <c r="AB13" s="17" t="n">
        <v>14730</v>
      </c>
      <c r="AC13" s="17" t="n">
        <v>30</v>
      </c>
      <c r="AD13" s="17" t="n">
        <v>40</v>
      </c>
      <c r="AE13" s="17" t="n">
        <v>6.13</v>
      </c>
      <c r="AF13" s="17" t="n">
        <v>0.1</v>
      </c>
      <c r="AG13" s="17" t="n">
        <v>1.47</v>
      </c>
      <c r="AH13" s="17" t="n">
        <v>7.22</v>
      </c>
      <c r="AI13" s="17" t="n">
        <v>54.92</v>
      </c>
      <c r="AJ13" s="17" t="n">
        <v>14675.08</v>
      </c>
      <c r="AK13" s="17" t="inlineStr">
        <is>
          <t>PROFIT</t>
        </is>
      </c>
      <c r="AL13" s="17" t="n">
        <v>50000</v>
      </c>
      <c r="AM13" s="17" t="inlineStr">
        <is>
          <t>PAPER TRADING</t>
        </is>
      </c>
    </row>
    <row r="14">
      <c r="A14" s="15" t="inlineStr">
        <is>
          <t>2026-06-23</t>
        </is>
      </c>
      <c r="B14" s="15" t="inlineStr">
        <is>
          <t>NIFTY</t>
        </is>
      </c>
      <c r="C14" s="15" t="inlineStr">
        <is>
          <t>Both Spreads</t>
        </is>
      </c>
      <c r="D14" s="15" t="inlineStr">
        <is>
          <t>Bear Put Spread</t>
        </is>
      </c>
      <c r="E14" s="15" t="inlineStr">
        <is>
          <t>SKIP</t>
        </is>
      </c>
      <c r="F14" s="15" t="inlineStr">
        <is>
          <t>Conflicting — Price:BEARISH EMA:BULLISH</t>
        </is>
      </c>
      <c r="G14" s="15" t="n">
        <v>23824.22</v>
      </c>
      <c r="H14" s="15" t="n">
        <v>23714.31</v>
      </c>
      <c r="I14" s="15" t="inlineStr">
        <is>
          <t>2026-06-25</t>
        </is>
      </c>
      <c r="J14" s="15" t="inlineStr">
        <is>
          <t>WEEKLY</t>
        </is>
      </c>
      <c r="K14" s="15" t="n">
        <v>3</v>
      </c>
      <c r="L14" s="15" t="inlineStr">
        <is>
          <t>09:20 IST</t>
        </is>
      </c>
      <c r="M14" s="15" t="inlineStr">
        <is>
          <t>09:34 IST</t>
        </is>
      </c>
      <c r="N14" s="15" t="n">
        <v>24013.1</v>
      </c>
      <c r="O14" s="15" t="n">
        <v>24168</v>
      </c>
      <c r="P14" s="15" t="inlineStr">
        <is>
          <t>24100 PE</t>
        </is>
      </c>
      <c r="Q14" s="15" t="inlineStr">
        <is>
          <t>24000 PE</t>
        </is>
      </c>
      <c r="R14" s="15" t="n">
        <v>21</v>
      </c>
      <c r="S14" s="15" t="n">
        <v>75</v>
      </c>
      <c r="T14" s="15" t="n">
        <v>1575</v>
      </c>
      <c r="U14" s="15" t="n">
        <v>30.41</v>
      </c>
      <c r="V14" s="15" t="n">
        <v>21.29</v>
      </c>
      <c r="W14" s="15" t="n">
        <v>47895.75</v>
      </c>
      <c r="X14" s="15" t="n">
        <v>47950.49</v>
      </c>
      <c r="Y14" s="15" t="n">
        <v>109604.25</v>
      </c>
      <c r="Z14" s="15" t="n">
        <v>14368.73</v>
      </c>
      <c r="AA14" s="15" t="n">
        <v>14368.73</v>
      </c>
      <c r="AB14" s="15" t="n">
        <v>-14364</v>
      </c>
      <c r="AC14" s="15" t="n">
        <v>-30</v>
      </c>
      <c r="AD14" s="15" t="n">
        <v>40</v>
      </c>
      <c r="AE14" s="15" t="n">
        <v>5.99</v>
      </c>
      <c r="AF14" s="15" t="n">
        <v>0.1</v>
      </c>
      <c r="AG14" s="15" t="n">
        <v>1.44</v>
      </c>
      <c r="AH14" s="15" t="n">
        <v>7.22</v>
      </c>
      <c r="AI14" s="15" t="n">
        <v>54.74</v>
      </c>
      <c r="AJ14" s="15" t="n">
        <v>-14418.74</v>
      </c>
      <c r="AK14" s="15" t="inlineStr">
        <is>
          <t>STOP LOSS</t>
        </is>
      </c>
      <c r="AL14" s="15" t="n">
        <v>50000</v>
      </c>
      <c r="AM14" s="15" t="inlineStr">
        <is>
          <t>PAPER TRADING</t>
        </is>
      </c>
    </row>
    <row r="15">
      <c r="A15" s="15" t="inlineStr">
        <is>
          <t>2026-06-23</t>
        </is>
      </c>
      <c r="B15" s="15" t="inlineStr">
        <is>
          <t>NIFTY</t>
        </is>
      </c>
      <c r="C15" s="15" t="inlineStr">
        <is>
          <t>Both Spreads</t>
        </is>
      </c>
      <c r="D15" s="15" t="inlineStr">
        <is>
          <t>Bull Call Spread</t>
        </is>
      </c>
      <c r="E15" s="15" t="inlineStr">
        <is>
          <t>SKIP</t>
        </is>
      </c>
      <c r="F15" s="15" t="inlineStr">
        <is>
          <t>Conflicting — Price:BEARISH EMA:BULLISH</t>
        </is>
      </c>
      <c r="G15" s="15" t="n">
        <v>23868.63</v>
      </c>
      <c r="H15" s="15" t="n">
        <v>23767.86</v>
      </c>
      <c r="I15" s="15" t="inlineStr">
        <is>
          <t>2026-06-25</t>
        </is>
      </c>
      <c r="J15" s="15" t="inlineStr">
        <is>
          <t>WEEKLY</t>
        </is>
      </c>
      <c r="K15" s="15" t="n">
        <v>2</v>
      </c>
      <c r="L15" s="15" t="inlineStr">
        <is>
          <t>09:20 IST</t>
        </is>
      </c>
      <c r="M15" s="15" t="inlineStr">
        <is>
          <t>10:06 IST</t>
        </is>
      </c>
      <c r="N15" s="15" t="n">
        <v>23824.1</v>
      </c>
      <c r="O15" s="15" t="n">
        <v>24102.9</v>
      </c>
      <c r="P15" s="15" t="inlineStr">
        <is>
          <t>23800 CE</t>
        </is>
      </c>
      <c r="Q15" s="15" t="inlineStr">
        <is>
          <t>23900 CE</t>
        </is>
      </c>
      <c r="R15" s="15" t="n">
        <v>38</v>
      </c>
      <c r="S15" s="15" t="n">
        <v>75</v>
      </c>
      <c r="T15" s="15" t="n">
        <v>2850</v>
      </c>
      <c r="U15" s="15" t="n">
        <v>16.67</v>
      </c>
      <c r="V15" s="15" t="n">
        <v>11.67</v>
      </c>
      <c r="W15" s="15" t="n">
        <v>47509.5</v>
      </c>
      <c r="X15" s="15" t="n">
        <v>47564.18</v>
      </c>
      <c r="Y15" s="15" t="n">
        <v>237490.5</v>
      </c>
      <c r="Z15" s="15" t="n">
        <v>14252.85</v>
      </c>
      <c r="AA15" s="15" t="n">
        <v>14252.85</v>
      </c>
      <c r="AB15" s="15" t="n">
        <v>-14250</v>
      </c>
      <c r="AC15" s="15" t="n">
        <v>-30</v>
      </c>
      <c r="AD15" s="15" t="n">
        <v>40</v>
      </c>
      <c r="AE15" s="15" t="n">
        <v>5.94</v>
      </c>
      <c r="AF15" s="15" t="n">
        <v>0.1</v>
      </c>
      <c r="AG15" s="15" t="n">
        <v>1.43</v>
      </c>
      <c r="AH15" s="15" t="n">
        <v>7.22</v>
      </c>
      <c r="AI15" s="15" t="n">
        <v>54.68</v>
      </c>
      <c r="AJ15" s="15" t="n">
        <v>-14304.68</v>
      </c>
      <c r="AK15" s="15" t="inlineStr">
        <is>
          <t>STOP LOSS</t>
        </is>
      </c>
      <c r="AL15" s="15" t="n">
        <v>50000</v>
      </c>
      <c r="AM15" s="15" t="inlineStr">
        <is>
          <t>PAPER TRADING</t>
        </is>
      </c>
    </row>
    <row r="16">
      <c r="A16" s="15" t="inlineStr">
        <is>
          <t>2026-06-23</t>
        </is>
      </c>
      <c r="B16" s="15" t="inlineStr">
        <is>
          <t>NIFTY</t>
        </is>
      </c>
      <c r="C16" s="15" t="inlineStr">
        <is>
          <t>Both Spreads</t>
        </is>
      </c>
      <c r="D16" s="15" t="inlineStr">
        <is>
          <t>Bear Put Spread</t>
        </is>
      </c>
      <c r="E16" s="15" t="inlineStr">
        <is>
          <t>SKIP</t>
        </is>
      </c>
      <c r="F16" s="15" t="inlineStr">
        <is>
          <t>Conflicting — Price:BEARISH EMA:BULLISH</t>
        </is>
      </c>
      <c r="G16" s="15" t="n">
        <v>23868.63</v>
      </c>
      <c r="H16" s="15" t="n">
        <v>23767.86</v>
      </c>
      <c r="I16" s="15" t="inlineStr">
        <is>
          <t>2026-06-25</t>
        </is>
      </c>
      <c r="J16" s="15" t="inlineStr">
        <is>
          <t>WEEKLY</t>
        </is>
      </c>
      <c r="K16" s="15" t="n">
        <v>2</v>
      </c>
      <c r="L16" s="15" t="inlineStr">
        <is>
          <t>09:20 IST</t>
        </is>
      </c>
      <c r="M16" s="15" t="inlineStr">
        <is>
          <t>11:18 IST</t>
        </is>
      </c>
      <c r="N16" s="15" t="n">
        <v>23824.1</v>
      </c>
      <c r="O16" s="15" t="n">
        <v>24102.9</v>
      </c>
      <c r="P16" s="15" t="inlineStr">
        <is>
          <t>23900 PE</t>
        </is>
      </c>
      <c r="Q16" s="15" t="inlineStr">
        <is>
          <t>23800 PE</t>
        </is>
      </c>
      <c r="R16" s="15" t="n">
        <v>36</v>
      </c>
      <c r="S16" s="15" t="n">
        <v>75</v>
      </c>
      <c r="T16" s="15" t="n">
        <v>2700</v>
      </c>
      <c r="U16" s="15" t="n">
        <v>17.51</v>
      </c>
      <c r="V16" s="15" t="n">
        <v>12.26</v>
      </c>
      <c r="W16" s="15" t="n">
        <v>47277</v>
      </c>
      <c r="X16" s="15" t="n">
        <v>47331.64</v>
      </c>
      <c r="Y16" s="15" t="n">
        <v>222723</v>
      </c>
      <c r="Z16" s="15" t="n">
        <v>14183.1</v>
      </c>
      <c r="AA16" s="15" t="n">
        <v>14183.1</v>
      </c>
      <c r="AB16" s="15" t="n">
        <v>-14175</v>
      </c>
      <c r="AC16" s="15" t="n">
        <v>-30</v>
      </c>
      <c r="AD16" s="15" t="n">
        <v>40</v>
      </c>
      <c r="AE16" s="15" t="n">
        <v>5.91</v>
      </c>
      <c r="AF16" s="15" t="n">
        <v>0.09</v>
      </c>
      <c r="AG16" s="15" t="n">
        <v>1.42</v>
      </c>
      <c r="AH16" s="15" t="n">
        <v>7.22</v>
      </c>
      <c r="AI16" s="15" t="n">
        <v>54.64</v>
      </c>
      <c r="AJ16" s="15" t="n">
        <v>-14229.64</v>
      </c>
      <c r="AK16" s="15" t="inlineStr">
        <is>
          <t>STOP LOSS</t>
        </is>
      </c>
      <c r="AL16" s="15" t="n">
        <v>50000</v>
      </c>
      <c r="AM16" s="15" t="inlineStr">
        <is>
          <t>PAPER TRADING</t>
        </is>
      </c>
    </row>
    <row r="17">
      <c r="A17" s="17" t="inlineStr">
        <is>
          <t>2026-06-24</t>
        </is>
      </c>
      <c r="B17" s="17" t="inlineStr">
        <is>
          <t>NIFTY</t>
        </is>
      </c>
      <c r="C17" s="17" t="inlineStr">
        <is>
          <t>Both Spreads</t>
        </is>
      </c>
      <c r="D17" s="17" t="inlineStr">
        <is>
          <t>Bull Call Spread</t>
        </is>
      </c>
      <c r="E17" s="17" t="inlineStr">
        <is>
          <t>BULLISH</t>
        </is>
      </c>
      <c r="F17" s="17" t="inlineStr">
        <is>
          <t>Price↑(24102.9&gt;24013.1) &amp; EMA9↑(23879.76&gt;23762.23)</t>
        </is>
      </c>
      <c r="G17" s="17" t="n">
        <v>23879.76</v>
      </c>
      <c r="H17" s="17" t="n">
        <v>23762.23</v>
      </c>
      <c r="I17" s="17" t="inlineStr">
        <is>
          <t>2026-06-25</t>
        </is>
      </c>
      <c r="J17" s="17" t="inlineStr">
        <is>
          <t>WEEKLY</t>
        </is>
      </c>
      <c r="K17" s="17" t="n">
        <v>2</v>
      </c>
      <c r="L17" s="17" t="inlineStr">
        <is>
          <t>09:20 IST</t>
        </is>
      </c>
      <c r="M17" s="17" t="inlineStr">
        <is>
          <t>10:14 IST</t>
        </is>
      </c>
      <c r="N17" s="17" t="n">
        <v>24102.9</v>
      </c>
      <c r="O17" s="17" t="n">
        <v>24013.1</v>
      </c>
      <c r="P17" s="17" t="inlineStr">
        <is>
          <t>24100 CE</t>
        </is>
      </c>
      <c r="Q17" s="17" t="inlineStr">
        <is>
          <t>24200 CE</t>
        </is>
      </c>
      <c r="R17" s="17" t="n">
        <v>38</v>
      </c>
      <c r="S17" s="17" t="n">
        <v>75</v>
      </c>
      <c r="T17" s="17" t="n">
        <v>2850</v>
      </c>
      <c r="U17" s="17" t="n">
        <v>16.84</v>
      </c>
      <c r="V17" s="17" t="n">
        <v>21.89</v>
      </c>
      <c r="W17" s="17" t="n">
        <v>47994</v>
      </c>
      <c r="X17" s="17" t="n">
        <v>48048.75</v>
      </c>
      <c r="Y17" s="17" t="n">
        <v>237006</v>
      </c>
      <c r="Z17" s="17" t="n">
        <v>14398.2</v>
      </c>
      <c r="AA17" s="17" t="n">
        <v>14398.2</v>
      </c>
      <c r="AB17" s="17" t="n">
        <v>14392.5</v>
      </c>
      <c r="AC17" s="17" t="n">
        <v>30</v>
      </c>
      <c r="AD17" s="17" t="n">
        <v>40</v>
      </c>
      <c r="AE17" s="17" t="n">
        <v>6</v>
      </c>
      <c r="AF17" s="17" t="n">
        <v>0.1</v>
      </c>
      <c r="AG17" s="17" t="n">
        <v>1.44</v>
      </c>
      <c r="AH17" s="17" t="n">
        <v>7.22</v>
      </c>
      <c r="AI17" s="17" t="n">
        <v>54.75</v>
      </c>
      <c r="AJ17" s="17" t="n">
        <v>14337.75</v>
      </c>
      <c r="AK17" s="17" t="inlineStr">
        <is>
          <t>PROFIT</t>
        </is>
      </c>
      <c r="AL17" s="17" t="n">
        <v>50000</v>
      </c>
      <c r="AM17" s="17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Price↑(24102.9&gt;24013.1) &amp; EMA9↑(23879.76&gt;23762.23)</t>
        </is>
      </c>
      <c r="G18" s="17" t="n">
        <v>23879.76</v>
      </c>
      <c r="H18" s="17" t="n">
        <v>23762.23</v>
      </c>
      <c r="I18" s="17" t="inlineStr">
        <is>
          <t>2026-06-25</t>
        </is>
      </c>
      <c r="J18" s="17" t="inlineStr">
        <is>
          <t>WEEKLY</t>
        </is>
      </c>
      <c r="K18" s="17" t="n">
        <v>2</v>
      </c>
      <c r="L18" s="17" t="inlineStr">
        <is>
          <t>09:20 IST</t>
        </is>
      </c>
      <c r="M18" s="17" t="inlineStr">
        <is>
          <t>11:50 IST</t>
        </is>
      </c>
      <c r="N18" s="17" t="n">
        <v>24102.9</v>
      </c>
      <c r="O18" s="17" t="n">
        <v>24013.1</v>
      </c>
      <c r="P18" s="17" t="inlineStr">
        <is>
          <t>24200 PE</t>
        </is>
      </c>
      <c r="Q18" s="17" t="inlineStr">
        <is>
          <t>24100 PE</t>
        </is>
      </c>
      <c r="R18" s="17" t="n">
        <v>28</v>
      </c>
      <c r="S18" s="17" t="n">
        <v>75</v>
      </c>
      <c r="T18" s="17" t="n">
        <v>2100</v>
      </c>
      <c r="U18" s="17" t="n">
        <v>22.82</v>
      </c>
      <c r="V18" s="17" t="n">
        <v>29.67</v>
      </c>
      <c r="W18" s="17" t="n">
        <v>47922</v>
      </c>
      <c r="X18" s="17" t="n">
        <v>47976.74</v>
      </c>
      <c r="Y18" s="17" t="n">
        <v>162078</v>
      </c>
      <c r="Z18" s="17" t="n">
        <v>14376.6</v>
      </c>
      <c r="AA18" s="17" t="n">
        <v>14376.6</v>
      </c>
      <c r="AB18" s="17" t="n">
        <v>14385</v>
      </c>
      <c r="AC18" s="17" t="n">
        <v>30</v>
      </c>
      <c r="AD18" s="17" t="n">
        <v>40</v>
      </c>
      <c r="AE18" s="17" t="n">
        <v>5.99</v>
      </c>
      <c r="AF18" s="17" t="n">
        <v>0.1</v>
      </c>
      <c r="AG18" s="17" t="n">
        <v>1.44</v>
      </c>
      <c r="AH18" s="17" t="n">
        <v>7.22</v>
      </c>
      <c r="AI18" s="17" t="n">
        <v>54.74</v>
      </c>
      <c r="AJ18" s="17" t="n">
        <v>14330.26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Price↑(24021.65&gt;23824.1) &amp; EMA9↑(23899.33&gt;23791.89)</t>
        </is>
      </c>
      <c r="H19" s="17" t="n">
        <v>23899.33</v>
      </c>
      <c r="I19" s="17" t="n">
        <v>23791.89</v>
      </c>
      <c r="J19" s="17" t="inlineStr">
        <is>
          <t>2026-06-25</t>
        </is>
      </c>
      <c r="K19" s="17" t="inlineStr">
        <is>
          <t>WEEKLY</t>
        </is>
      </c>
      <c r="L19" s="17" t="n">
        <v>1</v>
      </c>
      <c r="M19" s="17" t="inlineStr">
        <is>
          <t>09:20 IST</t>
        </is>
      </c>
      <c r="N19" s="17" t="inlineStr">
        <is>
          <t>10:09 IST</t>
        </is>
      </c>
      <c r="O19" s="17" t="n">
        <v>24021.65</v>
      </c>
      <c r="P19" s="17" t="n">
        <v>23824.1</v>
      </c>
      <c r="Q19" s="17" t="inlineStr">
        <is>
          <t>24000 CE</t>
        </is>
      </c>
      <c r="R19" s="17" t="inlineStr">
        <is>
          <t>24100 CE</t>
        </is>
      </c>
      <c r="S19" s="17" t="n">
        <v>44</v>
      </c>
      <c r="T19" s="17" t="n">
        <v>65</v>
      </c>
      <c r="U19" s="17" t="n">
        <v>2860</v>
      </c>
      <c r="V19" s="17" t="n">
        <v>16.56</v>
      </c>
      <c r="W19" s="17" t="n">
        <v>21.53</v>
      </c>
      <c r="X19" s="17" t="n">
        <v>47361.6</v>
      </c>
      <c r="Y19" s="17" t="n">
        <v>47416.25</v>
      </c>
      <c r="Z19" s="17" t="n">
        <v>238638.4</v>
      </c>
      <c r="AA19" s="17" t="n">
        <v>14208.48</v>
      </c>
      <c r="AB19" s="17" t="n">
        <v>14208.48</v>
      </c>
      <c r="AC19" s="17" t="n">
        <v>14214.2</v>
      </c>
      <c r="AD19" s="17" t="n">
        <v>30</v>
      </c>
      <c r="AE19" s="17" t="n">
        <v>40</v>
      </c>
      <c r="AF19" s="17" t="n">
        <v>5.92</v>
      </c>
      <c r="AG19" s="17" t="n">
        <v>0.09</v>
      </c>
      <c r="AH19" s="17" t="n">
        <v>1.42</v>
      </c>
      <c r="AI19" s="17" t="n">
        <v>7.22</v>
      </c>
      <c r="AJ19" s="17" t="n">
        <v>54.65</v>
      </c>
      <c r="AK19" s="17" t="n">
        <v>14159.55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2026-06-24</t>
        </is>
      </c>
      <c r="B20" s="17" t="inlineStr">
        <is>
          <t>NIFTY</t>
        </is>
      </c>
      <c r="C20" s="17" t="inlineStr">
        <is>
          <t>Both Spreads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BULLISH</t>
        </is>
      </c>
      <c r="G20" s="17" t="inlineStr">
        <is>
          <t>Price↑(24021.65&gt;23824.1) &amp; EMA9↑(23899.33&gt;23791.89)</t>
        </is>
      </c>
      <c r="H20" s="17" t="n">
        <v>23899.33</v>
      </c>
      <c r="I20" s="17" t="n">
        <v>23791.89</v>
      </c>
      <c r="J20" s="17" t="inlineStr">
        <is>
          <t>2026-06-25</t>
        </is>
      </c>
      <c r="K20" s="17" t="inlineStr">
        <is>
          <t>WEEKLY</t>
        </is>
      </c>
      <c r="L20" s="17" t="n">
        <v>1</v>
      </c>
      <c r="M20" s="17" t="inlineStr">
        <is>
          <t>09:20 IST</t>
        </is>
      </c>
      <c r="N20" s="17" t="inlineStr">
        <is>
          <t>11:13 IST</t>
        </is>
      </c>
      <c r="O20" s="17" t="n">
        <v>24021.65</v>
      </c>
      <c r="P20" s="17" t="n">
        <v>23824.1</v>
      </c>
      <c r="Q20" s="17" t="inlineStr">
        <is>
          <t>24100 PE</t>
        </is>
      </c>
      <c r="R20" s="17" t="inlineStr">
        <is>
          <t>24000 PE</t>
        </is>
      </c>
      <c r="S20" s="17" t="n">
        <v>34</v>
      </c>
      <c r="T20" s="17" t="n">
        <v>65</v>
      </c>
      <c r="U20" s="17" t="n">
        <v>2210</v>
      </c>
      <c r="V20" s="17" t="n">
        <v>21.58</v>
      </c>
      <c r="W20" s="17" t="n">
        <v>28.05</v>
      </c>
      <c r="X20" s="17" t="n">
        <v>47691.8</v>
      </c>
      <c r="Y20" s="17" t="n">
        <v>47746.5</v>
      </c>
      <c r="Z20" s="17" t="n">
        <v>173308.2</v>
      </c>
      <c r="AA20" s="17" t="n">
        <v>14307.54</v>
      </c>
      <c r="AB20" s="17" t="n">
        <v>14307.54</v>
      </c>
      <c r="AC20" s="17" t="n">
        <v>14298.7</v>
      </c>
      <c r="AD20" s="17" t="n">
        <v>30</v>
      </c>
      <c r="AE20" s="17" t="n">
        <v>40</v>
      </c>
      <c r="AF20" s="17" t="n">
        <v>5.96</v>
      </c>
      <c r="AG20" s="17" t="n">
        <v>0.1</v>
      </c>
      <c r="AH20" s="17" t="n">
        <v>1.43</v>
      </c>
      <c r="AI20" s="17" t="n">
        <v>7.22</v>
      </c>
      <c r="AJ20" s="17" t="n">
        <v>54.7</v>
      </c>
      <c r="AK20" s="17" t="n">
        <v>14244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2026-06-25</t>
        </is>
      </c>
      <c r="B21" s="15" t="inlineStr">
        <is>
          <t>NIFTY</t>
        </is>
      </c>
      <c r="C21" s="15" t="inlineStr">
        <is>
          <t>Both Spreads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SKIP</t>
        </is>
      </c>
      <c r="G21" s="15" t="inlineStr">
        <is>
          <t>Conflicting — Price:BEARISH EMA:BULLISH</t>
        </is>
      </c>
      <c r="H21" s="15" t="n">
        <v>23868.74</v>
      </c>
      <c r="I21" s="15" t="n">
        <v>23768.91</v>
      </c>
      <c r="J21" s="15" t="inlineStr">
        <is>
          <t>2026-06-25</t>
        </is>
      </c>
      <c r="K21" s="15" t="inlineStr">
        <is>
          <t>WEEKLY</t>
        </is>
      </c>
      <c r="L21" s="15" t="n">
        <v>1</v>
      </c>
      <c r="M21" s="15" t="inlineStr">
        <is>
          <t>09:20 IST</t>
        </is>
      </c>
      <c r="N21" s="15" t="inlineStr">
        <is>
          <t>10:44 IST</t>
        </is>
      </c>
      <c r="O21" s="15" t="n">
        <v>23824.1</v>
      </c>
      <c r="P21" s="15" t="n">
        <v>24102.9</v>
      </c>
      <c r="Q21" s="15" t="inlineStr">
        <is>
          <t>23800 CE</t>
        </is>
      </c>
      <c r="R21" s="15" t="inlineStr">
        <is>
          <t>23900 CE</t>
        </is>
      </c>
      <c r="S21" s="15" t="n">
        <v>37</v>
      </c>
      <c r="T21" s="15" t="n">
        <v>65</v>
      </c>
      <c r="U21" s="15" t="n">
        <v>2405</v>
      </c>
      <c r="V21" s="15" t="n">
        <v>19.99</v>
      </c>
      <c r="W21" s="15" t="n">
        <v>13.99</v>
      </c>
      <c r="X21" s="15" t="n">
        <v>48075.95</v>
      </c>
      <c r="Y21" s="15" t="n">
        <v>48130.72</v>
      </c>
      <c r="Z21" s="15" t="n">
        <v>192424.05</v>
      </c>
      <c r="AA21" s="15" t="n">
        <v>14422.78</v>
      </c>
      <c r="AB21" s="15" t="n">
        <v>14422.78</v>
      </c>
      <c r="AC21" s="15" t="n">
        <v>-14430</v>
      </c>
      <c r="AD21" s="15" t="n">
        <v>-30</v>
      </c>
      <c r="AE21" s="15" t="n">
        <v>40</v>
      </c>
      <c r="AF21" s="15" t="n">
        <v>6.01</v>
      </c>
      <c r="AG21" s="15" t="n">
        <v>0.1</v>
      </c>
      <c r="AH21" s="15" t="n">
        <v>1.44</v>
      </c>
      <c r="AI21" s="15" t="n">
        <v>7.22</v>
      </c>
      <c r="AJ21" s="15" t="n">
        <v>54.77</v>
      </c>
      <c r="AK21" s="15" t="n">
        <v>-14484.77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23868.74</v>
      </c>
      <c r="I22" s="16" t="n">
        <v>23768.91</v>
      </c>
      <c r="J22" s="16" t="inlineStr">
        <is>
          <t>2026-06-25</t>
        </is>
      </c>
      <c r="K22" s="16" t="inlineStr">
        <is>
          <t>WEEKLY</t>
        </is>
      </c>
      <c r="L22" s="16" t="n">
        <v>1</v>
      </c>
      <c r="M22" s="16" t="inlineStr">
        <is>
          <t>09:20 IST</t>
        </is>
      </c>
      <c r="N22" s="16" t="inlineStr">
        <is>
          <t>14:59 IST</t>
        </is>
      </c>
      <c r="O22" s="16" t="n">
        <v>23824.1</v>
      </c>
      <c r="P22" s="16" t="n">
        <v>24102.9</v>
      </c>
      <c r="Q22" s="16" t="inlineStr">
        <is>
          <t>23900 PE</t>
        </is>
      </c>
      <c r="R22" s="16" t="inlineStr">
        <is>
          <t>23800 PE</t>
        </is>
      </c>
      <c r="S22" s="16" t="n">
        <v>43</v>
      </c>
      <c r="T22" s="16" t="n">
        <v>65</v>
      </c>
      <c r="U22" s="16" t="n">
        <v>2795</v>
      </c>
      <c r="V22" s="16" t="n">
        <v>17.2</v>
      </c>
      <c r="W22" s="16" t="n">
        <v>16.93</v>
      </c>
      <c r="X22" s="16" t="n">
        <v>48074</v>
      </c>
      <c r="Y22" s="16" t="n">
        <v>48128.76</v>
      </c>
      <c r="Z22" s="16" t="n">
        <v>231426</v>
      </c>
      <c r="AA22" s="16" t="n">
        <v>14422.2</v>
      </c>
      <c r="AB22" s="16" t="n">
        <v>14422.2</v>
      </c>
      <c r="AC22" s="16" t="n">
        <v>-754.65</v>
      </c>
      <c r="AD22" s="16" t="n">
        <v>-1.6</v>
      </c>
      <c r="AE22" s="16" t="n">
        <v>40</v>
      </c>
      <c r="AF22" s="16" t="n">
        <v>6.01</v>
      </c>
      <c r="AG22" s="16" t="n">
        <v>0.1</v>
      </c>
      <c r="AH22" s="16" t="n">
        <v>1.44</v>
      </c>
      <c r="AI22" s="16" t="n">
        <v>7.22</v>
      </c>
      <c r="AJ22" s="16" t="n">
        <v>54.76</v>
      </c>
      <c r="AK22" s="16" t="n">
        <v>-809.41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Price↑(24056.0&gt;24021.65) &amp; EMA9↑(23930.53&gt;23806.47)</t>
        </is>
      </c>
      <c r="H23" s="17" t="n">
        <v>23930.53</v>
      </c>
      <c r="I23" s="17" t="n">
        <v>23806.47</v>
      </c>
      <c r="J23" s="17" t="inlineStr">
        <is>
          <t>2026-06-25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11:50 IST</t>
        </is>
      </c>
      <c r="O23" s="17" t="n">
        <v>24056</v>
      </c>
      <c r="P23" s="17" t="n">
        <v>24021.65</v>
      </c>
      <c r="Q23" s="17" t="inlineStr">
        <is>
          <t>24000 CE</t>
        </is>
      </c>
      <c r="R23" s="17" t="inlineStr">
        <is>
          <t>24100 CE</t>
        </is>
      </c>
      <c r="S23" s="17" t="n">
        <v>41</v>
      </c>
      <c r="T23" s="17" t="n">
        <v>65</v>
      </c>
      <c r="U23" s="17" t="n">
        <v>2665</v>
      </c>
      <c r="V23" s="17" t="n">
        <v>18.05</v>
      </c>
      <c r="W23" s="17" t="n">
        <v>23.47</v>
      </c>
      <c r="X23" s="17" t="n">
        <v>48103.25</v>
      </c>
      <c r="Y23" s="17" t="n">
        <v>48158.02</v>
      </c>
      <c r="Z23" s="17" t="n">
        <v>218396.75</v>
      </c>
      <c r="AA23" s="17" t="n">
        <v>14430.98</v>
      </c>
      <c r="AB23" s="17" t="n">
        <v>14430.98</v>
      </c>
      <c r="AC23" s="17" t="n">
        <v>14444.3</v>
      </c>
      <c r="AD23" s="17" t="n">
        <v>30</v>
      </c>
      <c r="AE23" s="17" t="n">
        <v>40</v>
      </c>
      <c r="AF23" s="17" t="n">
        <v>6.01</v>
      </c>
      <c r="AG23" s="17" t="n">
        <v>0.1</v>
      </c>
      <c r="AH23" s="17" t="n">
        <v>1.44</v>
      </c>
      <c r="AI23" s="17" t="n">
        <v>7.22</v>
      </c>
      <c r="AJ23" s="17" t="n">
        <v>54.77</v>
      </c>
      <c r="AK23" s="17" t="n">
        <v>14389.53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2026-06-25</t>
        </is>
      </c>
      <c r="B24" s="17" t="inlineStr">
        <is>
          <t>NIFTY</t>
        </is>
      </c>
      <c r="C24" s="17" t="inlineStr">
        <is>
          <t>Both Spreads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Price↑(24056.0&gt;24021.65) &amp; EMA9↑(23930.53&gt;23806.47)</t>
        </is>
      </c>
      <c r="H24" s="17" t="n">
        <v>23930.53</v>
      </c>
      <c r="I24" s="17" t="n">
        <v>23806.47</v>
      </c>
      <c r="J24" s="17" t="inlineStr">
        <is>
          <t>2026-06-25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11:04 IST</t>
        </is>
      </c>
      <c r="O24" s="17" t="n">
        <v>24056</v>
      </c>
      <c r="P24" s="17" t="n">
        <v>24021.65</v>
      </c>
      <c r="Q24" s="17" t="inlineStr">
        <is>
          <t>24100 PE</t>
        </is>
      </c>
      <c r="R24" s="17" t="inlineStr">
        <is>
          <t>24000 PE</t>
        </is>
      </c>
      <c r="S24" s="17" t="n">
        <v>41</v>
      </c>
      <c r="T24" s="17" t="n">
        <v>65</v>
      </c>
      <c r="U24" s="17" t="n">
        <v>2665</v>
      </c>
      <c r="V24" s="17" t="n">
        <v>17.8</v>
      </c>
      <c r="W24" s="17" t="n">
        <v>23.14</v>
      </c>
      <c r="X24" s="17" t="n">
        <v>47437</v>
      </c>
      <c r="Y24" s="17" t="n">
        <v>47491.66</v>
      </c>
      <c r="Z24" s="17" t="n">
        <v>219063</v>
      </c>
      <c r="AA24" s="17" t="n">
        <v>14231.1</v>
      </c>
      <c r="AB24" s="17" t="n">
        <v>14231.1</v>
      </c>
      <c r="AC24" s="17" t="n">
        <v>14231.1</v>
      </c>
      <c r="AD24" s="17" t="n">
        <v>30</v>
      </c>
      <c r="AE24" s="17" t="n">
        <v>40</v>
      </c>
      <c r="AF24" s="17" t="n">
        <v>5.93</v>
      </c>
      <c r="AG24" s="17" t="n">
        <v>0.09</v>
      </c>
      <c r="AH24" s="17" t="n">
        <v>1.42</v>
      </c>
      <c r="AI24" s="17" t="n">
        <v>7.22</v>
      </c>
      <c r="AJ24" s="17" t="n">
        <v>54.66</v>
      </c>
      <c r="AK24" s="17" t="n">
        <v>14176.44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Price↑(24021.65&gt;23824.1) &amp; EMA9↑(23899.17&gt;23781.51)</t>
        </is>
      </c>
      <c r="H25" s="17" t="n">
        <v>23899.17</v>
      </c>
      <c r="I25" s="17" t="n">
        <v>23781.51</v>
      </c>
      <c r="J25" s="17" t="inlineStr">
        <is>
          <t>2026-06-25</t>
        </is>
      </c>
      <c r="K25" s="17" t="inlineStr">
        <is>
          <t>WEEKLY</t>
        </is>
      </c>
      <c r="L25" s="17" t="n">
        <v>0</v>
      </c>
      <c r="M25" s="17" t="inlineStr">
        <is>
          <t>09:20 IST</t>
        </is>
      </c>
      <c r="N25" s="17" t="inlineStr">
        <is>
          <t>11:42 IST</t>
        </is>
      </c>
      <c r="O25" s="17" t="n">
        <v>24021.65</v>
      </c>
      <c r="P25" s="17" t="n">
        <v>23824.1</v>
      </c>
      <c r="Q25" s="17" t="inlineStr">
        <is>
          <t>24000 CE</t>
        </is>
      </c>
      <c r="R25" s="17" t="inlineStr">
        <is>
          <t>24100 CE</t>
        </is>
      </c>
      <c r="S25" s="17" t="n">
        <v>31</v>
      </c>
      <c r="T25" s="17" t="n">
        <v>65</v>
      </c>
      <c r="U25" s="17" t="n">
        <v>2015</v>
      </c>
      <c r="V25" s="17" t="n">
        <v>24.16</v>
      </c>
      <c r="W25" s="17" t="n">
        <v>31.41</v>
      </c>
      <c r="X25" s="17" t="n">
        <v>48682.4</v>
      </c>
      <c r="Y25" s="17" t="n">
        <v>48737.26</v>
      </c>
      <c r="Z25" s="17" t="n">
        <v>152817.6</v>
      </c>
      <c r="AA25" s="17" t="n">
        <v>14604.72</v>
      </c>
      <c r="AB25" s="17" t="n">
        <v>14604.72</v>
      </c>
      <c r="AC25" s="17" t="n">
        <v>14608.75</v>
      </c>
      <c r="AD25" s="17" t="n">
        <v>30</v>
      </c>
      <c r="AE25" s="17" t="n">
        <v>40</v>
      </c>
      <c r="AF25" s="17" t="n">
        <v>6.09</v>
      </c>
      <c r="AG25" s="17" t="n">
        <v>0.1</v>
      </c>
      <c r="AH25" s="17" t="n">
        <v>1.46</v>
      </c>
      <c r="AI25" s="17" t="n">
        <v>7.22</v>
      </c>
      <c r="AJ25" s="17" t="n">
        <v>54.86</v>
      </c>
      <c r="AK25" s="17" t="n">
        <v>14553.89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2026-06-26</t>
        </is>
      </c>
      <c r="B26" s="17" t="inlineStr">
        <is>
          <t>NIFTY</t>
        </is>
      </c>
      <c r="C26" s="17" t="inlineStr">
        <is>
          <t>Both Spreads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Price↑(24021.65&gt;23824.1) &amp; EMA9↑(23899.17&gt;23781.51)</t>
        </is>
      </c>
      <c r="H26" s="17" t="n">
        <v>23899.17</v>
      </c>
      <c r="I26" s="17" t="n">
        <v>23781.51</v>
      </c>
      <c r="J26" s="17" t="inlineStr">
        <is>
          <t>2026-06-25</t>
        </is>
      </c>
      <c r="K26" s="17" t="inlineStr">
        <is>
          <t>WEEKLY</t>
        </is>
      </c>
      <c r="L26" s="17" t="n">
        <v>0</v>
      </c>
      <c r="M26" s="17" t="inlineStr">
        <is>
          <t>09:20 IST</t>
        </is>
      </c>
      <c r="N26" s="17" t="inlineStr">
        <is>
          <t>09:57 IST</t>
        </is>
      </c>
      <c r="O26" s="17" t="n">
        <v>24021.65</v>
      </c>
      <c r="P26" s="17" t="n">
        <v>23824.1</v>
      </c>
      <c r="Q26" s="17" t="inlineStr">
        <is>
          <t>24100 PE</t>
        </is>
      </c>
      <c r="R26" s="17" t="inlineStr">
        <is>
          <t>24000 PE</t>
        </is>
      </c>
      <c r="S26" s="17" t="n">
        <v>35</v>
      </c>
      <c r="T26" s="17" t="n">
        <v>65</v>
      </c>
      <c r="U26" s="17" t="n">
        <v>2275</v>
      </c>
      <c r="V26" s="17" t="n">
        <v>20.83</v>
      </c>
      <c r="W26" s="17" t="n">
        <v>27.08</v>
      </c>
      <c r="X26" s="17" t="n">
        <v>47388.25</v>
      </c>
      <c r="Y26" s="17" t="n">
        <v>47442.91</v>
      </c>
      <c r="Z26" s="17" t="n">
        <v>180111.75</v>
      </c>
      <c r="AA26" s="17" t="n">
        <v>14216.48</v>
      </c>
      <c r="AB26" s="17" t="n">
        <v>14216.48</v>
      </c>
      <c r="AC26" s="17" t="n">
        <v>14218.75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14164.09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Price↑(24056.0&gt;24021.65) &amp; EMA9↑(23930.98&gt;23794.58)</t>
        </is>
      </c>
      <c r="H27" s="15" t="n">
        <v>23930.98</v>
      </c>
      <c r="I27" s="15" t="n">
        <v>23794.58</v>
      </c>
      <c r="J27" s="15" t="inlineStr">
        <is>
          <t>2026-07-02</t>
        </is>
      </c>
      <c r="K27" s="15" t="inlineStr">
        <is>
          <t>WEEKLY</t>
        </is>
      </c>
      <c r="L27" s="15" t="n">
        <v>6</v>
      </c>
      <c r="M27" s="15" t="inlineStr">
        <is>
          <t>09:20 IST</t>
        </is>
      </c>
      <c r="N27" s="15" t="inlineStr">
        <is>
          <t>09:58 IST</t>
        </is>
      </c>
      <c r="O27" s="15" t="n">
        <v>24056</v>
      </c>
      <c r="P27" s="15" t="n">
        <v>24021.65</v>
      </c>
      <c r="Q27" s="15" t="inlineStr">
        <is>
          <t>24000 CE</t>
        </is>
      </c>
      <c r="R27" s="15" t="inlineStr">
        <is>
          <t>24100 CE</t>
        </is>
      </c>
      <c r="S27" s="15" t="n">
        <v>21</v>
      </c>
      <c r="T27" s="15" t="n">
        <v>65</v>
      </c>
      <c r="U27" s="15" t="n">
        <v>1365</v>
      </c>
      <c r="V27" s="15" t="n">
        <v>34.45</v>
      </c>
      <c r="W27" s="15" t="n">
        <v>24.12</v>
      </c>
      <c r="X27" s="15" t="n">
        <v>47024.25</v>
      </c>
      <c r="Y27" s="15" t="n">
        <v>47078.85</v>
      </c>
      <c r="Z27" s="15" t="n">
        <v>89475.75</v>
      </c>
      <c r="AA27" s="15" t="n">
        <v>14107.27</v>
      </c>
      <c r="AB27" s="15" t="n">
        <v>14107.27</v>
      </c>
      <c r="AC27" s="15" t="n">
        <v>-14100.45</v>
      </c>
      <c r="AD27" s="15" t="n">
        <v>-30</v>
      </c>
      <c r="AE27" s="15" t="n">
        <v>40</v>
      </c>
      <c r="AF27" s="15" t="n">
        <v>5.88</v>
      </c>
      <c r="AG27" s="15" t="n">
        <v>0.09</v>
      </c>
      <c r="AH27" s="15" t="n">
        <v>1.41</v>
      </c>
      <c r="AI27" s="15" t="n">
        <v>7.22</v>
      </c>
      <c r="AJ27" s="15" t="n">
        <v>54.6</v>
      </c>
      <c r="AK27" s="15" t="n">
        <v>-14155.05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2026-06-26</t>
        </is>
      </c>
      <c r="B28" s="17" t="inlineStr">
        <is>
          <t>NIFTY</t>
        </is>
      </c>
      <c r="C28" s="17" t="inlineStr">
        <is>
          <t>Both Spreads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Price↑(24056.0&gt;24021.65) &amp; EMA9↑(23930.98&gt;23794.58)</t>
        </is>
      </c>
      <c r="H28" s="17" t="n">
        <v>23930.98</v>
      </c>
      <c r="I28" s="17" t="n">
        <v>23794.58</v>
      </c>
      <c r="J28" s="17" t="inlineStr">
        <is>
          <t>2026-07-02</t>
        </is>
      </c>
      <c r="K28" s="17" t="inlineStr">
        <is>
          <t>WEEKLY</t>
        </is>
      </c>
      <c r="L28" s="17" t="n">
        <v>6</v>
      </c>
      <c r="M28" s="17" t="inlineStr">
        <is>
          <t>09:20 IST</t>
        </is>
      </c>
      <c r="N28" s="17" t="inlineStr">
        <is>
          <t>10:22 IST</t>
        </is>
      </c>
      <c r="O28" s="17" t="n">
        <v>24056</v>
      </c>
      <c r="P28" s="17" t="n">
        <v>24021.65</v>
      </c>
      <c r="Q28" s="17" t="inlineStr">
        <is>
          <t>24100 PE</t>
        </is>
      </c>
      <c r="R28" s="17" t="inlineStr">
        <is>
          <t>24000 PE</t>
        </is>
      </c>
      <c r="S28" s="17" t="n">
        <v>22</v>
      </c>
      <c r="T28" s="17" t="n">
        <v>65</v>
      </c>
      <c r="U28" s="17" t="n">
        <v>1430</v>
      </c>
      <c r="V28" s="17" t="n">
        <v>33.09</v>
      </c>
      <c r="W28" s="17" t="n">
        <v>43.02</v>
      </c>
      <c r="X28" s="17" t="n">
        <v>47318.7</v>
      </c>
      <c r="Y28" s="17" t="n">
        <v>47373.35</v>
      </c>
      <c r="Z28" s="17" t="n">
        <v>95681.3</v>
      </c>
      <c r="AA28" s="17" t="n">
        <v>14195.61</v>
      </c>
      <c r="AB28" s="17" t="n">
        <v>14195.61</v>
      </c>
      <c r="AC28" s="17" t="n">
        <v>14199.9</v>
      </c>
      <c r="AD28" s="17" t="n">
        <v>30</v>
      </c>
      <c r="AE28" s="17" t="n">
        <v>40</v>
      </c>
      <c r="AF28" s="17" t="n">
        <v>5.91</v>
      </c>
      <c r="AG28" s="17" t="n">
        <v>0.09</v>
      </c>
      <c r="AH28" s="17" t="n">
        <v>1.42</v>
      </c>
      <c r="AI28" s="17" t="n">
        <v>7.22</v>
      </c>
      <c r="AJ28" s="17" t="n">
        <v>54.65</v>
      </c>
      <c r="AK28" s="17" t="n">
        <v>14145.25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Price↑(24056.0&gt;24021.65) &amp; EMA9↑(23930.98&gt;23794.58)</t>
        </is>
      </c>
      <c r="H29" s="17" t="n">
        <v>23930.98</v>
      </c>
      <c r="I29" s="17" t="n">
        <v>23794.58</v>
      </c>
      <c r="J29" s="17" t="inlineStr">
        <is>
          <t>2026-07-02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10:09 IST</t>
        </is>
      </c>
      <c r="O29" s="17" t="n">
        <v>24056</v>
      </c>
      <c r="P29" s="17" t="n">
        <v>24021.65</v>
      </c>
      <c r="Q29" s="17" t="inlineStr">
        <is>
          <t>24000 CE</t>
        </is>
      </c>
      <c r="R29" s="17" t="inlineStr">
        <is>
          <t>24100 CE</t>
        </is>
      </c>
      <c r="S29" s="17" t="n">
        <v>19</v>
      </c>
      <c r="T29" s="17" t="n">
        <v>65</v>
      </c>
      <c r="U29" s="17" t="n">
        <v>1235</v>
      </c>
      <c r="V29" s="17" t="n">
        <v>39.59</v>
      </c>
      <c r="W29" s="17" t="n">
        <v>51.47</v>
      </c>
      <c r="X29" s="17" t="n">
        <v>48893.65</v>
      </c>
      <c r="Y29" s="17" t="n">
        <v>48948.54</v>
      </c>
      <c r="Z29" s="17" t="n">
        <v>74606.35000000001</v>
      </c>
      <c r="AA29" s="17" t="n">
        <v>14668.09</v>
      </c>
      <c r="AB29" s="17" t="n">
        <v>14668.09</v>
      </c>
      <c r="AC29" s="17" t="n">
        <v>14671.8</v>
      </c>
      <c r="AD29" s="17" t="n">
        <v>30</v>
      </c>
      <c r="AE29" s="17" t="n">
        <v>40</v>
      </c>
      <c r="AF29" s="17" t="n">
        <v>6.11</v>
      </c>
      <c r="AG29" s="17" t="n">
        <v>0.1</v>
      </c>
      <c r="AH29" s="17" t="n">
        <v>1.47</v>
      </c>
      <c r="AI29" s="17" t="n">
        <v>7.22</v>
      </c>
      <c r="AJ29" s="17" t="n">
        <v>54.89</v>
      </c>
      <c r="AK29" s="17" t="n">
        <v>14616.91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Price↑(24056.0&gt;24021.65) &amp; EMA9↑(23930.98&gt;23794.58)</t>
        </is>
      </c>
      <c r="H30" s="17" t="n">
        <v>23930.98</v>
      </c>
      <c r="I30" s="17" t="n">
        <v>23794.58</v>
      </c>
      <c r="J30" s="17" t="inlineStr">
        <is>
          <t>2026-07-02</t>
        </is>
      </c>
      <c r="K30" s="17" t="inlineStr">
        <is>
          <t>WEEKLY</t>
        </is>
      </c>
      <c r="L30" s="17" t="n">
        <v>6</v>
      </c>
      <c r="M30" s="17" t="inlineStr">
        <is>
          <t>09:20 IST</t>
        </is>
      </c>
      <c r="N30" s="17" t="inlineStr">
        <is>
          <t>11:12 IST</t>
        </is>
      </c>
      <c r="O30" s="17" t="n">
        <v>24056</v>
      </c>
      <c r="P30" s="17" t="n">
        <v>24021.65</v>
      </c>
      <c r="Q30" s="17" t="inlineStr">
        <is>
          <t>24100 PE</t>
        </is>
      </c>
      <c r="R30" s="17" t="inlineStr">
        <is>
          <t>24000 PE</t>
        </is>
      </c>
      <c r="S30" s="17" t="n">
        <v>21</v>
      </c>
      <c r="T30" s="17" t="n">
        <v>65</v>
      </c>
      <c r="U30" s="17" t="n">
        <v>1365</v>
      </c>
      <c r="V30" s="17" t="n">
        <v>35.93</v>
      </c>
      <c r="W30" s="17" t="n">
        <v>46.71</v>
      </c>
      <c r="X30" s="17" t="n">
        <v>49044.45</v>
      </c>
      <c r="Y30" s="17" t="n">
        <v>49099.37</v>
      </c>
      <c r="Z30" s="17" t="n">
        <v>87455.55</v>
      </c>
      <c r="AA30" s="17" t="n">
        <v>14713.33</v>
      </c>
      <c r="AB30" s="17" t="n">
        <v>14713.33</v>
      </c>
      <c r="AC30" s="17" t="n">
        <v>14714.7</v>
      </c>
      <c r="AD30" s="17" t="n">
        <v>30</v>
      </c>
      <c r="AE30" s="17" t="n">
        <v>40</v>
      </c>
      <c r="AF30" s="17" t="n">
        <v>6.13</v>
      </c>
      <c r="AG30" s="17" t="n">
        <v>0.1</v>
      </c>
      <c r="AH30" s="17" t="n">
        <v>1.47</v>
      </c>
      <c r="AI30" s="17" t="n">
        <v>7.22</v>
      </c>
      <c r="AJ30" s="17" t="n">
        <v>54.92</v>
      </c>
      <c r="AK30" s="17" t="n">
        <v>14659.78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23934.65</v>
      </c>
      <c r="I31" s="16" t="n">
        <v>23794.94</v>
      </c>
      <c r="J31" s="16" t="inlineStr">
        <is>
          <t>2026-07-02</t>
        </is>
      </c>
      <c r="K31" s="16" t="inlineStr">
        <is>
          <t>WEEKLY</t>
        </is>
      </c>
      <c r="L31" s="16" t="n">
        <v>3</v>
      </c>
      <c r="M31" s="16" t="inlineStr">
        <is>
          <t>09:20 IST</t>
        </is>
      </c>
      <c r="N31" s="16" t="inlineStr">
        <is>
          <t>14:07 IST</t>
        </is>
      </c>
      <c r="O31" s="16" t="n">
        <v>23946.25</v>
      </c>
      <c r="P31" s="16" t="n">
        <v>24056</v>
      </c>
      <c r="Q31" s="16" t="inlineStr">
        <is>
          <t>23900 CE</t>
        </is>
      </c>
      <c r="R31" s="16" t="inlineStr">
        <is>
          <t>24000 CE</t>
        </is>
      </c>
      <c r="S31" s="16" t="n">
        <v>23</v>
      </c>
      <c r="T31" s="16" t="n">
        <v>65</v>
      </c>
      <c r="U31" s="16" t="n">
        <v>1495</v>
      </c>
      <c r="V31" s="16" t="n">
        <v>31.78</v>
      </c>
      <c r="W31" s="16" t="n">
        <v>31.9</v>
      </c>
      <c r="X31" s="16" t="n">
        <v>47511.1</v>
      </c>
      <c r="Y31" s="16" t="n">
        <v>47565.78</v>
      </c>
      <c r="Z31" s="16" t="n">
        <v>101988.9</v>
      </c>
      <c r="AA31" s="16" t="n">
        <v>14253.33</v>
      </c>
      <c r="AB31" s="16" t="n">
        <v>14253.33</v>
      </c>
      <c r="AC31" s="16" t="n">
        <v>179.4</v>
      </c>
      <c r="AD31" s="16" t="n">
        <v>0.4</v>
      </c>
      <c r="AE31" s="16" t="n">
        <v>40</v>
      </c>
      <c r="AF31" s="16" t="n">
        <v>5.94</v>
      </c>
      <c r="AG31" s="16" t="n">
        <v>0.1</v>
      </c>
      <c r="AH31" s="16" t="n">
        <v>1.43</v>
      </c>
      <c r="AI31" s="16" t="n">
        <v>7.22</v>
      </c>
      <c r="AJ31" s="16" t="n">
        <v>54.68</v>
      </c>
      <c r="AK31" s="16" t="n">
        <v>124.72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23934.65</v>
      </c>
      <c r="I32" s="15" t="n">
        <v>23794.94</v>
      </c>
      <c r="J32" s="15" t="inlineStr">
        <is>
          <t>2026-07-02</t>
        </is>
      </c>
      <c r="K32" s="15" t="inlineStr">
        <is>
          <t>WEEKLY</t>
        </is>
      </c>
      <c r="L32" s="15" t="n">
        <v>3</v>
      </c>
      <c r="M32" s="15" t="inlineStr">
        <is>
          <t>09:20 IST</t>
        </is>
      </c>
      <c r="N32" s="15" t="inlineStr">
        <is>
          <t>10:02 IST</t>
        </is>
      </c>
      <c r="O32" s="15" t="n">
        <v>23946.25</v>
      </c>
      <c r="P32" s="15" t="n">
        <v>24056</v>
      </c>
      <c r="Q32" s="15" t="inlineStr">
        <is>
          <t>24000 PE</t>
        </is>
      </c>
      <c r="R32" s="15" t="inlineStr">
        <is>
          <t>23900 PE</t>
        </is>
      </c>
      <c r="S32" s="15" t="n">
        <v>23</v>
      </c>
      <c r="T32" s="15" t="n">
        <v>65</v>
      </c>
      <c r="U32" s="15" t="n">
        <v>1495</v>
      </c>
      <c r="V32" s="15" t="n">
        <v>32.25</v>
      </c>
      <c r="W32" s="15" t="n">
        <v>22.57</v>
      </c>
      <c r="X32" s="15" t="n">
        <v>48213.75</v>
      </c>
      <c r="Y32" s="15" t="n">
        <v>48268.54</v>
      </c>
      <c r="Z32" s="15" t="n">
        <v>101286.25</v>
      </c>
      <c r="AA32" s="15" t="n">
        <v>14464.12</v>
      </c>
      <c r="AB32" s="15" t="n">
        <v>14464.12</v>
      </c>
      <c r="AC32" s="15" t="n">
        <v>-14471.6</v>
      </c>
      <c r="AD32" s="15" t="n">
        <v>-30</v>
      </c>
      <c r="AE32" s="15" t="n">
        <v>40</v>
      </c>
      <c r="AF32" s="15" t="n">
        <v>6.03</v>
      </c>
      <c r="AG32" s="15" t="n">
        <v>0.1</v>
      </c>
      <c r="AH32" s="15" t="n">
        <v>1.45</v>
      </c>
      <c r="AI32" s="15" t="n">
        <v>7.22</v>
      </c>
      <c r="AJ32" s="15" t="n">
        <v>54.79</v>
      </c>
      <c r="AK32" s="15" t="n">
        <v>-14526.39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2026-06-30</t>
        </is>
      </c>
      <c r="B33" s="17" t="inlineStr">
        <is>
          <t>NIFTY</t>
        </is>
      </c>
      <c r="C33" s="17" t="inlineStr">
        <is>
          <t>Both Spreads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Price↑(24056.0&gt;24021.65) &amp; EMA9↑(23931.75&gt;23779.81)</t>
        </is>
      </c>
      <c r="H33" s="17" t="n">
        <v>23931.75</v>
      </c>
      <c r="I33" s="17" t="n">
        <v>23779.81</v>
      </c>
      <c r="J33" s="17" t="inlineStr">
        <is>
          <t>2026-07-02</t>
        </is>
      </c>
      <c r="K33" s="17" t="inlineStr">
        <is>
          <t>WEEKLY</t>
        </is>
      </c>
      <c r="L33" s="17" t="n">
        <v>3</v>
      </c>
      <c r="M33" s="17" t="inlineStr">
        <is>
          <t>09:20 IST</t>
        </is>
      </c>
      <c r="N33" s="17" t="inlineStr">
        <is>
          <t>10:34 IST</t>
        </is>
      </c>
      <c r="O33" s="17" t="n">
        <v>24056</v>
      </c>
      <c r="P33" s="17" t="n">
        <v>24021.65</v>
      </c>
      <c r="Q33" s="17" t="inlineStr">
        <is>
          <t>24000 CE</t>
        </is>
      </c>
      <c r="R33" s="17" t="inlineStr">
        <is>
          <t>24100 CE</t>
        </is>
      </c>
      <c r="S33" s="17" t="n">
        <v>28</v>
      </c>
      <c r="T33" s="17" t="n">
        <v>65</v>
      </c>
      <c r="U33" s="17" t="n">
        <v>1820</v>
      </c>
      <c r="V33" s="17" t="n">
        <v>26.29</v>
      </c>
      <c r="W33" s="17" t="n">
        <v>34.18</v>
      </c>
      <c r="X33" s="17" t="n">
        <v>47847.8</v>
      </c>
      <c r="Y33" s="17" t="n">
        <v>47902.53</v>
      </c>
      <c r="Z33" s="17" t="n">
        <v>134152.2</v>
      </c>
      <c r="AA33" s="17" t="n">
        <v>14354.34</v>
      </c>
      <c r="AB33" s="17" t="n">
        <v>14354.34</v>
      </c>
      <c r="AC33" s="17" t="n">
        <v>14359.8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14305.07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2026-06-30</t>
        </is>
      </c>
      <c r="B34" s="17" t="inlineStr">
        <is>
          <t>NIFTY</t>
        </is>
      </c>
      <c r="C34" s="17" t="inlineStr">
        <is>
          <t>Both Spreads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Price↑(24056.0&gt;24021.65) &amp; EMA9↑(23931.75&gt;23779.81)</t>
        </is>
      </c>
      <c r="H34" s="17" t="n">
        <v>23931.75</v>
      </c>
      <c r="I34" s="17" t="n">
        <v>23779.81</v>
      </c>
      <c r="J34" s="17" t="inlineStr">
        <is>
          <t>2026-07-02</t>
        </is>
      </c>
      <c r="K34" s="17" t="inlineStr">
        <is>
          <t>WEEKLY</t>
        </is>
      </c>
      <c r="L34" s="17" t="n">
        <v>3</v>
      </c>
      <c r="M34" s="17" t="inlineStr">
        <is>
          <t>09:20 IST</t>
        </is>
      </c>
      <c r="N34" s="17" t="inlineStr">
        <is>
          <t>11:56 IST</t>
        </is>
      </c>
      <c r="O34" s="17" t="n">
        <v>24056</v>
      </c>
      <c r="P34" s="17" t="n">
        <v>24021.65</v>
      </c>
      <c r="Q34" s="17" t="inlineStr">
        <is>
          <t>24100 PE</t>
        </is>
      </c>
      <c r="R34" s="17" t="inlineStr">
        <is>
          <t>24000 PE</t>
        </is>
      </c>
      <c r="S34" s="17" t="n">
        <v>25</v>
      </c>
      <c r="T34" s="17" t="n">
        <v>65</v>
      </c>
      <c r="U34" s="17" t="n">
        <v>1625</v>
      </c>
      <c r="V34" s="17" t="n">
        <v>29.66</v>
      </c>
      <c r="W34" s="17" t="n">
        <v>38.56</v>
      </c>
      <c r="X34" s="17" t="n">
        <v>48197.5</v>
      </c>
      <c r="Y34" s="17" t="n">
        <v>48252.28</v>
      </c>
      <c r="Z34" s="17" t="n">
        <v>114302.5</v>
      </c>
      <c r="AA34" s="17" t="n">
        <v>14459.25</v>
      </c>
      <c r="AB34" s="17" t="n">
        <v>14459.25</v>
      </c>
      <c r="AC34" s="17" t="n">
        <v>14462.5</v>
      </c>
      <c r="AD34" s="17" t="n">
        <v>30</v>
      </c>
      <c r="AE34" s="17" t="n">
        <v>40</v>
      </c>
      <c r="AF34" s="17" t="n">
        <v>6.02</v>
      </c>
      <c r="AG34" s="17" t="n">
        <v>0.1</v>
      </c>
      <c r="AH34" s="17" t="n">
        <v>1.45</v>
      </c>
      <c r="AI34" s="17" t="n">
        <v>7.22</v>
      </c>
      <c r="AJ34" s="17" t="n">
        <v>54.78</v>
      </c>
      <c r="AK34" s="17" t="n">
        <v>14407.72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23921.32</v>
      </c>
      <c r="I35" s="16" t="n">
        <v>23787.88</v>
      </c>
      <c r="J35" s="16" t="inlineStr">
        <is>
          <t>2026-07-02</t>
        </is>
      </c>
      <c r="K35" s="16" t="inlineStr">
        <is>
          <t>WEEKLY</t>
        </is>
      </c>
      <c r="L35" s="16" t="n">
        <v>2</v>
      </c>
      <c r="M35" s="16" t="inlineStr">
        <is>
          <t>09:20 IST</t>
        </is>
      </c>
      <c r="N35" s="16" t="inlineStr">
        <is>
          <t>15:12 IST</t>
        </is>
      </c>
      <c r="O35" s="16" t="n">
        <v>23865.75</v>
      </c>
      <c r="P35" s="16" t="n">
        <v>23946.25</v>
      </c>
      <c r="Q35" s="16" t="inlineStr">
        <is>
          <t>23800 CE</t>
        </is>
      </c>
      <c r="R35" s="16" t="inlineStr">
        <is>
          <t>23900 CE</t>
        </is>
      </c>
      <c r="S35" s="16" t="n">
        <v>44</v>
      </c>
      <c r="T35" s="16" t="n">
        <v>65</v>
      </c>
      <c r="U35" s="16" t="n">
        <v>2860</v>
      </c>
      <c r="V35" s="16" t="n">
        <v>16.51</v>
      </c>
      <c r="W35" s="16" t="n">
        <v>16.87</v>
      </c>
      <c r="X35" s="16" t="n">
        <v>47218.6</v>
      </c>
      <c r="Y35" s="16" t="n">
        <v>47273.23</v>
      </c>
      <c r="Z35" s="16" t="n">
        <v>238781.4</v>
      </c>
      <c r="AA35" s="16" t="n">
        <v>14165.58</v>
      </c>
      <c r="AB35" s="16" t="n">
        <v>14165.58</v>
      </c>
      <c r="AC35" s="16" t="n">
        <v>1029.6</v>
      </c>
      <c r="AD35" s="16" t="n">
        <v>2.2</v>
      </c>
      <c r="AE35" s="16" t="n">
        <v>40</v>
      </c>
      <c r="AF35" s="16" t="n">
        <v>5.9</v>
      </c>
      <c r="AG35" s="16" t="n">
        <v>0.09</v>
      </c>
      <c r="AH35" s="16" t="n">
        <v>1.42</v>
      </c>
      <c r="AI35" s="16" t="n">
        <v>7.22</v>
      </c>
      <c r="AJ35" s="16" t="n">
        <v>54.63</v>
      </c>
      <c r="AK35" s="16" t="n">
        <v>974.97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2026-06-30</t>
        </is>
      </c>
      <c r="B36" s="16" t="inlineStr">
        <is>
          <t>NIFTY</t>
        </is>
      </c>
      <c r="C36" s="16" t="inlineStr">
        <is>
          <t>Both Spreads</t>
        </is>
      </c>
      <c r="D36" s="16" t="inlineStr">
        <is>
          <t>Bear Put Spread</t>
        </is>
      </c>
      <c r="E36" s="16" t="inlineStr">
        <is>
          <t>SIMULATED</t>
        </is>
      </c>
      <c r="F36" s="16" t="inlineStr">
        <is>
          <t>SKIP</t>
        </is>
      </c>
      <c r="G36" s="16" t="inlineStr">
        <is>
          <t>Conflicting — Price:BEARISH EMA:BULLISH</t>
        </is>
      </c>
      <c r="H36" s="16" t="n">
        <v>23921.32</v>
      </c>
      <c r="I36" s="16" t="n">
        <v>23787.88</v>
      </c>
      <c r="J36" s="16" t="inlineStr">
        <is>
          <t>2026-07-02</t>
        </is>
      </c>
      <c r="K36" s="16" t="inlineStr">
        <is>
          <t>WEEKLY</t>
        </is>
      </c>
      <c r="L36" s="16" t="n">
        <v>2</v>
      </c>
      <c r="M36" s="16" t="inlineStr">
        <is>
          <t>09:20 IST</t>
        </is>
      </c>
      <c r="N36" s="16" t="inlineStr">
        <is>
          <t>14:57 IST</t>
        </is>
      </c>
      <c r="O36" s="16" t="n">
        <v>23865.75</v>
      </c>
      <c r="P36" s="16" t="n">
        <v>23946.25</v>
      </c>
      <c r="Q36" s="16" t="inlineStr">
        <is>
          <t>23900 PE</t>
        </is>
      </c>
      <c r="R36" s="16" t="inlineStr">
        <is>
          <t>23800 PE</t>
        </is>
      </c>
      <c r="S36" s="16" t="n">
        <v>48</v>
      </c>
      <c r="T36" s="16" t="n">
        <v>65</v>
      </c>
      <c r="U36" s="16" t="n">
        <v>3120</v>
      </c>
      <c r="V36" s="16" t="n">
        <v>15.39</v>
      </c>
      <c r="W36" s="16" t="n">
        <v>15.29</v>
      </c>
      <c r="X36" s="16" t="n">
        <v>48016.8</v>
      </c>
      <c r="Y36" s="16" t="n">
        <v>48071.56</v>
      </c>
      <c r="Z36" s="16" t="n">
        <v>263983.2</v>
      </c>
      <c r="AA36" s="16" t="n">
        <v>14405.04</v>
      </c>
      <c r="AB36" s="16" t="n">
        <v>14405.04</v>
      </c>
      <c r="AC36" s="16" t="n">
        <v>-312</v>
      </c>
      <c r="AD36" s="16" t="n">
        <v>-0.6</v>
      </c>
      <c r="AE36" s="16" t="n">
        <v>40</v>
      </c>
      <c r="AF36" s="16" t="n">
        <v>6</v>
      </c>
      <c r="AG36" s="16" t="n">
        <v>0.1</v>
      </c>
      <c r="AH36" s="16" t="n">
        <v>1.44</v>
      </c>
      <c r="AI36" s="16" t="n">
        <v>7.22</v>
      </c>
      <c r="AJ36" s="16" t="n">
        <v>54.76</v>
      </c>
      <c r="AK36" s="16" t="n">
        <v>-366.76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5" t="inlineStr">
        <is>
          <t>2026-07-01</t>
        </is>
      </c>
      <c r="B37" s="15" t="inlineStr">
        <is>
          <t>NIFTY</t>
        </is>
      </c>
      <c r="C37" s="15" t="inlineStr">
        <is>
          <t>Both Spreads</t>
        </is>
      </c>
      <c r="D37" s="15" t="inlineStr">
        <is>
          <t>Bull Call Spread</t>
        </is>
      </c>
      <c r="E37" s="15" t="inlineStr">
        <is>
          <t>SIMULATED</t>
        </is>
      </c>
      <c r="F37" s="15" t="inlineStr">
        <is>
          <t>SKIP</t>
        </is>
      </c>
      <c r="G37" s="15" t="inlineStr">
        <is>
          <t>Conflicting — Price:BEARISH EMA:BULLISH</t>
        </is>
      </c>
      <c r="H37" s="15" t="n">
        <v>23935.21</v>
      </c>
      <c r="I37" s="15" t="n">
        <v>23780.09</v>
      </c>
      <c r="J37" s="15" t="inlineStr">
        <is>
          <t>2026-07-02</t>
        </is>
      </c>
      <c r="K37" s="15" t="inlineStr">
        <is>
          <t>WEEKLY</t>
        </is>
      </c>
      <c r="L37" s="15" t="n">
        <v>2</v>
      </c>
      <c r="M37" s="15" t="inlineStr">
        <is>
          <t>09:20 IST</t>
        </is>
      </c>
      <c r="N37" s="15" t="inlineStr">
        <is>
          <t>09:57 IST</t>
        </is>
      </c>
      <c r="O37" s="15" t="n">
        <v>23946.25</v>
      </c>
      <c r="P37" s="15" t="n">
        <v>24056</v>
      </c>
      <c r="Q37" s="15" t="inlineStr">
        <is>
          <t>23900 CE</t>
        </is>
      </c>
      <c r="R37" s="15" t="inlineStr">
        <is>
          <t>24000 CE</t>
        </is>
      </c>
      <c r="S37" s="15" t="n">
        <v>40</v>
      </c>
      <c r="T37" s="15" t="n">
        <v>65</v>
      </c>
      <c r="U37" s="15" t="n">
        <v>2600</v>
      </c>
      <c r="V37" s="15" t="n">
        <v>18.53</v>
      </c>
      <c r="W37" s="15" t="n">
        <v>12.97</v>
      </c>
      <c r="X37" s="15" t="n">
        <v>48178</v>
      </c>
      <c r="Y37" s="15" t="n">
        <v>48232.78</v>
      </c>
      <c r="Z37" s="15" t="n">
        <v>211822</v>
      </c>
      <c r="AA37" s="15" t="n">
        <v>14453.4</v>
      </c>
      <c r="AB37" s="15" t="n">
        <v>14453.4</v>
      </c>
      <c r="AC37" s="15" t="n">
        <v>-14456</v>
      </c>
      <c r="AD37" s="15" t="n">
        <v>-30</v>
      </c>
      <c r="AE37" s="15" t="n">
        <v>40</v>
      </c>
      <c r="AF37" s="15" t="n">
        <v>6.02</v>
      </c>
      <c r="AG37" s="15" t="n">
        <v>0.1</v>
      </c>
      <c r="AH37" s="15" t="n">
        <v>1.45</v>
      </c>
      <c r="AI37" s="15" t="n">
        <v>7.22</v>
      </c>
      <c r="AJ37" s="15" t="n">
        <v>54.78</v>
      </c>
      <c r="AK37" s="15" t="n">
        <v>-14510.78</v>
      </c>
      <c r="AL37" s="15" t="inlineStr">
        <is>
          <t>STOP LOSS</t>
        </is>
      </c>
      <c r="AM37" s="15" t="n">
        <v>50000</v>
      </c>
      <c r="AN37" s="15" t="inlineStr">
        <is>
          <t>PAPER TRADING</t>
        </is>
      </c>
    </row>
    <row r="38">
      <c r="A38" s="17" t="inlineStr">
        <is>
          <t>2026-07-01</t>
        </is>
      </c>
      <c r="B38" s="17" t="inlineStr">
        <is>
          <t>NIFTY</t>
        </is>
      </c>
      <c r="C38" s="17" t="inlineStr">
        <is>
          <t>Both Spreads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SKIP</t>
        </is>
      </c>
      <c r="G38" s="17" t="inlineStr">
        <is>
          <t>Conflicting — Price:BEARISH EMA:BULLISH</t>
        </is>
      </c>
      <c r="H38" s="17" t="n">
        <v>23935.21</v>
      </c>
      <c r="I38" s="17" t="n">
        <v>23780.09</v>
      </c>
      <c r="J38" s="17" t="inlineStr">
        <is>
          <t>2026-07-02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09:57 IST</t>
        </is>
      </c>
      <c r="O38" s="17" t="n">
        <v>23946.25</v>
      </c>
      <c r="P38" s="17" t="n">
        <v>24056</v>
      </c>
      <c r="Q38" s="17" t="inlineStr">
        <is>
          <t>24000 PE</t>
        </is>
      </c>
      <c r="R38" s="17" t="inlineStr">
        <is>
          <t>23900 PE</t>
        </is>
      </c>
      <c r="S38" s="17" t="n">
        <v>48</v>
      </c>
      <c r="T38" s="17" t="n">
        <v>65</v>
      </c>
      <c r="U38" s="17" t="n">
        <v>3120</v>
      </c>
      <c r="V38" s="17" t="n">
        <v>15.39</v>
      </c>
      <c r="W38" s="17" t="n">
        <v>20.01</v>
      </c>
      <c r="X38" s="17" t="n">
        <v>48016.8</v>
      </c>
      <c r="Y38" s="17" t="n">
        <v>48071.56</v>
      </c>
      <c r="Z38" s="17" t="n">
        <v>263983.2</v>
      </c>
      <c r="AA38" s="17" t="n">
        <v>14405.04</v>
      </c>
      <c r="AB38" s="17" t="n">
        <v>14405.04</v>
      </c>
      <c r="AC38" s="17" t="n">
        <v>14414.4</v>
      </c>
      <c r="AD38" s="17" t="n">
        <v>30</v>
      </c>
      <c r="AE38" s="17" t="n">
        <v>40</v>
      </c>
      <c r="AF38" s="17" t="n">
        <v>6</v>
      </c>
      <c r="AG38" s="17" t="n">
        <v>0.1</v>
      </c>
      <c r="AH38" s="17" t="n">
        <v>1.44</v>
      </c>
      <c r="AI38" s="17" t="n">
        <v>7.22</v>
      </c>
      <c r="AJ38" s="17" t="n">
        <v>54.76</v>
      </c>
      <c r="AK38" s="17" t="n">
        <v>14359.64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Price↑(24005.85&gt;23865.75) &amp; EMA9↑(23938.67&gt;23797.85)</t>
        </is>
      </c>
      <c r="H39" s="17" t="n">
        <v>23938.67</v>
      </c>
      <c r="I39" s="17" t="n">
        <v>23797.85</v>
      </c>
      <c r="J39" s="17" t="inlineStr">
        <is>
          <t>2026-07-02</t>
        </is>
      </c>
      <c r="K39" s="17" t="inlineStr">
        <is>
          <t>WEEKLY</t>
        </is>
      </c>
      <c r="L39" s="17" t="n">
        <v>1</v>
      </c>
      <c r="M39" s="17" t="inlineStr">
        <is>
          <t>09:20 IST</t>
        </is>
      </c>
      <c r="N39" s="17" t="inlineStr">
        <is>
          <t>10:09 IST</t>
        </is>
      </c>
      <c r="O39" s="17" t="n">
        <v>24005.85</v>
      </c>
      <c r="P39" s="17" t="n">
        <v>23865.75</v>
      </c>
      <c r="Q39" s="17" t="inlineStr">
        <is>
          <t>24000 CE</t>
        </is>
      </c>
      <c r="R39" s="17" t="inlineStr">
        <is>
          <t>24100 CE</t>
        </is>
      </c>
      <c r="S39" s="17" t="n">
        <v>33</v>
      </c>
      <c r="T39" s="17" t="n">
        <v>65</v>
      </c>
      <c r="U39" s="17" t="n">
        <v>2145</v>
      </c>
      <c r="V39" s="17" t="n">
        <v>22.57</v>
      </c>
      <c r="W39" s="17" t="n">
        <v>29.34</v>
      </c>
      <c r="X39" s="17" t="n">
        <v>48412.65</v>
      </c>
      <c r="Y39" s="17" t="n">
        <v>48467.47</v>
      </c>
      <c r="Z39" s="17" t="n">
        <v>166087.35</v>
      </c>
      <c r="AA39" s="17" t="n">
        <v>14523.8</v>
      </c>
      <c r="AB39" s="17" t="n">
        <v>14523.8</v>
      </c>
      <c r="AC39" s="17" t="n">
        <v>14521.65</v>
      </c>
      <c r="AD39" s="17" t="n">
        <v>30</v>
      </c>
      <c r="AE39" s="17" t="n">
        <v>40</v>
      </c>
      <c r="AF39" s="17" t="n">
        <v>6.05</v>
      </c>
      <c r="AG39" s="17" t="n">
        <v>0.1</v>
      </c>
      <c r="AH39" s="17" t="n">
        <v>1.45</v>
      </c>
      <c r="AI39" s="17" t="n">
        <v>7.22</v>
      </c>
      <c r="AJ39" s="17" t="n">
        <v>54.82</v>
      </c>
      <c r="AK39" s="17" t="n">
        <v>14466.83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2026-07-01</t>
        </is>
      </c>
      <c r="B40" s="17" t="inlineStr">
        <is>
          <t>NIFTY</t>
        </is>
      </c>
      <c r="C40" s="17" t="inlineStr">
        <is>
          <t>Both Spreads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Price↑(24005.85&gt;23865.75) &amp; EMA9↑(23938.67&gt;23797.85)</t>
        </is>
      </c>
      <c r="H40" s="17" t="n">
        <v>23938.67</v>
      </c>
      <c r="I40" s="17" t="n">
        <v>23797.85</v>
      </c>
      <c r="J40" s="17" t="inlineStr">
        <is>
          <t>2026-07-02</t>
        </is>
      </c>
      <c r="K40" s="17" t="inlineStr">
        <is>
          <t>WEEKLY</t>
        </is>
      </c>
      <c r="L40" s="17" t="n">
        <v>1</v>
      </c>
      <c r="M40" s="17" t="inlineStr">
        <is>
          <t>09:20 IST</t>
        </is>
      </c>
      <c r="N40" s="17" t="inlineStr">
        <is>
          <t>11:51 IST</t>
        </is>
      </c>
      <c r="O40" s="17" t="n">
        <v>24005.85</v>
      </c>
      <c r="P40" s="17" t="n">
        <v>23865.75</v>
      </c>
      <c r="Q40" s="17" t="inlineStr">
        <is>
          <t>24100 PE</t>
        </is>
      </c>
      <c r="R40" s="17" t="inlineStr">
        <is>
          <t>24000 PE</t>
        </is>
      </c>
      <c r="S40" s="17" t="n">
        <v>40</v>
      </c>
      <c r="T40" s="17" t="n">
        <v>65</v>
      </c>
      <c r="U40" s="17" t="n">
        <v>2600</v>
      </c>
      <c r="V40" s="17" t="n">
        <v>18.49</v>
      </c>
      <c r="W40" s="17" t="n">
        <v>24.04</v>
      </c>
      <c r="X40" s="17" t="n">
        <v>48074</v>
      </c>
      <c r="Y40" s="17" t="n">
        <v>48128.76</v>
      </c>
      <c r="Z40" s="17" t="n">
        <v>211926</v>
      </c>
      <c r="AA40" s="17" t="n">
        <v>14422.2</v>
      </c>
      <c r="AB40" s="17" t="n">
        <v>14422.2</v>
      </c>
      <c r="AC40" s="17" t="n">
        <v>14430</v>
      </c>
      <c r="AD40" s="17" t="n">
        <v>30</v>
      </c>
      <c r="AE40" s="17" t="n">
        <v>40</v>
      </c>
      <c r="AF40" s="17" t="n">
        <v>6.01</v>
      </c>
      <c r="AG40" s="17" t="n">
        <v>0.1</v>
      </c>
      <c r="AH40" s="17" t="n">
        <v>1.44</v>
      </c>
      <c r="AI40" s="17" t="n">
        <v>7.22</v>
      </c>
      <c r="AJ40" s="17" t="n">
        <v>54.76</v>
      </c>
      <c r="AK40" s="17" t="n">
        <v>14375.24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2026-07-02</t>
        </is>
      </c>
      <c r="B41" s="15" t="inlineStr">
        <is>
          <t>NIFTY</t>
        </is>
      </c>
      <c r="C41" s="15" t="inlineStr">
        <is>
          <t>Both Spreads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23921.87</v>
      </c>
      <c r="I41" s="15" t="n">
        <v>23777.05</v>
      </c>
      <c r="J41" s="15" t="inlineStr">
        <is>
          <t>2026-07-02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09:52 IST</t>
        </is>
      </c>
      <c r="O41" s="15" t="n">
        <v>23865.75</v>
      </c>
      <c r="P41" s="15" t="n">
        <v>23946.25</v>
      </c>
      <c r="Q41" s="15" t="inlineStr">
        <is>
          <t>23800 CE</t>
        </is>
      </c>
      <c r="R41" s="15" t="inlineStr">
        <is>
          <t>23900 CE</t>
        </is>
      </c>
      <c r="S41" s="15" t="n">
        <v>30</v>
      </c>
      <c r="T41" s="15" t="n">
        <v>65</v>
      </c>
      <c r="U41" s="15" t="n">
        <v>1950</v>
      </c>
      <c r="V41" s="15" t="n">
        <v>24.74</v>
      </c>
      <c r="W41" s="15" t="n">
        <v>17.32</v>
      </c>
      <c r="X41" s="15" t="n">
        <v>48243</v>
      </c>
      <c r="Y41" s="15" t="n">
        <v>48297.79</v>
      </c>
      <c r="Z41" s="15" t="n">
        <v>146757</v>
      </c>
      <c r="AA41" s="15" t="n">
        <v>14472.9</v>
      </c>
      <c r="AB41" s="15" t="n">
        <v>14472.9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5" t="inlineStr">
        <is>
          <t>2026-07-02</t>
        </is>
      </c>
      <c r="B42" s="15" t="inlineStr">
        <is>
          <t>NIFTY</t>
        </is>
      </c>
      <c r="C42" s="15" t="inlineStr">
        <is>
          <t>Both Spreads</t>
        </is>
      </c>
      <c r="D42" s="15" t="inlineStr">
        <is>
          <t>Bear Put Spread</t>
        </is>
      </c>
      <c r="E42" s="15" t="inlineStr">
        <is>
          <t>SIMULATED</t>
        </is>
      </c>
      <c r="F42" s="15" t="inlineStr">
        <is>
          <t>SKIP</t>
        </is>
      </c>
      <c r="G42" s="15" t="inlineStr">
        <is>
          <t>Conflicting — Price:BEARISH EMA:BULLISH</t>
        </is>
      </c>
      <c r="H42" s="15" t="n">
        <v>23921.87</v>
      </c>
      <c r="I42" s="15" t="n">
        <v>23777.05</v>
      </c>
      <c r="J42" s="15" t="inlineStr">
        <is>
          <t>2026-07-02</t>
        </is>
      </c>
      <c r="K42" s="15" t="inlineStr">
        <is>
          <t>WEEKLY</t>
        </is>
      </c>
      <c r="L42" s="15" t="n">
        <v>1</v>
      </c>
      <c r="M42" s="15" t="inlineStr">
        <is>
          <t>09:20 IST</t>
        </is>
      </c>
      <c r="N42" s="15" t="inlineStr">
        <is>
          <t>09:56 IST</t>
        </is>
      </c>
      <c r="O42" s="15" t="n">
        <v>23865.75</v>
      </c>
      <c r="P42" s="15" t="n">
        <v>23946.25</v>
      </c>
      <c r="Q42" s="15" t="inlineStr">
        <is>
          <t>23900 PE</t>
        </is>
      </c>
      <c r="R42" s="15" t="inlineStr">
        <is>
          <t>23800 PE</t>
        </is>
      </c>
      <c r="S42" s="15" t="n">
        <v>37</v>
      </c>
      <c r="T42" s="15" t="n">
        <v>65</v>
      </c>
      <c r="U42" s="15" t="n">
        <v>2405</v>
      </c>
      <c r="V42" s="15" t="n">
        <v>19.92</v>
      </c>
      <c r="W42" s="15" t="n">
        <v>13.94</v>
      </c>
      <c r="X42" s="15" t="n">
        <v>47907.6</v>
      </c>
      <c r="Y42" s="15" t="n">
        <v>47962.34</v>
      </c>
      <c r="Z42" s="15" t="n">
        <v>192592.4</v>
      </c>
      <c r="AA42" s="15" t="n">
        <v>14372.28</v>
      </c>
      <c r="AB42" s="15" t="n">
        <v>14372.28</v>
      </c>
      <c r="AC42" s="15" t="n">
        <v>-14381.9</v>
      </c>
      <c r="AD42" s="15" t="n">
        <v>-30</v>
      </c>
      <c r="AE42" s="15" t="n">
        <v>40</v>
      </c>
      <c r="AF42" s="15" t="n">
        <v>5.99</v>
      </c>
      <c r="AG42" s="15" t="n">
        <v>0.1</v>
      </c>
      <c r="AH42" s="15" t="n">
        <v>1.44</v>
      </c>
      <c r="AI42" s="15" t="n">
        <v>7.22</v>
      </c>
      <c r="AJ42" s="15" t="n">
        <v>54.74</v>
      </c>
      <c r="AK42" s="15" t="n">
        <v>-14436.64</v>
      </c>
      <c r="AL42" s="15" t="inlineStr">
        <is>
          <t>STOP LOSS</t>
        </is>
      </c>
      <c r="AM42" s="15" t="n">
        <v>50000</v>
      </c>
      <c r="AN42" s="15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Price↑(24175.7&gt;24005.85) &amp; EMA9↑(23986.43&gt;23821.26)</t>
        </is>
      </c>
      <c r="H43" s="17" t="n">
        <v>23986.43</v>
      </c>
      <c r="I43" s="17" t="n">
        <v>23821.26</v>
      </c>
      <c r="J43" s="17" t="inlineStr">
        <is>
          <t>2026-07-02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12:09 IST</t>
        </is>
      </c>
      <c r="O43" s="17" t="n">
        <v>24175.7</v>
      </c>
      <c r="P43" s="17" t="n">
        <v>24005.85</v>
      </c>
      <c r="Q43" s="17" t="inlineStr">
        <is>
          <t>24100 CE</t>
        </is>
      </c>
      <c r="R43" s="17" t="inlineStr">
        <is>
          <t>24200 CE</t>
        </is>
      </c>
      <c r="S43" s="17" t="n">
        <v>32</v>
      </c>
      <c r="T43" s="17" t="n">
        <v>65</v>
      </c>
      <c r="U43" s="17" t="n">
        <v>2080</v>
      </c>
      <c r="V43" s="17" t="n">
        <v>22.77</v>
      </c>
      <c r="W43" s="17" t="n">
        <v>29.6</v>
      </c>
      <c r="X43" s="17" t="n">
        <v>47361.6</v>
      </c>
      <c r="Y43" s="17" t="n">
        <v>47416.25</v>
      </c>
      <c r="Z43" s="17" t="n">
        <v>160638.4</v>
      </c>
      <c r="AA43" s="17" t="n">
        <v>14208.48</v>
      </c>
      <c r="AB43" s="17" t="n">
        <v>14208.48</v>
      </c>
      <c r="AC43" s="17" t="n">
        <v>14206.4</v>
      </c>
      <c r="AD43" s="17" t="n">
        <v>30</v>
      </c>
      <c r="AE43" s="17" t="n">
        <v>40</v>
      </c>
      <c r="AF43" s="17" t="n">
        <v>5.92</v>
      </c>
      <c r="AG43" s="17" t="n">
        <v>0.09</v>
      </c>
      <c r="AH43" s="17" t="n">
        <v>1.42</v>
      </c>
      <c r="AI43" s="17" t="n">
        <v>7.22</v>
      </c>
      <c r="AJ43" s="17" t="n">
        <v>54.65</v>
      </c>
      <c r="AK43" s="17" t="n">
        <v>14151.75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BULLISH</t>
        </is>
      </c>
      <c r="G44" s="16" t="inlineStr">
        <is>
          <t>Price↑(24175.7&gt;24005.85) &amp; EMA9↑(23986.43&gt;23821.26)</t>
        </is>
      </c>
      <c r="H44" s="16" t="n">
        <v>23986.43</v>
      </c>
      <c r="I44" s="16" t="n">
        <v>23821.26</v>
      </c>
      <c r="J44" s="16" t="inlineStr">
        <is>
          <t>2026-07-02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13:56 IST</t>
        </is>
      </c>
      <c r="O44" s="16" t="n">
        <v>24175.7</v>
      </c>
      <c r="P44" s="16" t="n">
        <v>24005.85</v>
      </c>
      <c r="Q44" s="16" t="inlineStr">
        <is>
          <t>24200 PE</t>
        </is>
      </c>
      <c r="R44" s="16" t="inlineStr">
        <is>
          <t>24100 PE</t>
        </is>
      </c>
      <c r="S44" s="16" t="n">
        <v>49</v>
      </c>
      <c r="T44" s="16" t="n">
        <v>65</v>
      </c>
      <c r="U44" s="16" t="n">
        <v>3185</v>
      </c>
      <c r="V44" s="16" t="n">
        <v>15.02</v>
      </c>
      <c r="W44" s="16" t="n">
        <v>14.6</v>
      </c>
      <c r="X44" s="16" t="n">
        <v>47838.7</v>
      </c>
      <c r="Y44" s="16" t="n">
        <v>47893.43</v>
      </c>
      <c r="Z44" s="16" t="n">
        <v>270661.3</v>
      </c>
      <c r="AA44" s="16" t="n">
        <v>14351.61</v>
      </c>
      <c r="AB44" s="16" t="n">
        <v>14351.61</v>
      </c>
      <c r="AC44" s="16" t="n">
        <v>-1337.7</v>
      </c>
      <c r="AD44" s="16" t="n">
        <v>-2.8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-1392.43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Price↑(24005.85&gt;23865.75) &amp; EMA9↑(23939.11&gt;23785.81)</t>
        </is>
      </c>
      <c r="H45" s="17" t="n">
        <v>23939.11</v>
      </c>
      <c r="I45" s="17" t="n">
        <v>23785.81</v>
      </c>
      <c r="J45" s="17" t="inlineStr">
        <is>
          <t>2026-07-02</t>
        </is>
      </c>
      <c r="K45" s="17" t="inlineStr">
        <is>
          <t>WEEKLY</t>
        </is>
      </c>
      <c r="L45" s="17" t="n">
        <v>0</v>
      </c>
      <c r="M45" s="17" t="inlineStr">
        <is>
          <t>09:20 IST</t>
        </is>
      </c>
      <c r="N45" s="17" t="inlineStr">
        <is>
          <t>10:54 IST</t>
        </is>
      </c>
      <c r="O45" s="17" t="n">
        <v>24005.85</v>
      </c>
      <c r="P45" s="17" t="n">
        <v>23865.75</v>
      </c>
      <c r="Q45" s="17" t="inlineStr">
        <is>
          <t>24000 CE</t>
        </is>
      </c>
      <c r="R45" s="17" t="inlineStr">
        <is>
          <t>24100 CE</t>
        </is>
      </c>
      <c r="S45" s="17" t="n">
        <v>40</v>
      </c>
      <c r="T45" s="17" t="n">
        <v>65</v>
      </c>
      <c r="U45" s="17" t="n">
        <v>2600</v>
      </c>
      <c r="V45" s="17" t="n">
        <v>18.38</v>
      </c>
      <c r="W45" s="17" t="n">
        <v>23.89</v>
      </c>
      <c r="X45" s="17" t="n">
        <v>47788</v>
      </c>
      <c r="Y45" s="17" t="n">
        <v>47842.72</v>
      </c>
      <c r="Z45" s="17" t="n">
        <v>212212</v>
      </c>
      <c r="AA45" s="17" t="n">
        <v>14336.4</v>
      </c>
      <c r="AB45" s="17" t="n">
        <v>14336.4</v>
      </c>
      <c r="AC45" s="17" t="n">
        <v>14326</v>
      </c>
      <c r="AD45" s="17" t="n">
        <v>30</v>
      </c>
      <c r="AE45" s="17" t="n">
        <v>40</v>
      </c>
      <c r="AF45" s="17" t="n">
        <v>5.97</v>
      </c>
      <c r="AG45" s="17" t="n">
        <v>0.1</v>
      </c>
      <c r="AH45" s="17" t="n">
        <v>1.43</v>
      </c>
      <c r="AI45" s="17" t="n">
        <v>7.22</v>
      </c>
      <c r="AJ45" s="17" t="n">
        <v>54.72</v>
      </c>
      <c r="AK45" s="17" t="n">
        <v>14271.28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6" t="inlineStr">
        <is>
          <t>2026-07-03</t>
        </is>
      </c>
      <c r="B46" s="16" t="inlineStr">
        <is>
          <t>NIFTY</t>
        </is>
      </c>
      <c r="C46" s="16" t="inlineStr">
        <is>
          <t>Both Spreads</t>
        </is>
      </c>
      <c r="D46" s="16" t="inlineStr">
        <is>
          <t>Bear Put Spread</t>
        </is>
      </c>
      <c r="E46" s="16" t="inlineStr">
        <is>
          <t>SIMULATED</t>
        </is>
      </c>
      <c r="F46" s="16" t="inlineStr">
        <is>
          <t>BULLISH</t>
        </is>
      </c>
      <c r="G46" s="16" t="inlineStr">
        <is>
          <t>Price↑(24005.85&gt;23865.75) &amp; EMA9↑(23939.11&gt;23785.81)</t>
        </is>
      </c>
      <c r="H46" s="16" t="n">
        <v>23939.11</v>
      </c>
      <c r="I46" s="16" t="n">
        <v>23785.81</v>
      </c>
      <c r="J46" s="16" t="inlineStr">
        <is>
          <t>2026-07-02</t>
        </is>
      </c>
      <c r="K46" s="16" t="inlineStr">
        <is>
          <t>WEEKLY</t>
        </is>
      </c>
      <c r="L46" s="16" t="n">
        <v>0</v>
      </c>
      <c r="M46" s="16" t="inlineStr">
        <is>
          <t>09:20 IST</t>
        </is>
      </c>
      <c r="N46" s="16" t="inlineStr">
        <is>
          <t>14:41 IST</t>
        </is>
      </c>
      <c r="O46" s="16" t="n">
        <v>24005.85</v>
      </c>
      <c r="P46" s="16" t="n">
        <v>23865.75</v>
      </c>
      <c r="Q46" s="16" t="inlineStr">
        <is>
          <t>24100 PE</t>
        </is>
      </c>
      <c r="R46" s="16" t="inlineStr">
        <is>
          <t>24000 PE</t>
        </is>
      </c>
      <c r="S46" s="16" t="n">
        <v>48</v>
      </c>
      <c r="T46" s="16" t="n">
        <v>65</v>
      </c>
      <c r="U46" s="16" t="n">
        <v>3120</v>
      </c>
      <c r="V46" s="16" t="n">
        <v>15.16</v>
      </c>
      <c r="W46" s="16" t="n">
        <v>14.77</v>
      </c>
      <c r="X46" s="16" t="n">
        <v>47299.2</v>
      </c>
      <c r="Y46" s="16" t="n">
        <v>47353.84</v>
      </c>
      <c r="Z46" s="16" t="n">
        <v>264700.8</v>
      </c>
      <c r="AA46" s="16" t="n">
        <v>14189.76</v>
      </c>
      <c r="AB46" s="16" t="n">
        <v>14189.76</v>
      </c>
      <c r="AC46" s="16" t="n">
        <v>-1216.8</v>
      </c>
      <c r="AD46" s="16" t="n">
        <v>-2.6</v>
      </c>
      <c r="AE46" s="16" t="n">
        <v>40</v>
      </c>
      <c r="AF46" s="16" t="n">
        <v>5.91</v>
      </c>
      <c r="AG46" s="16" t="n">
        <v>0.09</v>
      </c>
      <c r="AH46" s="16" t="n">
        <v>1.42</v>
      </c>
      <c r="AI46" s="16" t="n">
        <v>7.22</v>
      </c>
      <c r="AJ46" s="16" t="n">
        <v>54.64</v>
      </c>
      <c r="AK46" s="16" t="n">
        <v>-1271.44</v>
      </c>
      <c r="AL46" s="16" t="inlineStr">
        <is>
          <t>FLAT</t>
        </is>
      </c>
      <c r="AM46" s="16" t="n">
        <v>50000</v>
      </c>
      <c r="AN46" s="16" t="inlineStr">
        <is>
          <t>PAPER TRADING</t>
        </is>
      </c>
    </row>
    <row r="47">
      <c r="A47" s="17" t="inlineStr">
        <is>
          <t>2026-07-03</t>
        </is>
      </c>
      <c r="B47" s="17" t="inlineStr">
        <is>
          <t>NIFTY</t>
        </is>
      </c>
      <c r="C47" s="17" t="inlineStr">
        <is>
          <t>Both Spreads</t>
        </is>
      </c>
      <c r="D47" s="17" t="inlineStr">
        <is>
          <t>Bull Call Spread</t>
        </is>
      </c>
      <c r="E47" s="17" t="inlineStr">
        <is>
          <t>SIMULATED</t>
        </is>
      </c>
      <c r="F47" s="17" t="inlineStr">
        <is>
          <t>BULLISH</t>
        </is>
      </c>
      <c r="G47" s="17" t="inlineStr">
        <is>
          <t>Price↑(24270.85&gt;24175.7) &amp; EMA9↑(24043.55&gt;23856.79)</t>
        </is>
      </c>
      <c r="H47" s="17" t="n">
        <v>24043.55</v>
      </c>
      <c r="I47" s="17" t="n">
        <v>23856.79</v>
      </c>
      <c r="J47" s="17" t="inlineStr">
        <is>
          <t>2026-07-09</t>
        </is>
      </c>
      <c r="K47" s="17" t="inlineStr">
        <is>
          <t>WEEKLY</t>
        </is>
      </c>
      <c r="L47" s="17" t="n">
        <v>6</v>
      </c>
      <c r="M47" s="17" t="inlineStr">
        <is>
          <t>09:20 IST</t>
        </is>
      </c>
      <c r="N47" s="17" t="inlineStr">
        <is>
          <t>10:45 IST</t>
        </is>
      </c>
      <c r="O47" s="17" t="n">
        <v>24270.85</v>
      </c>
      <c r="P47" s="17" t="n">
        <v>24175.7</v>
      </c>
      <c r="Q47" s="17" t="inlineStr">
        <is>
          <t>24200 CE</t>
        </is>
      </c>
      <c r="R47" s="17" t="inlineStr">
        <is>
          <t>24300 CE</t>
        </is>
      </c>
      <c r="S47" s="17" t="n">
        <v>23</v>
      </c>
      <c r="T47" s="17" t="n">
        <v>65</v>
      </c>
      <c r="U47" s="17" t="n">
        <v>1495</v>
      </c>
      <c r="V47" s="17" t="n">
        <v>31.53</v>
      </c>
      <c r="W47" s="17" t="n">
        <v>40.99</v>
      </c>
      <c r="X47" s="17" t="n">
        <v>47137.35</v>
      </c>
      <c r="Y47" s="17" t="n">
        <v>47191.97</v>
      </c>
      <c r="Z47" s="17" t="n">
        <v>102362.65</v>
      </c>
      <c r="AA47" s="17" t="n">
        <v>14141.2</v>
      </c>
      <c r="AB47" s="17" t="n">
        <v>14141.2</v>
      </c>
      <c r="AC47" s="17" t="n">
        <v>14142.7</v>
      </c>
      <c r="AD47" s="17" t="n">
        <v>30</v>
      </c>
      <c r="AE47" s="17" t="n">
        <v>40</v>
      </c>
      <c r="AF47" s="17" t="n">
        <v>5.89</v>
      </c>
      <c r="AG47" s="17" t="n">
        <v>0.09</v>
      </c>
      <c r="AH47" s="17" t="n">
        <v>1.41</v>
      </c>
      <c r="AI47" s="17" t="n">
        <v>7.22</v>
      </c>
      <c r="AJ47" s="17" t="n">
        <v>54.62</v>
      </c>
      <c r="AK47" s="17" t="n">
        <v>14088.08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BULLISH</t>
        </is>
      </c>
      <c r="G48" s="15" t="inlineStr">
        <is>
          <t>Price↑(24270.85&gt;24175.7) &amp; EMA9↑(24043.55&gt;23856.79)</t>
        </is>
      </c>
      <c r="H48" s="15" t="n">
        <v>24043.55</v>
      </c>
      <c r="I48" s="15" t="n">
        <v>23856.79</v>
      </c>
      <c r="J48" s="15" t="inlineStr">
        <is>
          <t>2026-07-09</t>
        </is>
      </c>
      <c r="K48" s="15" t="inlineStr">
        <is>
          <t>WEEKLY</t>
        </is>
      </c>
      <c r="L48" s="15" t="n">
        <v>6</v>
      </c>
      <c r="M48" s="15" t="inlineStr">
        <is>
          <t>09:20 IST</t>
        </is>
      </c>
      <c r="N48" s="15" t="inlineStr">
        <is>
          <t>10:57 IST</t>
        </is>
      </c>
      <c r="O48" s="15" t="n">
        <v>24270.85</v>
      </c>
      <c r="P48" s="15" t="n">
        <v>24175.7</v>
      </c>
      <c r="Q48" s="15" t="inlineStr">
        <is>
          <t>24300 PE</t>
        </is>
      </c>
      <c r="R48" s="15" t="inlineStr">
        <is>
          <t>24200 PE</t>
        </is>
      </c>
      <c r="S48" s="15" t="n">
        <v>21</v>
      </c>
      <c r="T48" s="15" t="n">
        <v>65</v>
      </c>
      <c r="U48" s="15" t="n">
        <v>1365</v>
      </c>
      <c r="V48" s="15" t="n">
        <v>35.01</v>
      </c>
      <c r="W48" s="15" t="n">
        <v>24.51</v>
      </c>
      <c r="X48" s="15" t="n">
        <v>47788.65</v>
      </c>
      <c r="Y48" s="15" t="n">
        <v>47843.37</v>
      </c>
      <c r="Z48" s="15" t="n">
        <v>88711.35000000001</v>
      </c>
      <c r="AA48" s="15" t="n">
        <v>14336.59</v>
      </c>
      <c r="AB48" s="15" t="n">
        <v>14336.59</v>
      </c>
      <c r="AC48" s="15" t="n">
        <v>-14332.5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-14387.22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2026-07-04</t>
        </is>
      </c>
      <c r="B49" s="17" t="inlineStr">
        <is>
          <t>NIFTY</t>
        </is>
      </c>
      <c r="C49" s="17" t="inlineStr">
        <is>
          <t>Both Spreads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Price↑(24175.7&gt;24005.85) &amp; EMA9↑(23986.73&gt;23815.39)</t>
        </is>
      </c>
      <c r="H49" s="17" t="n">
        <v>23986.73</v>
      </c>
      <c r="I49" s="17" t="n">
        <v>23815.39</v>
      </c>
      <c r="J49" s="17" t="inlineStr">
        <is>
          <t>2026-07-09</t>
        </is>
      </c>
      <c r="K49" s="17" t="inlineStr">
        <is>
          <t>WEEKLY</t>
        </is>
      </c>
      <c r="L49" s="17" t="n">
        <v>6</v>
      </c>
      <c r="M49" s="17" t="inlineStr">
        <is>
          <t>09:20 IST</t>
        </is>
      </c>
      <c r="N49" s="17" t="inlineStr">
        <is>
          <t>12:02 IST</t>
        </is>
      </c>
      <c r="O49" s="17" t="n">
        <v>24175.7</v>
      </c>
      <c r="P49" s="17" t="n">
        <v>24005.85</v>
      </c>
      <c r="Q49" s="17" t="inlineStr">
        <is>
          <t>24100 CE</t>
        </is>
      </c>
      <c r="R49" s="17" t="inlineStr">
        <is>
          <t>24200 CE</t>
        </is>
      </c>
      <c r="S49" s="17" t="n">
        <v>21</v>
      </c>
      <c r="T49" s="17" t="n">
        <v>65</v>
      </c>
      <c r="U49" s="17" t="n">
        <v>1365</v>
      </c>
      <c r="V49" s="17" t="n">
        <v>35.45</v>
      </c>
      <c r="W49" s="17" t="n">
        <v>46.09</v>
      </c>
      <c r="X49" s="17" t="n">
        <v>48389.25</v>
      </c>
      <c r="Y49" s="17" t="n">
        <v>48444.06</v>
      </c>
      <c r="Z49" s="17" t="n">
        <v>88110.75</v>
      </c>
      <c r="AA49" s="17" t="n">
        <v>14516.77</v>
      </c>
      <c r="AB49" s="17" t="n">
        <v>14516.77</v>
      </c>
      <c r="AC49" s="17" t="n">
        <v>14523.6</v>
      </c>
      <c r="AD49" s="17" t="n">
        <v>30</v>
      </c>
      <c r="AE49" s="17" t="n">
        <v>40</v>
      </c>
      <c r="AF49" s="17" t="n">
        <v>6.05</v>
      </c>
      <c r="AG49" s="17" t="n">
        <v>0.1</v>
      </c>
      <c r="AH49" s="17" t="n">
        <v>1.45</v>
      </c>
      <c r="AI49" s="17" t="n">
        <v>7.22</v>
      </c>
      <c r="AJ49" s="17" t="n">
        <v>54.81</v>
      </c>
      <c r="AK49" s="17" t="n">
        <v>14468.79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6" t="inlineStr">
        <is>
          <t>2026-07-04</t>
        </is>
      </c>
      <c r="B50" s="16" t="inlineStr">
        <is>
          <t>NIFTY</t>
        </is>
      </c>
      <c r="C50" s="16" t="inlineStr">
        <is>
          <t>Both Spreads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BULLISH</t>
        </is>
      </c>
      <c r="G50" s="16" t="inlineStr">
        <is>
          <t>Price↑(24175.7&gt;24005.85) &amp; EMA9↑(23986.73&gt;23815.39)</t>
        </is>
      </c>
      <c r="H50" s="16" t="n">
        <v>23986.73</v>
      </c>
      <c r="I50" s="16" t="n">
        <v>23815.39</v>
      </c>
      <c r="J50" s="16" t="inlineStr">
        <is>
          <t>2026-07-09</t>
        </is>
      </c>
      <c r="K50" s="16" t="inlineStr">
        <is>
          <t>WEEKLY</t>
        </is>
      </c>
      <c r="L50" s="16" t="n">
        <v>6</v>
      </c>
      <c r="M50" s="16" t="inlineStr">
        <is>
          <t>09:20 IST</t>
        </is>
      </c>
      <c r="N50" s="16" t="inlineStr">
        <is>
          <t>13:27 IST</t>
        </is>
      </c>
      <c r="O50" s="16" t="n">
        <v>24175.7</v>
      </c>
      <c r="P50" s="16" t="n">
        <v>24005.85</v>
      </c>
      <c r="Q50" s="16" t="inlineStr">
        <is>
          <t>24200 PE</t>
        </is>
      </c>
      <c r="R50" s="16" t="inlineStr">
        <is>
          <t>24100 PE</t>
        </is>
      </c>
      <c r="S50" s="16" t="n">
        <v>23</v>
      </c>
      <c r="T50" s="16" t="n">
        <v>65</v>
      </c>
      <c r="U50" s="16" t="n">
        <v>1495</v>
      </c>
      <c r="V50" s="16" t="n">
        <v>31.76</v>
      </c>
      <c r="W50" s="16" t="n">
        <v>32.7</v>
      </c>
      <c r="X50" s="16" t="n">
        <v>47481.2</v>
      </c>
      <c r="Y50" s="16" t="n">
        <v>47535.87</v>
      </c>
      <c r="Z50" s="16" t="n">
        <v>102018.8</v>
      </c>
      <c r="AA50" s="16" t="n">
        <v>14244.36</v>
      </c>
      <c r="AB50" s="16" t="n">
        <v>14244.36</v>
      </c>
      <c r="AC50" s="16" t="n">
        <v>1405.3</v>
      </c>
      <c r="AD50" s="16" t="n">
        <v>3</v>
      </c>
      <c r="AE50" s="16" t="n">
        <v>40</v>
      </c>
      <c r="AF50" s="16" t="n">
        <v>5.94</v>
      </c>
      <c r="AG50" s="16" t="n">
        <v>0.09</v>
      </c>
      <c r="AH50" s="16" t="n">
        <v>1.42</v>
      </c>
      <c r="AI50" s="16" t="n">
        <v>7.22</v>
      </c>
      <c r="AJ50" s="16" t="n">
        <v>54.67</v>
      </c>
      <c r="AK50" s="16" t="n">
        <v>1350.63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5" t="inlineStr">
        <is>
          <t>2026-07-06</t>
        </is>
      </c>
      <c r="B51" s="15" t="inlineStr">
        <is>
          <t>NIFTY</t>
        </is>
      </c>
      <c r="C51" s="15" t="inlineStr">
        <is>
          <t>Both Spreads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BULLISH</t>
        </is>
      </c>
      <c r="G51" s="15" t="inlineStr">
        <is>
          <t>Price↑(24430.35&gt;24270.85) &amp; EMA9↑(24120.85&gt;23891.81)</t>
        </is>
      </c>
      <c r="H51" s="15" t="n">
        <v>24120.85</v>
      </c>
      <c r="I51" s="15" t="n">
        <v>23891.81</v>
      </c>
      <c r="J51" s="15" t="inlineStr">
        <is>
          <t>2026-07-09</t>
        </is>
      </c>
      <c r="K51" s="15" t="inlineStr">
        <is>
          <t>WEEKLY</t>
        </is>
      </c>
      <c r="L51" s="15" t="n">
        <v>3</v>
      </c>
      <c r="M51" s="15" t="inlineStr">
        <is>
          <t>09:20 IST</t>
        </is>
      </c>
      <c r="N51" s="15" t="inlineStr">
        <is>
          <t>10:38 IST</t>
        </is>
      </c>
      <c r="O51" s="15" t="n">
        <v>24430.35</v>
      </c>
      <c r="P51" s="15" t="n">
        <v>24270.85</v>
      </c>
      <c r="Q51" s="15" t="inlineStr">
        <is>
          <t>24400 CE</t>
        </is>
      </c>
      <c r="R51" s="15" t="inlineStr">
        <is>
          <t>24500 CE</t>
        </is>
      </c>
      <c r="S51" s="15" t="n">
        <v>23</v>
      </c>
      <c r="T51" s="15" t="n">
        <v>65</v>
      </c>
      <c r="U51" s="15" t="n">
        <v>1495</v>
      </c>
      <c r="V51" s="15" t="n">
        <v>32.67</v>
      </c>
      <c r="W51" s="15" t="n">
        <v>22.87</v>
      </c>
      <c r="X51" s="15" t="n">
        <v>48841.65</v>
      </c>
      <c r="Y51" s="15" t="n">
        <v>48896.54</v>
      </c>
      <c r="Z51" s="15" t="n">
        <v>100658.35</v>
      </c>
      <c r="AA51" s="15" t="n">
        <v>14652.5</v>
      </c>
      <c r="AB51" s="15" t="n">
        <v>14652.5</v>
      </c>
      <c r="AC51" s="15" t="n">
        <v>-14651</v>
      </c>
      <c r="AD51" s="15" t="n">
        <v>-30</v>
      </c>
      <c r="AE51" s="15" t="n">
        <v>40</v>
      </c>
      <c r="AF51" s="15" t="n">
        <v>6.11</v>
      </c>
      <c r="AG51" s="15" t="n">
        <v>0.1</v>
      </c>
      <c r="AH51" s="15" t="n">
        <v>1.47</v>
      </c>
      <c r="AI51" s="15" t="n">
        <v>7.22</v>
      </c>
      <c r="AJ51" s="15" t="n">
        <v>54.89</v>
      </c>
      <c r="AK51" s="15" t="n">
        <v>-14705.89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Price↑(24430.35&gt;24270.85) &amp; EMA9↑(24120.85&gt;23891.81)</t>
        </is>
      </c>
      <c r="H52" s="16" t="n">
        <v>24120.85</v>
      </c>
      <c r="I52" s="16" t="n">
        <v>23891.81</v>
      </c>
      <c r="J52" s="16" t="inlineStr">
        <is>
          <t>2026-07-09</t>
        </is>
      </c>
      <c r="K52" s="16" t="inlineStr">
        <is>
          <t>WEEKLY</t>
        </is>
      </c>
      <c r="L52" s="16" t="n">
        <v>3</v>
      </c>
      <c r="M52" s="16" t="inlineStr">
        <is>
          <t>09:20 IST</t>
        </is>
      </c>
      <c r="N52" s="16" t="inlineStr">
        <is>
          <t>14:25 IST</t>
        </is>
      </c>
      <c r="O52" s="16" t="n">
        <v>24430.35</v>
      </c>
      <c r="P52" s="16" t="n">
        <v>24270.85</v>
      </c>
      <c r="Q52" s="16" t="inlineStr">
        <is>
          <t>24500 PE</t>
        </is>
      </c>
      <c r="R52" s="16" t="inlineStr">
        <is>
          <t>24400 PE</t>
        </is>
      </c>
      <c r="S52" s="16" t="n">
        <v>19</v>
      </c>
      <c r="T52" s="16" t="n">
        <v>65</v>
      </c>
      <c r="U52" s="16" t="n">
        <v>1235</v>
      </c>
      <c r="V52" s="16" t="n">
        <v>38.51</v>
      </c>
      <c r="W52" s="16" t="n">
        <v>39.57</v>
      </c>
      <c r="X52" s="16" t="n">
        <v>47559.85</v>
      </c>
      <c r="Y52" s="16" t="n">
        <v>47614.53</v>
      </c>
      <c r="Z52" s="16" t="n">
        <v>75940.14999999999</v>
      </c>
      <c r="AA52" s="16" t="n">
        <v>14267.95</v>
      </c>
      <c r="AB52" s="16" t="n">
        <v>14267.95</v>
      </c>
      <c r="AC52" s="16" t="n">
        <v>1309.1</v>
      </c>
      <c r="AD52" s="16" t="n">
        <v>2.8</v>
      </c>
      <c r="AE52" s="16" t="n">
        <v>40</v>
      </c>
      <c r="AF52" s="16" t="n">
        <v>5.94</v>
      </c>
      <c r="AG52" s="16" t="n">
        <v>0.1</v>
      </c>
      <c r="AH52" s="16" t="n">
        <v>1.43</v>
      </c>
      <c r="AI52" s="16" t="n">
        <v>7.22</v>
      </c>
      <c r="AJ52" s="16" t="n">
        <v>54.68</v>
      </c>
      <c r="AK52" s="16" t="n">
        <v>1254.42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2026-07-07</t>
        </is>
      </c>
      <c r="B53" s="16" t="inlineStr">
        <is>
          <t>NIFTY</t>
        </is>
      </c>
      <c r="C53" s="16" t="inlineStr">
        <is>
          <t>Both Spreads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BULLISH</t>
        </is>
      </c>
      <c r="G53" s="16" t="inlineStr">
        <is>
          <t>Price↑(24270.85&gt;24175.7) &amp; EMA9↑(24043.47&gt;23837.96)</t>
        </is>
      </c>
      <c r="H53" s="16" t="n">
        <v>24043.47</v>
      </c>
      <c r="I53" s="16" t="n">
        <v>23837.96</v>
      </c>
      <c r="J53" s="16" t="inlineStr">
        <is>
          <t>2026-07-09</t>
        </is>
      </c>
      <c r="K53" s="16" t="inlineStr">
        <is>
          <t>WEEKLY</t>
        </is>
      </c>
      <c r="L53" s="16" t="n">
        <v>3</v>
      </c>
      <c r="M53" s="16" t="inlineStr">
        <is>
          <t>09:20 IST</t>
        </is>
      </c>
      <c r="N53" s="16" t="inlineStr">
        <is>
          <t>13:39 IST</t>
        </is>
      </c>
      <c r="O53" s="16" t="n">
        <v>24270.85</v>
      </c>
      <c r="P53" s="16" t="n">
        <v>24175.7</v>
      </c>
      <c r="Q53" s="16" t="inlineStr">
        <is>
          <t>24200 CE</t>
        </is>
      </c>
      <c r="R53" s="16" t="inlineStr">
        <is>
          <t>24300 CE</t>
        </is>
      </c>
      <c r="S53" s="16" t="n">
        <v>24</v>
      </c>
      <c r="T53" s="16" t="n">
        <v>65</v>
      </c>
      <c r="U53" s="16" t="n">
        <v>1560</v>
      </c>
      <c r="V53" s="16" t="n">
        <v>30.42</v>
      </c>
      <c r="W53" s="16" t="n">
        <v>30.65</v>
      </c>
      <c r="X53" s="16" t="n">
        <v>47455.2</v>
      </c>
      <c r="Y53" s="16" t="n">
        <v>47509.87</v>
      </c>
      <c r="Z53" s="16" t="n">
        <v>108544.8</v>
      </c>
      <c r="AA53" s="16" t="n">
        <v>14236.56</v>
      </c>
      <c r="AB53" s="16" t="n">
        <v>14236.56</v>
      </c>
      <c r="AC53" s="16" t="n">
        <v>358.8</v>
      </c>
      <c r="AD53" s="16" t="n">
        <v>0.8</v>
      </c>
      <c r="AE53" s="16" t="n">
        <v>40</v>
      </c>
      <c r="AF53" s="16" t="n">
        <v>5.93</v>
      </c>
      <c r="AG53" s="16" t="n">
        <v>0.09</v>
      </c>
      <c r="AH53" s="16" t="n">
        <v>1.42</v>
      </c>
      <c r="AI53" s="16" t="n">
        <v>7.22</v>
      </c>
      <c r="AJ53" s="16" t="n">
        <v>54.67</v>
      </c>
      <c r="AK53" s="16" t="n">
        <v>304.13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2026-07-07</t>
        </is>
      </c>
      <c r="B54" s="17" t="inlineStr">
        <is>
          <t>NIFTY</t>
        </is>
      </c>
      <c r="C54" s="17" t="inlineStr">
        <is>
          <t>Both Spreads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BULLISH</t>
        </is>
      </c>
      <c r="G54" s="17" t="inlineStr">
        <is>
          <t>Price↑(24270.85&gt;24175.7) &amp; EMA9↑(24043.47&gt;23837.96)</t>
        </is>
      </c>
      <c r="H54" s="17" t="n">
        <v>24043.47</v>
      </c>
      <c r="I54" s="17" t="n">
        <v>23837.96</v>
      </c>
      <c r="J54" s="17" t="inlineStr">
        <is>
          <t>2026-07-09</t>
        </is>
      </c>
      <c r="K54" s="17" t="inlineStr">
        <is>
          <t>WEEKLY</t>
        </is>
      </c>
      <c r="L54" s="17" t="n">
        <v>3</v>
      </c>
      <c r="M54" s="17" t="inlineStr">
        <is>
          <t>09:20 IST</t>
        </is>
      </c>
      <c r="N54" s="17" t="inlineStr">
        <is>
          <t>11:20 IST</t>
        </is>
      </c>
      <c r="O54" s="17" t="n">
        <v>24270.85</v>
      </c>
      <c r="P54" s="17" t="n">
        <v>24175.7</v>
      </c>
      <c r="Q54" s="17" t="inlineStr">
        <is>
          <t>24300 PE</t>
        </is>
      </c>
      <c r="R54" s="17" t="inlineStr">
        <is>
          <t>24200 PE</t>
        </is>
      </c>
      <c r="S54" s="17" t="n">
        <v>29</v>
      </c>
      <c r="T54" s="17" t="n">
        <v>65</v>
      </c>
      <c r="U54" s="17" t="n">
        <v>1885</v>
      </c>
      <c r="V54" s="17" t="n">
        <v>25.76</v>
      </c>
      <c r="W54" s="17" t="n">
        <v>33.49</v>
      </c>
      <c r="X54" s="17" t="n">
        <v>48557.6</v>
      </c>
      <c r="Y54" s="17" t="n">
        <v>48612.44</v>
      </c>
      <c r="Z54" s="17" t="n">
        <v>139942.4</v>
      </c>
      <c r="AA54" s="17" t="n">
        <v>14567.28</v>
      </c>
      <c r="AB54" s="17" t="n">
        <v>14567.28</v>
      </c>
      <c r="AC54" s="17" t="n">
        <v>14571.05</v>
      </c>
      <c r="AD54" s="17" t="n">
        <v>30</v>
      </c>
      <c r="AE54" s="17" t="n">
        <v>40</v>
      </c>
      <c r="AF54" s="17" t="n">
        <v>6.07</v>
      </c>
      <c r="AG54" s="17" t="n">
        <v>0.1</v>
      </c>
      <c r="AH54" s="17" t="n">
        <v>1.46</v>
      </c>
      <c r="AI54" s="17" t="n">
        <v>7.22</v>
      </c>
      <c r="AJ54" s="17" t="n">
        <v>54.84</v>
      </c>
      <c r="AK54" s="17" t="n">
        <v>14516.21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2026-07-07</t>
        </is>
      </c>
      <c r="B55" s="15" t="inlineStr">
        <is>
          <t>NIFTY</t>
        </is>
      </c>
      <c r="C55" s="15" t="inlineStr">
        <is>
          <t>Both Spreads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SKIP</t>
        </is>
      </c>
      <c r="G55" s="15" t="inlineStr">
        <is>
          <t>Conflicting — Price:BEARISH EMA:BULLISH</t>
        </is>
      </c>
      <c r="H55" s="15" t="n">
        <v>24176.1</v>
      </c>
      <c r="I55" s="15" t="n">
        <v>23922.87</v>
      </c>
      <c r="J55" s="15" t="inlineStr">
        <is>
          <t>2026-07-09</t>
        </is>
      </c>
      <c r="K55" s="15" t="inlineStr">
        <is>
          <t>WEEKLY</t>
        </is>
      </c>
      <c r="L55" s="15" t="n">
        <v>2</v>
      </c>
      <c r="M55" s="15" t="inlineStr">
        <is>
          <t>09:20 IST</t>
        </is>
      </c>
      <c r="N55" s="15" t="inlineStr">
        <is>
          <t>10:22 IST</t>
        </is>
      </c>
      <c r="O55" s="15" t="n">
        <v>24398.7</v>
      </c>
      <c r="P55" s="15" t="n">
        <v>24430.35</v>
      </c>
      <c r="Q55" s="15" t="inlineStr">
        <is>
          <t>24300 CE</t>
        </is>
      </c>
      <c r="R55" s="15" t="inlineStr">
        <is>
          <t>24400 CE</t>
        </is>
      </c>
      <c r="S55" s="15" t="n">
        <v>31</v>
      </c>
      <c r="T55" s="15" t="n">
        <v>65</v>
      </c>
      <c r="U55" s="15" t="n">
        <v>2015</v>
      </c>
      <c r="V55" s="15" t="n">
        <v>23.9</v>
      </c>
      <c r="W55" s="15" t="n">
        <v>16.73</v>
      </c>
      <c r="X55" s="15" t="n">
        <v>48158.5</v>
      </c>
      <c r="Y55" s="15" t="n">
        <v>48213.28</v>
      </c>
      <c r="Z55" s="15" t="n">
        <v>153341.5</v>
      </c>
      <c r="AA55" s="15" t="n">
        <v>14447.55</v>
      </c>
      <c r="AB55" s="15" t="n">
        <v>14447.55</v>
      </c>
      <c r="AC55" s="15" t="n">
        <v>-14447.55</v>
      </c>
      <c r="AD55" s="15" t="n">
        <v>-30</v>
      </c>
      <c r="AE55" s="15" t="n">
        <v>40</v>
      </c>
      <c r="AF55" s="15" t="n">
        <v>6.02</v>
      </c>
      <c r="AG55" s="15" t="n">
        <v>0.1</v>
      </c>
      <c r="AH55" s="15" t="n">
        <v>1.44</v>
      </c>
      <c r="AI55" s="15" t="n">
        <v>7.22</v>
      </c>
      <c r="AJ55" s="15" t="n">
        <v>54.78</v>
      </c>
      <c r="AK55" s="15" t="n">
        <v>-14502.33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5" t="inlineStr">
        <is>
          <t>2026-07-07</t>
        </is>
      </c>
      <c r="B56" s="15" t="inlineStr">
        <is>
          <t>NIFTY</t>
        </is>
      </c>
      <c r="C56" s="15" t="inlineStr">
        <is>
          <t>Both Spreads</t>
        </is>
      </c>
      <c r="D56" s="15" t="inlineStr">
        <is>
          <t>Bear Put Spread</t>
        </is>
      </c>
      <c r="E56" s="15" t="inlineStr">
        <is>
          <t>SIMULATED</t>
        </is>
      </c>
      <c r="F56" s="15" t="inlineStr">
        <is>
          <t>SKIP</t>
        </is>
      </c>
      <c r="G56" s="15" t="inlineStr">
        <is>
          <t>Conflicting — Price:BEARISH EMA:BULLISH</t>
        </is>
      </c>
      <c r="H56" s="15" t="n">
        <v>24176.1</v>
      </c>
      <c r="I56" s="15" t="n">
        <v>23922.87</v>
      </c>
      <c r="J56" s="15" t="inlineStr">
        <is>
          <t>2026-07-09</t>
        </is>
      </c>
      <c r="K56" s="15" t="inlineStr">
        <is>
          <t>WEEKLY</t>
        </is>
      </c>
      <c r="L56" s="15" t="n">
        <v>2</v>
      </c>
      <c r="M56" s="15" t="inlineStr">
        <is>
          <t>09:20 IST</t>
        </is>
      </c>
      <c r="N56" s="15" t="inlineStr">
        <is>
          <t>11:10 IST</t>
        </is>
      </c>
      <c r="O56" s="15" t="n">
        <v>24398.7</v>
      </c>
      <c r="P56" s="15" t="n">
        <v>24430.35</v>
      </c>
      <c r="Q56" s="15" t="inlineStr">
        <is>
          <t>24400 PE</t>
        </is>
      </c>
      <c r="R56" s="15" t="inlineStr">
        <is>
          <t>24300 PE</t>
        </is>
      </c>
      <c r="S56" s="15" t="n">
        <v>36</v>
      </c>
      <c r="T56" s="15" t="n">
        <v>65</v>
      </c>
      <c r="U56" s="15" t="n">
        <v>2340</v>
      </c>
      <c r="V56" s="15" t="n">
        <v>20.35</v>
      </c>
      <c r="W56" s="15" t="n">
        <v>14.24</v>
      </c>
      <c r="X56" s="15" t="n">
        <v>47619</v>
      </c>
      <c r="Y56" s="15" t="n">
        <v>47673.69</v>
      </c>
      <c r="Z56" s="15" t="n">
        <v>186381</v>
      </c>
      <c r="AA56" s="15" t="n">
        <v>14285.7</v>
      </c>
      <c r="AB56" s="15" t="n">
        <v>14285.7</v>
      </c>
      <c r="AC56" s="15" t="n">
        <v>-14297.4</v>
      </c>
      <c r="AD56" s="15" t="n">
        <v>-30</v>
      </c>
      <c r="AE56" s="15" t="n">
        <v>40</v>
      </c>
      <c r="AF56" s="15" t="n">
        <v>5.95</v>
      </c>
      <c r="AG56" s="15" t="n">
        <v>0.1</v>
      </c>
      <c r="AH56" s="15" t="n">
        <v>1.43</v>
      </c>
      <c r="AI56" s="15" t="n">
        <v>7.22</v>
      </c>
      <c r="AJ56" s="15" t="n">
        <v>54.69</v>
      </c>
      <c r="AK56" s="15" t="n">
        <v>-14352.09</v>
      </c>
      <c r="AL56" s="15" t="inlineStr">
        <is>
          <t>STOP LOSS</t>
        </is>
      </c>
      <c r="AM56" s="15" t="n">
        <v>50000</v>
      </c>
      <c r="AN56" s="15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Price↑(24430.35&gt;24270.85) &amp; EMA9↑(24120.45&gt;23875.28)</t>
        </is>
      </c>
      <c r="H57" s="17" t="n">
        <v>24120.45</v>
      </c>
      <c r="I57" s="17" t="n">
        <v>23875.28</v>
      </c>
      <c r="J57" s="17" t="inlineStr">
        <is>
          <t>2026-07-09</t>
        </is>
      </c>
      <c r="K57" s="17" t="inlineStr">
        <is>
          <t>WEEKLY</t>
        </is>
      </c>
      <c r="L57" s="17" t="n">
        <v>2</v>
      </c>
      <c r="M57" s="17" t="inlineStr">
        <is>
          <t>09:20 IST</t>
        </is>
      </c>
      <c r="N57" s="17" t="inlineStr">
        <is>
          <t>12:10 IST</t>
        </is>
      </c>
      <c r="O57" s="17" t="n">
        <v>24430.35</v>
      </c>
      <c r="P57" s="17" t="n">
        <v>24270.85</v>
      </c>
      <c r="Q57" s="17" t="inlineStr">
        <is>
          <t>24400 CE</t>
        </is>
      </c>
      <c r="R57" s="17" t="inlineStr">
        <is>
          <t>24500 CE</t>
        </is>
      </c>
      <c r="S57" s="17" t="n">
        <v>35</v>
      </c>
      <c r="T57" s="17" t="n">
        <v>65</v>
      </c>
      <c r="U57" s="17" t="n">
        <v>2275</v>
      </c>
      <c r="V57" s="17" t="n">
        <v>21.19</v>
      </c>
      <c r="W57" s="17" t="n">
        <v>27.55</v>
      </c>
      <c r="X57" s="17" t="n">
        <v>48207.25</v>
      </c>
      <c r="Y57" s="17" t="n">
        <v>48262.04</v>
      </c>
      <c r="Z57" s="17" t="n">
        <v>179292.75</v>
      </c>
      <c r="AA57" s="17" t="n">
        <v>14462.17</v>
      </c>
      <c r="AB57" s="17" t="n">
        <v>14462.17</v>
      </c>
      <c r="AC57" s="17" t="n">
        <v>14469</v>
      </c>
      <c r="AD57" s="17" t="n">
        <v>30</v>
      </c>
      <c r="AE57" s="17" t="n">
        <v>40</v>
      </c>
      <c r="AF57" s="17" t="n">
        <v>6.03</v>
      </c>
      <c r="AG57" s="17" t="n">
        <v>0.1</v>
      </c>
      <c r="AH57" s="17" t="n">
        <v>1.45</v>
      </c>
      <c r="AI57" s="17" t="n">
        <v>7.22</v>
      </c>
      <c r="AJ57" s="17" t="n">
        <v>54.79</v>
      </c>
      <c r="AK57" s="17" t="n">
        <v>14414.21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2026-07-08</t>
        </is>
      </c>
      <c r="B58" s="15" t="inlineStr">
        <is>
          <t>NIFTY</t>
        </is>
      </c>
      <c r="C58" s="15" t="inlineStr">
        <is>
          <t>Both Spreads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BULLISH</t>
        </is>
      </c>
      <c r="G58" s="15" t="inlineStr">
        <is>
          <t>Price↑(24430.35&gt;24270.85) &amp; EMA9↑(24120.45&gt;23875.28)</t>
        </is>
      </c>
      <c r="H58" s="15" t="n">
        <v>24120.45</v>
      </c>
      <c r="I58" s="15" t="n">
        <v>23875.28</v>
      </c>
      <c r="J58" s="15" t="inlineStr">
        <is>
          <t>2026-07-09</t>
        </is>
      </c>
      <c r="K58" s="15" t="inlineStr">
        <is>
          <t>WEEKLY</t>
        </is>
      </c>
      <c r="L58" s="15" t="n">
        <v>2</v>
      </c>
      <c r="M58" s="15" t="inlineStr">
        <is>
          <t>09:20 IST</t>
        </is>
      </c>
      <c r="N58" s="15" t="inlineStr">
        <is>
          <t>09:48 IST</t>
        </is>
      </c>
      <c r="O58" s="15" t="n">
        <v>24430.35</v>
      </c>
      <c r="P58" s="15" t="n">
        <v>24270.85</v>
      </c>
      <c r="Q58" s="15" t="inlineStr">
        <is>
          <t>24500 PE</t>
        </is>
      </c>
      <c r="R58" s="15" t="inlineStr">
        <is>
          <t>24400 PE</t>
        </is>
      </c>
      <c r="S58" s="15" t="n">
        <v>38</v>
      </c>
      <c r="T58" s="15" t="n">
        <v>65</v>
      </c>
      <c r="U58" s="15" t="n">
        <v>2470</v>
      </c>
      <c r="V58" s="15" t="n">
        <v>19.39</v>
      </c>
      <c r="W58" s="15" t="n">
        <v>13.57</v>
      </c>
      <c r="X58" s="15" t="n">
        <v>47893.3</v>
      </c>
      <c r="Y58" s="15" t="n">
        <v>47948.04</v>
      </c>
      <c r="Z58" s="15" t="n">
        <v>199106.7</v>
      </c>
      <c r="AA58" s="15" t="n">
        <v>14367.99</v>
      </c>
      <c r="AB58" s="15" t="n">
        <v>14367.99</v>
      </c>
      <c r="AC58" s="15" t="n">
        <v>-14375.4</v>
      </c>
      <c r="AD58" s="15" t="n">
        <v>-30</v>
      </c>
      <c r="AE58" s="15" t="n">
        <v>40</v>
      </c>
      <c r="AF58" s="15" t="n">
        <v>5.99</v>
      </c>
      <c r="AG58" s="15" t="n">
        <v>0.1</v>
      </c>
      <c r="AH58" s="15" t="n">
        <v>1.44</v>
      </c>
      <c r="AI58" s="15" t="n">
        <v>7.22</v>
      </c>
      <c r="AJ58" s="15" t="n">
        <v>54.74</v>
      </c>
      <c r="AK58" s="15" t="n">
        <v>-14430.14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7" t="inlineStr">
        <is>
          <t>2026-07-08</t>
        </is>
      </c>
      <c r="B59" s="17" t="inlineStr">
        <is>
          <t>NIFTY</t>
        </is>
      </c>
      <c r="C59" s="17" t="inlineStr">
        <is>
          <t>Both Spreads</t>
        </is>
      </c>
      <c r="D59" s="17" t="inlineStr">
        <is>
          <t>Bull Call Spread</t>
        </is>
      </c>
      <c r="E59" s="17" t="inlineStr">
        <is>
          <t>SIMULATED</t>
        </is>
      </c>
      <c r="F59" s="17" t="inlineStr">
        <is>
          <t>SKIP</t>
        </is>
      </c>
      <c r="G59" s="17" t="inlineStr">
        <is>
          <t>Conflicting — Price:BEARISH EMA:BULLISH</t>
        </is>
      </c>
      <c r="H59" s="17" t="n">
        <v>24116.8</v>
      </c>
      <c r="I59" s="17" t="n">
        <v>23907.04</v>
      </c>
      <c r="J59" s="17" t="inlineStr">
        <is>
          <t>2026-07-09</t>
        </is>
      </c>
      <c r="K59" s="17" t="inlineStr">
        <is>
          <t>WEEKLY</t>
        </is>
      </c>
      <c r="L59" s="17" t="n">
        <v>1</v>
      </c>
      <c r="M59" s="17" t="inlineStr">
        <is>
          <t>09:20 IST</t>
        </is>
      </c>
      <c r="N59" s="17" t="inlineStr">
        <is>
          <t>10:04 IST</t>
        </is>
      </c>
      <c r="O59" s="17" t="n">
        <v>23882.05</v>
      </c>
      <c r="P59" s="17" t="n">
        <v>24398.7</v>
      </c>
      <c r="Q59" s="17" t="inlineStr">
        <is>
          <t>23800 CE</t>
        </is>
      </c>
      <c r="R59" s="17" t="inlineStr">
        <is>
          <t>23900 CE</t>
        </is>
      </c>
      <c r="S59" s="17" t="n">
        <v>32</v>
      </c>
      <c r="T59" s="17" t="n">
        <v>65</v>
      </c>
      <c r="U59" s="17" t="n">
        <v>2080</v>
      </c>
      <c r="V59" s="17" t="n">
        <v>22.74</v>
      </c>
      <c r="W59" s="17" t="n">
        <v>29.56</v>
      </c>
      <c r="X59" s="17" t="n">
        <v>47299.2</v>
      </c>
      <c r="Y59" s="17" t="n">
        <v>47353.84</v>
      </c>
      <c r="Z59" s="17" t="n">
        <v>160700.8</v>
      </c>
      <c r="AA59" s="17" t="n">
        <v>14189.76</v>
      </c>
      <c r="AB59" s="17" t="n">
        <v>14189.76</v>
      </c>
      <c r="AC59" s="17" t="n">
        <v>14185.6</v>
      </c>
      <c r="AD59" s="17" t="n">
        <v>30</v>
      </c>
      <c r="AE59" s="17" t="n">
        <v>40</v>
      </c>
      <c r="AF59" s="17" t="n">
        <v>5.91</v>
      </c>
      <c r="AG59" s="17" t="n">
        <v>0.09</v>
      </c>
      <c r="AH59" s="17" t="n">
        <v>1.42</v>
      </c>
      <c r="AI59" s="17" t="n">
        <v>7.22</v>
      </c>
      <c r="AJ59" s="17" t="n">
        <v>54.64</v>
      </c>
      <c r="AK59" s="17" t="n">
        <v>14130.96</v>
      </c>
      <c r="AL59" s="17" t="inlineStr">
        <is>
          <t>PROFIT</t>
        </is>
      </c>
      <c r="AM59" s="17" t="n">
        <v>50000</v>
      </c>
      <c r="AN59" s="17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24116.8</v>
      </c>
      <c r="I60" s="17" t="n">
        <v>23907.04</v>
      </c>
      <c r="J60" s="17" t="inlineStr">
        <is>
          <t>2026-07-09</t>
        </is>
      </c>
      <c r="K60" s="17" t="inlineStr">
        <is>
          <t>WEEKLY</t>
        </is>
      </c>
      <c r="L60" s="17" t="n">
        <v>1</v>
      </c>
      <c r="M60" s="17" t="inlineStr">
        <is>
          <t>09:20 IST</t>
        </is>
      </c>
      <c r="N60" s="17" t="inlineStr">
        <is>
          <t>11:21 IST</t>
        </is>
      </c>
      <c r="O60" s="17" t="n">
        <v>23882.05</v>
      </c>
      <c r="P60" s="17" t="n">
        <v>24398.7</v>
      </c>
      <c r="Q60" s="17" t="inlineStr">
        <is>
          <t>23900 PE</t>
        </is>
      </c>
      <c r="R60" s="17" t="inlineStr">
        <is>
          <t>23800 PE</t>
        </is>
      </c>
      <c r="S60" s="17" t="n">
        <v>41</v>
      </c>
      <c r="T60" s="17" t="n">
        <v>65</v>
      </c>
      <c r="U60" s="17" t="n">
        <v>2665</v>
      </c>
      <c r="V60" s="17" t="n">
        <v>18.07</v>
      </c>
      <c r="W60" s="17" t="n">
        <v>23.49</v>
      </c>
      <c r="X60" s="17" t="n">
        <v>48156.55</v>
      </c>
      <c r="Y60" s="17" t="n">
        <v>48211.33</v>
      </c>
      <c r="Z60" s="17" t="n">
        <v>218343.45</v>
      </c>
      <c r="AA60" s="17" t="n">
        <v>14446.97</v>
      </c>
      <c r="AB60" s="17" t="n">
        <v>14446.97</v>
      </c>
      <c r="AC60" s="17" t="n">
        <v>14444.3</v>
      </c>
      <c r="AD60" s="17" t="n">
        <v>30</v>
      </c>
      <c r="AE60" s="17" t="n">
        <v>40</v>
      </c>
      <c r="AF60" s="17" t="n">
        <v>6.02</v>
      </c>
      <c r="AG60" s="17" t="n">
        <v>0.1</v>
      </c>
      <c r="AH60" s="17" t="n">
        <v>1.44</v>
      </c>
      <c r="AI60" s="17" t="n">
        <v>7.22</v>
      </c>
      <c r="AJ60" s="17" t="n">
        <v>54.78</v>
      </c>
      <c r="AK60" s="17" t="n">
        <v>14389.52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24175.49</v>
      </c>
      <c r="I61" s="15" t="n">
        <v>23909.54</v>
      </c>
      <c r="J61" s="15" t="inlineStr">
        <is>
          <t>2026-07-09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11:11 IST</t>
        </is>
      </c>
      <c r="O61" s="15" t="n">
        <v>24398.7</v>
      </c>
      <c r="P61" s="15" t="n">
        <v>24430.35</v>
      </c>
      <c r="Q61" s="15" t="inlineStr">
        <is>
          <t>24300 CE</t>
        </is>
      </c>
      <c r="R61" s="15" t="inlineStr">
        <is>
          <t>24400 CE</t>
        </is>
      </c>
      <c r="S61" s="15" t="n">
        <v>37</v>
      </c>
      <c r="T61" s="15" t="n">
        <v>65</v>
      </c>
      <c r="U61" s="15" t="n">
        <v>2405</v>
      </c>
      <c r="V61" s="15" t="n">
        <v>19.71</v>
      </c>
      <c r="W61" s="15" t="n">
        <v>13.8</v>
      </c>
      <c r="X61" s="15" t="n">
        <v>47402.55</v>
      </c>
      <c r="Y61" s="15" t="n">
        <v>47457.21</v>
      </c>
      <c r="Z61" s="15" t="n">
        <v>193097.45</v>
      </c>
      <c r="AA61" s="15" t="n">
        <v>14220.77</v>
      </c>
      <c r="AB61" s="15" t="n">
        <v>14220.77</v>
      </c>
      <c r="AC61" s="15" t="n">
        <v>-14213.55</v>
      </c>
      <c r="AD61" s="15" t="n">
        <v>-30</v>
      </c>
      <c r="AE61" s="15" t="n">
        <v>40</v>
      </c>
      <c r="AF61" s="15" t="n">
        <v>5.93</v>
      </c>
      <c r="AG61" s="15" t="n">
        <v>0.09</v>
      </c>
      <c r="AH61" s="15" t="n">
        <v>1.42</v>
      </c>
      <c r="AI61" s="15" t="n">
        <v>7.22</v>
      </c>
      <c r="AJ61" s="15" t="n">
        <v>54.66</v>
      </c>
      <c r="AK61" s="15" t="n">
        <v>-14268.21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7" t="inlineStr">
        <is>
          <t>2026-07-09</t>
        </is>
      </c>
      <c r="B62" s="17" t="inlineStr">
        <is>
          <t>NIFTY</t>
        </is>
      </c>
      <c r="C62" s="17" t="inlineStr">
        <is>
          <t>Both Spreads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Price:BEARISH EMA:BULLISH</t>
        </is>
      </c>
      <c r="H62" s="17" t="n">
        <v>24175.49</v>
      </c>
      <c r="I62" s="17" t="n">
        <v>23909.54</v>
      </c>
      <c r="J62" s="17" t="inlineStr">
        <is>
          <t>2026-07-09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12:04 IST</t>
        </is>
      </c>
      <c r="O62" s="17" t="n">
        <v>24398.7</v>
      </c>
      <c r="P62" s="17" t="n">
        <v>24430.35</v>
      </c>
      <c r="Q62" s="17" t="inlineStr">
        <is>
          <t>24400 PE</t>
        </is>
      </c>
      <c r="R62" s="17" t="inlineStr">
        <is>
          <t>24300 PE</t>
        </is>
      </c>
      <c r="S62" s="17" t="n">
        <v>44</v>
      </c>
      <c r="T62" s="17" t="n">
        <v>65</v>
      </c>
      <c r="U62" s="17" t="n">
        <v>2860</v>
      </c>
      <c r="V62" s="17" t="n">
        <v>16.67</v>
      </c>
      <c r="W62" s="17" t="n">
        <v>21.67</v>
      </c>
      <c r="X62" s="17" t="n">
        <v>47676.2</v>
      </c>
      <c r="Y62" s="17" t="n">
        <v>47730.9</v>
      </c>
      <c r="Z62" s="17" t="n">
        <v>238323.8</v>
      </c>
      <c r="AA62" s="17" t="n">
        <v>14302.86</v>
      </c>
      <c r="AB62" s="17" t="n">
        <v>14302.86</v>
      </c>
      <c r="AC62" s="17" t="n">
        <v>14300</v>
      </c>
      <c r="AD62" s="17" t="n">
        <v>30</v>
      </c>
      <c r="AE62" s="17" t="n">
        <v>40</v>
      </c>
      <c r="AF62" s="17" t="n">
        <v>5.96</v>
      </c>
      <c r="AG62" s="17" t="n">
        <v>0.1</v>
      </c>
      <c r="AH62" s="17" t="n">
        <v>1.43</v>
      </c>
      <c r="AI62" s="17" t="n">
        <v>7.22</v>
      </c>
      <c r="AJ62" s="17" t="n">
        <v>54.7</v>
      </c>
      <c r="AK62" s="17" t="n">
        <v>14245.3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5" t="inlineStr">
        <is>
          <t>2026-07-09</t>
        </is>
      </c>
      <c r="B63" s="15" t="inlineStr">
        <is>
          <t>NIFTY</t>
        </is>
      </c>
      <c r="C63" s="15" t="inlineStr">
        <is>
          <t>Both Spreads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BULLISH</t>
        </is>
      </c>
      <c r="G63" s="15" t="inlineStr">
        <is>
          <t>Price↑(23962.8&gt;23882.05) &amp; EMA9↑(24086.0&gt;23912.11)</t>
        </is>
      </c>
      <c r="H63" s="15" t="n">
        <v>24086</v>
      </c>
      <c r="I63" s="15" t="n">
        <v>23912.11</v>
      </c>
      <c r="J63" s="15" t="inlineStr">
        <is>
          <t>2026-07-09</t>
        </is>
      </c>
      <c r="K63" s="15" t="inlineStr">
        <is>
          <t>WEEKLY</t>
        </is>
      </c>
      <c r="L63" s="15" t="n">
        <v>0</v>
      </c>
      <c r="M63" s="15" t="inlineStr">
        <is>
          <t>09:20 IST</t>
        </is>
      </c>
      <c r="N63" s="15" t="inlineStr">
        <is>
          <t>10:01 IST</t>
        </is>
      </c>
      <c r="O63" s="15" t="n">
        <v>23962.8</v>
      </c>
      <c r="P63" s="15" t="n">
        <v>23882.05</v>
      </c>
      <c r="Q63" s="15" t="inlineStr">
        <is>
          <t>23900 CE</t>
        </is>
      </c>
      <c r="R63" s="15" t="inlineStr">
        <is>
          <t>24000 CE</t>
        </is>
      </c>
      <c r="S63" s="15" t="n">
        <v>33</v>
      </c>
      <c r="T63" s="15" t="n">
        <v>65</v>
      </c>
      <c r="U63" s="15" t="n">
        <v>2145</v>
      </c>
      <c r="V63" s="15" t="n">
        <v>22.28</v>
      </c>
      <c r="W63" s="15" t="n">
        <v>15.6</v>
      </c>
      <c r="X63" s="15" t="n">
        <v>47790.6</v>
      </c>
      <c r="Y63" s="15" t="n">
        <v>47845.32</v>
      </c>
      <c r="Z63" s="15" t="n">
        <v>166709.4</v>
      </c>
      <c r="AA63" s="15" t="n">
        <v>14337.18</v>
      </c>
      <c r="AB63" s="15" t="n">
        <v>14337.18</v>
      </c>
      <c r="AC63" s="15" t="n">
        <v>-14328.6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54.72</v>
      </c>
      <c r="AK63" s="15" t="n">
        <v>-14383.32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Price↑(23962.8&gt;23882.05) &amp; EMA9↑(24086.0&gt;23912.11)</t>
        </is>
      </c>
      <c r="H64" s="17" t="n">
        <v>24086</v>
      </c>
      <c r="I64" s="17" t="n">
        <v>23912.11</v>
      </c>
      <c r="J64" s="17" t="inlineStr">
        <is>
          <t>2026-07-09</t>
        </is>
      </c>
      <c r="K64" s="17" t="inlineStr">
        <is>
          <t>WEEKLY</t>
        </is>
      </c>
      <c r="L64" s="17" t="n">
        <v>0</v>
      </c>
      <c r="M64" s="17" t="inlineStr">
        <is>
          <t>09:20 IST</t>
        </is>
      </c>
      <c r="N64" s="17" t="inlineStr">
        <is>
          <t>11:02 IST</t>
        </is>
      </c>
      <c r="O64" s="17" t="n">
        <v>23962.8</v>
      </c>
      <c r="P64" s="17" t="n">
        <v>23882.05</v>
      </c>
      <c r="Q64" s="17" t="inlineStr">
        <is>
          <t>24000 PE</t>
        </is>
      </c>
      <c r="R64" s="17" t="inlineStr">
        <is>
          <t>23900 PE</t>
        </is>
      </c>
      <c r="S64" s="17" t="n">
        <v>31</v>
      </c>
      <c r="T64" s="17" t="n">
        <v>65</v>
      </c>
      <c r="U64" s="17" t="n">
        <v>2015</v>
      </c>
      <c r="V64" s="17" t="n">
        <v>23.55</v>
      </c>
      <c r="W64" s="17" t="n">
        <v>30.62</v>
      </c>
      <c r="X64" s="17" t="n">
        <v>47453.25</v>
      </c>
      <c r="Y64" s="17" t="n">
        <v>47507.92</v>
      </c>
      <c r="Z64" s="17" t="n">
        <v>154046.75</v>
      </c>
      <c r="AA64" s="17" t="n">
        <v>14235.98</v>
      </c>
      <c r="AB64" s="17" t="n">
        <v>14235.98</v>
      </c>
      <c r="AC64" s="17" t="n">
        <v>14246.05</v>
      </c>
      <c r="AD64" s="17" t="n">
        <v>30</v>
      </c>
      <c r="AE64" s="17" t="n">
        <v>40</v>
      </c>
      <c r="AF64" s="17" t="n">
        <v>5.93</v>
      </c>
      <c r="AG64" s="17" t="n">
        <v>0.09</v>
      </c>
      <c r="AH64" s="17" t="n">
        <v>1.42</v>
      </c>
      <c r="AI64" s="17" t="n">
        <v>7.22</v>
      </c>
      <c r="AJ64" s="17" t="n">
        <v>54.67</v>
      </c>
      <c r="AK64" s="17" t="n">
        <v>14191.38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24116.8</v>
      </c>
      <c r="I65" s="15" t="n">
        <v>23907.04</v>
      </c>
      <c r="J65" s="15" t="inlineStr">
        <is>
          <t>2026-07-09</t>
        </is>
      </c>
      <c r="K65" s="15" t="inlineStr">
        <is>
          <t>WEEKLY</t>
        </is>
      </c>
      <c r="L65" s="15" t="n">
        <v>0</v>
      </c>
      <c r="M65" s="15" t="inlineStr">
        <is>
          <t>09:20 IST</t>
        </is>
      </c>
      <c r="N65" s="15" t="inlineStr">
        <is>
          <t>09:53 IST</t>
        </is>
      </c>
      <c r="O65" s="15" t="n">
        <v>23882.05</v>
      </c>
      <c r="P65" s="15" t="n">
        <v>24398.7</v>
      </c>
      <c r="Q65" s="15" t="inlineStr">
        <is>
          <t>23800 CE</t>
        </is>
      </c>
      <c r="R65" s="15" t="inlineStr">
        <is>
          <t>23900 CE</t>
        </is>
      </c>
      <c r="S65" s="15" t="n">
        <v>40</v>
      </c>
      <c r="T65" s="15" t="n">
        <v>65</v>
      </c>
      <c r="U65" s="15" t="n">
        <v>2600</v>
      </c>
      <c r="V65" s="15" t="n">
        <v>18.59</v>
      </c>
      <c r="W65" s="15" t="n">
        <v>13.01</v>
      </c>
      <c r="X65" s="15" t="n">
        <v>48334</v>
      </c>
      <c r="Y65" s="15" t="n">
        <v>48388.81</v>
      </c>
      <c r="Z65" s="15" t="n">
        <v>211666</v>
      </c>
      <c r="AA65" s="15" t="n">
        <v>14500.2</v>
      </c>
      <c r="AB65" s="15" t="n">
        <v>14500.2</v>
      </c>
      <c r="AC65" s="15" t="n">
        <v>-14508</v>
      </c>
      <c r="AD65" s="15" t="n">
        <v>-30</v>
      </c>
      <c r="AE65" s="15" t="n">
        <v>40</v>
      </c>
      <c r="AF65" s="15" t="n">
        <v>6.04</v>
      </c>
      <c r="AG65" s="15" t="n">
        <v>0.1</v>
      </c>
      <c r="AH65" s="15" t="n">
        <v>1.45</v>
      </c>
      <c r="AI65" s="15" t="n">
        <v>7.22</v>
      </c>
      <c r="AJ65" s="15" t="n">
        <v>54.81</v>
      </c>
      <c r="AK65" s="15" t="n">
        <v>-14562.81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24116.8</v>
      </c>
      <c r="I66" s="16" t="n">
        <v>23907.04</v>
      </c>
      <c r="J66" s="16" t="inlineStr">
        <is>
          <t>2026-07-09</t>
        </is>
      </c>
      <c r="K66" s="16" t="inlineStr">
        <is>
          <t>WEEKLY</t>
        </is>
      </c>
      <c r="L66" s="16" t="n">
        <v>0</v>
      </c>
      <c r="M66" s="16" t="inlineStr">
        <is>
          <t>09:20 IST</t>
        </is>
      </c>
      <c r="N66" s="16" t="inlineStr">
        <is>
          <t>14:16 IST</t>
        </is>
      </c>
      <c r="O66" s="16" t="n">
        <v>23882.05</v>
      </c>
      <c r="P66" s="16" t="n">
        <v>24398.7</v>
      </c>
      <c r="Q66" s="16" t="inlineStr">
        <is>
          <t>23900 PE</t>
        </is>
      </c>
      <c r="R66" s="16" t="inlineStr">
        <is>
          <t>23800 PE</t>
        </is>
      </c>
      <c r="S66" s="16" t="n">
        <v>41</v>
      </c>
      <c r="T66" s="16" t="n">
        <v>65</v>
      </c>
      <c r="U66" s="16" t="n">
        <v>2665</v>
      </c>
      <c r="V66" s="16" t="n">
        <v>18.12</v>
      </c>
      <c r="W66" s="16" t="n">
        <v>18.59</v>
      </c>
      <c r="X66" s="16" t="n">
        <v>48289.8</v>
      </c>
      <c r="Y66" s="16" t="n">
        <v>48344.6</v>
      </c>
      <c r="Z66" s="16" t="n">
        <v>218210.2</v>
      </c>
      <c r="AA66" s="16" t="n">
        <v>14486.94</v>
      </c>
      <c r="AB66" s="16" t="n">
        <v>14486.94</v>
      </c>
      <c r="AC66" s="16" t="n">
        <v>1252.55</v>
      </c>
      <c r="AD66" s="16" t="n">
        <v>2.6</v>
      </c>
      <c r="AE66" s="16" t="n">
        <v>40</v>
      </c>
      <c r="AF66" s="16" t="n">
        <v>6.04</v>
      </c>
      <c r="AG66" s="16" t="n">
        <v>0.1</v>
      </c>
      <c r="AH66" s="16" t="n">
        <v>1.45</v>
      </c>
      <c r="AI66" s="16" t="n">
        <v>7.22</v>
      </c>
      <c r="AJ66" s="16" t="n">
        <v>54.8</v>
      </c>
      <c r="AK66" s="16" t="n">
        <v>1197.75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Price↑(24206.9&gt;23962.8) &amp; EMA9↑(24110.13&gt;23937.59)</t>
        </is>
      </c>
      <c r="H67" s="17" t="n">
        <v>24110.13</v>
      </c>
      <c r="I67" s="17" t="n">
        <v>23937.59</v>
      </c>
      <c r="J67" s="17" t="inlineStr">
        <is>
          <t>2026-07-16</t>
        </is>
      </c>
      <c r="K67" s="17" t="inlineStr">
        <is>
          <t>WEEKLY</t>
        </is>
      </c>
      <c r="L67" s="17" t="n">
        <v>6</v>
      </c>
      <c r="M67" s="17" t="inlineStr">
        <is>
          <t>09:20 IST</t>
        </is>
      </c>
      <c r="N67" s="17" t="inlineStr">
        <is>
          <t>11:44 IST</t>
        </is>
      </c>
      <c r="O67" s="17" t="n">
        <v>24206.9</v>
      </c>
      <c r="P67" s="17" t="n">
        <v>23962.8</v>
      </c>
      <c r="Q67" s="17" t="inlineStr">
        <is>
          <t>24200 CE</t>
        </is>
      </c>
      <c r="R67" s="17" t="inlineStr">
        <is>
          <t>24300 CE</t>
        </is>
      </c>
      <c r="S67" s="17" t="n">
        <v>18</v>
      </c>
      <c r="T67" s="17" t="n">
        <v>65</v>
      </c>
      <c r="U67" s="17" t="n">
        <v>1170</v>
      </c>
      <c r="V67" s="17" t="n">
        <v>39.97</v>
      </c>
      <c r="W67" s="17" t="n">
        <v>51.96</v>
      </c>
      <c r="X67" s="17" t="n">
        <v>46764.9</v>
      </c>
      <c r="Y67" s="17" t="n">
        <v>46819.46</v>
      </c>
      <c r="Z67" s="17" t="n">
        <v>70235.10000000001</v>
      </c>
      <c r="AA67" s="17" t="n">
        <v>14029.47</v>
      </c>
      <c r="AB67" s="17" t="n">
        <v>14029.47</v>
      </c>
      <c r="AC67" s="17" t="n">
        <v>14028.3</v>
      </c>
      <c r="AD67" s="17" t="n">
        <v>30</v>
      </c>
      <c r="AE67" s="17" t="n">
        <v>40</v>
      </c>
      <c r="AF67" s="17" t="n">
        <v>5.85</v>
      </c>
      <c r="AG67" s="17" t="n">
        <v>0.09</v>
      </c>
      <c r="AH67" s="17" t="n">
        <v>1.4</v>
      </c>
      <c r="AI67" s="17" t="n">
        <v>7.22</v>
      </c>
      <c r="AJ67" s="17" t="n">
        <v>54.56</v>
      </c>
      <c r="AK67" s="17" t="n">
        <v>13973.74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2026-07-10</t>
        </is>
      </c>
      <c r="B68" s="15" t="inlineStr">
        <is>
          <t>NIFTY</t>
        </is>
      </c>
      <c r="C68" s="15" t="inlineStr">
        <is>
          <t>Both Spreads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Price↑(24206.9&gt;23962.8) &amp; EMA9↑(24110.13&gt;23937.59)</t>
        </is>
      </c>
      <c r="H68" s="15" t="n">
        <v>24110.13</v>
      </c>
      <c r="I68" s="15" t="n">
        <v>23937.59</v>
      </c>
      <c r="J68" s="15" t="inlineStr">
        <is>
          <t>2026-07-16</t>
        </is>
      </c>
      <c r="K68" s="15" t="inlineStr">
        <is>
          <t>WEEKLY</t>
        </is>
      </c>
      <c r="L68" s="15" t="n">
        <v>6</v>
      </c>
      <c r="M68" s="15" t="inlineStr">
        <is>
          <t>09:20 IST</t>
        </is>
      </c>
      <c r="N68" s="15" t="inlineStr">
        <is>
          <t>11:11 IST</t>
        </is>
      </c>
      <c r="O68" s="15" t="n">
        <v>24206.9</v>
      </c>
      <c r="P68" s="15" t="n">
        <v>23962.8</v>
      </c>
      <c r="Q68" s="15" t="inlineStr">
        <is>
          <t>24300 PE</t>
        </is>
      </c>
      <c r="R68" s="15" t="inlineStr">
        <is>
          <t>24200 PE</t>
        </is>
      </c>
      <c r="S68" s="15" t="n">
        <v>29</v>
      </c>
      <c r="T68" s="15" t="n">
        <v>65</v>
      </c>
      <c r="U68" s="15" t="n">
        <v>1885</v>
      </c>
      <c r="V68" s="15" t="n">
        <v>25.48</v>
      </c>
      <c r="W68" s="15" t="n">
        <v>17.84</v>
      </c>
      <c r="X68" s="15" t="n">
        <v>48029.8</v>
      </c>
      <c r="Y68" s="15" t="n">
        <v>48084.56</v>
      </c>
      <c r="Z68" s="15" t="n">
        <v>140470.2</v>
      </c>
      <c r="AA68" s="15" t="n">
        <v>14408.94</v>
      </c>
      <c r="AB68" s="15" t="n">
        <v>14408.94</v>
      </c>
      <c r="AC68" s="15" t="n">
        <v>-14401.4</v>
      </c>
      <c r="AD68" s="15" t="n">
        <v>-30</v>
      </c>
      <c r="AE68" s="15" t="n">
        <v>40</v>
      </c>
      <c r="AF68" s="15" t="n">
        <v>6</v>
      </c>
      <c r="AG68" s="15" t="n">
        <v>0.1</v>
      </c>
      <c r="AH68" s="15" t="n">
        <v>1.44</v>
      </c>
      <c r="AI68" s="15" t="n">
        <v>7.22</v>
      </c>
      <c r="AJ68" s="15" t="n">
        <v>54.76</v>
      </c>
      <c r="AK68" s="15" t="n">
        <v>-14456.16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Price↑(23962.8&gt;23882.05) &amp; EMA9↑(24085.94&gt;23910.66)</t>
        </is>
      </c>
      <c r="H69" s="17" t="n">
        <v>24085.94</v>
      </c>
      <c r="I69" s="17" t="n">
        <v>23910.66</v>
      </c>
      <c r="J69" s="17" t="inlineStr">
        <is>
          <t>2026-07-16</t>
        </is>
      </c>
      <c r="K69" s="17" t="inlineStr">
        <is>
          <t>WEEKLY</t>
        </is>
      </c>
      <c r="L69" s="17" t="n">
        <v>6</v>
      </c>
      <c r="M69" s="17" t="inlineStr">
        <is>
          <t>09:20 IST</t>
        </is>
      </c>
      <c r="N69" s="17" t="inlineStr">
        <is>
          <t>09:44 IST</t>
        </is>
      </c>
      <c r="O69" s="17" t="n">
        <v>23962.8</v>
      </c>
      <c r="P69" s="17" t="n">
        <v>23882.05</v>
      </c>
      <c r="Q69" s="17" t="inlineStr">
        <is>
          <t>23900 CE</t>
        </is>
      </c>
      <c r="R69" s="17" t="inlineStr">
        <is>
          <t>24000 CE</t>
        </is>
      </c>
      <c r="S69" s="17" t="n">
        <v>25</v>
      </c>
      <c r="T69" s="17" t="n">
        <v>65</v>
      </c>
      <c r="U69" s="17" t="n">
        <v>1625</v>
      </c>
      <c r="V69" s="17" t="n">
        <v>29.15</v>
      </c>
      <c r="W69" s="17" t="n">
        <v>37.89</v>
      </c>
      <c r="X69" s="17" t="n">
        <v>47368.75</v>
      </c>
      <c r="Y69" s="17" t="n">
        <v>47423.4</v>
      </c>
      <c r="Z69" s="17" t="n">
        <v>115131.25</v>
      </c>
      <c r="AA69" s="17" t="n">
        <v>14210.62</v>
      </c>
      <c r="AB69" s="17" t="n">
        <v>14210.62</v>
      </c>
      <c r="AC69" s="17" t="n">
        <v>14202.5</v>
      </c>
      <c r="AD69" s="17" t="n">
        <v>30</v>
      </c>
      <c r="AE69" s="17" t="n">
        <v>40</v>
      </c>
      <c r="AF69" s="17" t="n">
        <v>5.92</v>
      </c>
      <c r="AG69" s="17" t="n">
        <v>0.09</v>
      </c>
      <c r="AH69" s="17" t="n">
        <v>1.42</v>
      </c>
      <c r="AI69" s="17" t="n">
        <v>7.22</v>
      </c>
      <c r="AJ69" s="17" t="n">
        <v>54.65</v>
      </c>
      <c r="AK69" s="17" t="n">
        <v>14147.85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Price↑(23962.8&gt;23882.05) &amp; EMA9↑(24085.94&gt;23910.66)</t>
        </is>
      </c>
      <c r="H70" s="17" t="n">
        <v>24085.94</v>
      </c>
      <c r="I70" s="17" t="n">
        <v>23910.66</v>
      </c>
      <c r="J70" s="17" t="inlineStr">
        <is>
          <t>2026-07-16</t>
        </is>
      </c>
      <c r="K70" s="17" t="inlineStr">
        <is>
          <t>WEEKLY</t>
        </is>
      </c>
      <c r="L70" s="17" t="n">
        <v>6</v>
      </c>
      <c r="M70" s="17" t="inlineStr">
        <is>
          <t>09:20 IST</t>
        </is>
      </c>
      <c r="N70" s="17" t="inlineStr">
        <is>
          <t>10:32 IST</t>
        </is>
      </c>
      <c r="O70" s="17" t="n">
        <v>23962.8</v>
      </c>
      <c r="P70" s="17" t="n">
        <v>23882.05</v>
      </c>
      <c r="Q70" s="17" t="inlineStr">
        <is>
          <t>24000 PE</t>
        </is>
      </c>
      <c r="R70" s="17" t="inlineStr">
        <is>
          <t>23900 PE</t>
        </is>
      </c>
      <c r="S70" s="17" t="n">
        <v>26</v>
      </c>
      <c r="T70" s="17" t="n">
        <v>65</v>
      </c>
      <c r="U70" s="17" t="n">
        <v>1690</v>
      </c>
      <c r="V70" s="17" t="n">
        <v>28.33</v>
      </c>
      <c r="W70" s="17" t="n">
        <v>36.83</v>
      </c>
      <c r="X70" s="17" t="n">
        <v>47877.7</v>
      </c>
      <c r="Y70" s="17" t="n">
        <v>47932.43</v>
      </c>
      <c r="Z70" s="17" t="n">
        <v>121122.3</v>
      </c>
      <c r="AA70" s="17" t="n">
        <v>14363.31</v>
      </c>
      <c r="AB70" s="17" t="n">
        <v>14363.31</v>
      </c>
      <c r="AC70" s="17" t="n">
        <v>14365</v>
      </c>
      <c r="AD70" s="17" t="n">
        <v>30</v>
      </c>
      <c r="AE70" s="17" t="n">
        <v>40</v>
      </c>
      <c r="AF70" s="17" t="n">
        <v>5.98</v>
      </c>
      <c r="AG70" s="17" t="n">
        <v>0.1</v>
      </c>
      <c r="AH70" s="17" t="n">
        <v>1.44</v>
      </c>
      <c r="AI70" s="17" t="n">
        <v>7.22</v>
      </c>
      <c r="AJ70" s="17" t="n">
        <v>54.73</v>
      </c>
      <c r="AK70" s="17" t="n">
        <v>14310.27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2026-07-13</t>
        </is>
      </c>
      <c r="B71" s="17" t="inlineStr">
        <is>
          <t>NIFTY</t>
        </is>
      </c>
      <c r="C71" s="17" t="inlineStr">
        <is>
          <t>Both Spreads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BULLISH</t>
        </is>
      </c>
      <c r="G71" s="17" t="inlineStr">
        <is>
          <t>Price↑(24211.0&gt;24206.9) &amp; EMA9↑(24129.89&gt;23962.6)</t>
        </is>
      </c>
      <c r="H71" s="17" t="n">
        <v>24129.89</v>
      </c>
      <c r="I71" s="17" t="n">
        <v>23962.6</v>
      </c>
      <c r="J71" s="17" t="inlineStr">
        <is>
          <t>2026-07-16</t>
        </is>
      </c>
      <c r="K71" s="17" t="inlineStr">
        <is>
          <t>WEEKLY</t>
        </is>
      </c>
      <c r="L71" s="17" t="n">
        <v>3</v>
      </c>
      <c r="M71" s="17" t="inlineStr">
        <is>
          <t>09:20 IST</t>
        </is>
      </c>
      <c r="N71" s="17" t="inlineStr">
        <is>
          <t>09:49 IST</t>
        </is>
      </c>
      <c r="O71" s="17" t="n">
        <v>24211</v>
      </c>
      <c r="P71" s="17" t="n">
        <v>24206.9</v>
      </c>
      <c r="Q71" s="17" t="inlineStr">
        <is>
          <t>24200 CE</t>
        </is>
      </c>
      <c r="R71" s="17" t="inlineStr">
        <is>
          <t>24300 CE</t>
        </is>
      </c>
      <c r="S71" s="17" t="n">
        <v>21</v>
      </c>
      <c r="T71" s="17" t="n">
        <v>65</v>
      </c>
      <c r="U71" s="17" t="n">
        <v>1365</v>
      </c>
      <c r="V71" s="17" t="n">
        <v>34.98</v>
      </c>
      <c r="W71" s="17" t="n">
        <v>45.47</v>
      </c>
      <c r="X71" s="17" t="n">
        <v>47747.7</v>
      </c>
      <c r="Y71" s="17" t="n">
        <v>47802.41</v>
      </c>
      <c r="Z71" s="17" t="n">
        <v>88752.3</v>
      </c>
      <c r="AA71" s="17" t="n">
        <v>14324.31</v>
      </c>
      <c r="AB71" s="17" t="n">
        <v>14324.31</v>
      </c>
      <c r="AC71" s="17" t="n">
        <v>14318.85</v>
      </c>
      <c r="AD71" s="17" t="n">
        <v>30</v>
      </c>
      <c r="AE71" s="17" t="n">
        <v>40</v>
      </c>
      <c r="AF71" s="17" t="n">
        <v>5.97</v>
      </c>
      <c r="AG71" s="17" t="n">
        <v>0.1</v>
      </c>
      <c r="AH71" s="17" t="n">
        <v>1.43</v>
      </c>
      <c r="AI71" s="17" t="n">
        <v>7.22</v>
      </c>
      <c r="AJ71" s="17" t="n">
        <v>54.71</v>
      </c>
      <c r="AK71" s="17" t="n">
        <v>14264.14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2026-07-13</t>
        </is>
      </c>
      <c r="B72" s="17" t="inlineStr">
        <is>
          <t>NIFTY</t>
        </is>
      </c>
      <c r="C72" s="17" t="inlineStr">
        <is>
          <t>Both Spreads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Price↑(24211.0&gt;24206.9) &amp; EMA9↑(24129.89&gt;23962.6)</t>
        </is>
      </c>
      <c r="H72" s="17" t="n">
        <v>24129.89</v>
      </c>
      <c r="I72" s="17" t="n">
        <v>23962.6</v>
      </c>
      <c r="J72" s="17" t="inlineStr">
        <is>
          <t>2026-07-16</t>
        </is>
      </c>
      <c r="K72" s="17" t="inlineStr">
        <is>
          <t>WEEKLY</t>
        </is>
      </c>
      <c r="L72" s="17" t="n">
        <v>3</v>
      </c>
      <c r="M72" s="17" t="inlineStr">
        <is>
          <t>09:20 IST</t>
        </is>
      </c>
      <c r="N72" s="17" t="inlineStr">
        <is>
          <t>11:54 IST</t>
        </is>
      </c>
      <c r="O72" s="17" t="n">
        <v>24211</v>
      </c>
      <c r="P72" s="17" t="n">
        <v>24206.9</v>
      </c>
      <c r="Q72" s="17" t="inlineStr">
        <is>
          <t>24300 PE</t>
        </is>
      </c>
      <c r="R72" s="17" t="inlineStr">
        <is>
          <t>24200 PE</t>
        </is>
      </c>
      <c r="S72" s="17" t="n">
        <v>27</v>
      </c>
      <c r="T72" s="17" t="n">
        <v>65</v>
      </c>
      <c r="U72" s="17" t="n">
        <v>1755</v>
      </c>
      <c r="V72" s="17" t="n">
        <v>27.36</v>
      </c>
      <c r="W72" s="17" t="n">
        <v>35.57</v>
      </c>
      <c r="X72" s="17" t="n">
        <v>48016.8</v>
      </c>
      <c r="Y72" s="17" t="n">
        <v>48071.56</v>
      </c>
      <c r="Z72" s="17" t="n">
        <v>127483.2</v>
      </c>
      <c r="AA72" s="17" t="n">
        <v>14405.04</v>
      </c>
      <c r="AB72" s="17" t="n">
        <v>14405.04</v>
      </c>
      <c r="AC72" s="17" t="n">
        <v>14408.55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54.76</v>
      </c>
      <c r="AK72" s="17" t="n">
        <v>14353.79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Price↑(24206.9&gt;23962.8) &amp; EMA9↑(24109.62&gt;23937.76)</t>
        </is>
      </c>
      <c r="H73" s="15" t="n">
        <v>24109.62</v>
      </c>
      <c r="I73" s="15" t="n">
        <v>23937.76</v>
      </c>
      <c r="J73" s="15" t="inlineStr">
        <is>
          <t>2026-07-16</t>
        </is>
      </c>
      <c r="K73" s="15" t="inlineStr">
        <is>
          <t>WEEKLY</t>
        </is>
      </c>
      <c r="L73" s="15" t="n">
        <v>3</v>
      </c>
      <c r="M73" s="15" t="inlineStr">
        <is>
          <t>09:20 IST</t>
        </is>
      </c>
      <c r="N73" s="15" t="inlineStr">
        <is>
          <t>09:34 IST</t>
        </is>
      </c>
      <c r="O73" s="15" t="n">
        <v>24206.9</v>
      </c>
      <c r="P73" s="15" t="n">
        <v>23962.8</v>
      </c>
      <c r="Q73" s="15" t="inlineStr">
        <is>
          <t>24200 CE</t>
        </is>
      </c>
      <c r="R73" s="15" t="inlineStr">
        <is>
          <t>24300 CE</t>
        </is>
      </c>
      <c r="S73" s="15" t="n">
        <v>23</v>
      </c>
      <c r="T73" s="15" t="n">
        <v>65</v>
      </c>
      <c r="U73" s="15" t="n">
        <v>1495</v>
      </c>
      <c r="V73" s="15" t="n">
        <v>32.78</v>
      </c>
      <c r="W73" s="15" t="n">
        <v>22.95</v>
      </c>
      <c r="X73" s="15" t="n">
        <v>49006.1</v>
      </c>
      <c r="Y73" s="15" t="n">
        <v>49061.01</v>
      </c>
      <c r="Z73" s="15" t="n">
        <v>100493.9</v>
      </c>
      <c r="AA73" s="15" t="n">
        <v>14701.83</v>
      </c>
      <c r="AB73" s="15" t="n">
        <v>14701.83</v>
      </c>
      <c r="AC73" s="15" t="n">
        <v>-14695.85</v>
      </c>
      <c r="AD73" s="15" t="n">
        <v>-30</v>
      </c>
      <c r="AE73" s="15" t="n">
        <v>40</v>
      </c>
      <c r="AF73" s="15" t="n">
        <v>6.13</v>
      </c>
      <c r="AG73" s="15" t="n">
        <v>0.1</v>
      </c>
      <c r="AH73" s="15" t="n">
        <v>1.47</v>
      </c>
      <c r="AI73" s="15" t="n">
        <v>7.22</v>
      </c>
      <c r="AJ73" s="15" t="n">
        <v>54.91</v>
      </c>
      <c r="AK73" s="15" t="n">
        <v>-14750.76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2026-07-14</t>
        </is>
      </c>
      <c r="B74" s="17" t="inlineStr">
        <is>
          <t>NIFTY</t>
        </is>
      </c>
      <c r="C74" s="17" t="inlineStr">
        <is>
          <t>Both Spreads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BULLISH</t>
        </is>
      </c>
      <c r="G74" s="17" t="inlineStr">
        <is>
          <t>Price↑(24206.9&gt;23962.8) &amp; EMA9↑(24109.62&gt;23937.76)</t>
        </is>
      </c>
      <c r="H74" s="17" t="n">
        <v>24109.62</v>
      </c>
      <c r="I74" s="17" t="n">
        <v>23937.76</v>
      </c>
      <c r="J74" s="17" t="inlineStr">
        <is>
          <t>2026-07-16</t>
        </is>
      </c>
      <c r="K74" s="17" t="inlineStr">
        <is>
          <t>WEEKLY</t>
        </is>
      </c>
      <c r="L74" s="17" t="n">
        <v>3</v>
      </c>
      <c r="M74" s="17" t="inlineStr">
        <is>
          <t>09:20 IST</t>
        </is>
      </c>
      <c r="N74" s="17" t="inlineStr">
        <is>
          <t>10:22 IST</t>
        </is>
      </c>
      <c r="O74" s="17" t="n">
        <v>24206.9</v>
      </c>
      <c r="P74" s="17" t="n">
        <v>23962.8</v>
      </c>
      <c r="Q74" s="17" t="inlineStr">
        <is>
          <t>24300 PE</t>
        </is>
      </c>
      <c r="R74" s="17" t="inlineStr">
        <is>
          <t>24200 PE</t>
        </is>
      </c>
      <c r="S74" s="17" t="n">
        <v>19</v>
      </c>
      <c r="T74" s="17" t="n">
        <v>65</v>
      </c>
      <c r="U74" s="17" t="n">
        <v>1235</v>
      </c>
      <c r="V74" s="17" t="n">
        <v>38.15</v>
      </c>
      <c r="W74" s="17" t="n">
        <v>49.59</v>
      </c>
      <c r="X74" s="17" t="n">
        <v>47115.25</v>
      </c>
      <c r="Y74" s="17" t="n">
        <v>47169.86</v>
      </c>
      <c r="Z74" s="17" t="n">
        <v>76384.75</v>
      </c>
      <c r="AA74" s="17" t="n">
        <v>14134.57</v>
      </c>
      <c r="AB74" s="17" t="n">
        <v>14134.57</v>
      </c>
      <c r="AC74" s="17" t="n">
        <v>14128.4</v>
      </c>
      <c r="AD74" s="17" t="n">
        <v>30</v>
      </c>
      <c r="AE74" s="17" t="n">
        <v>40</v>
      </c>
      <c r="AF74" s="17" t="n">
        <v>5.89</v>
      </c>
      <c r="AG74" s="17" t="n">
        <v>0.09</v>
      </c>
      <c r="AH74" s="17" t="n">
        <v>1.41</v>
      </c>
      <c r="AI74" s="17" t="n">
        <v>7.22</v>
      </c>
      <c r="AJ74" s="17" t="n">
        <v>54.61</v>
      </c>
      <c r="AK74" s="17" t="n">
        <v>14073.79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7" t="inlineStr">
        <is>
          <t>2026-07-14</t>
        </is>
      </c>
      <c r="B75" s="17" t="inlineStr">
        <is>
          <t>NIFTY</t>
        </is>
      </c>
      <c r="C75" s="17" t="inlineStr">
        <is>
          <t>Both Spreads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24131.43</v>
      </c>
      <c r="I75" s="17" t="n">
        <v>23974.58</v>
      </c>
      <c r="J75" s="17" t="inlineStr">
        <is>
          <t>2026-07-16</t>
        </is>
      </c>
      <c r="K75" s="17" t="inlineStr">
        <is>
          <t>WEEKLY</t>
        </is>
      </c>
      <c r="L75" s="17" t="n">
        <v>2</v>
      </c>
      <c r="M75" s="17" t="inlineStr">
        <is>
          <t>09:20 IST</t>
        </is>
      </c>
      <c r="N75" s="17" t="inlineStr">
        <is>
          <t>11:22 IST</t>
        </is>
      </c>
      <c r="O75" s="17" t="n">
        <v>24141.15</v>
      </c>
      <c r="P75" s="17" t="n">
        <v>24211</v>
      </c>
      <c r="Q75" s="17" t="inlineStr">
        <is>
          <t>24100 CE</t>
        </is>
      </c>
      <c r="R75" s="17" t="inlineStr">
        <is>
          <t>24200 CE</t>
        </is>
      </c>
      <c r="S75" s="17" t="n">
        <v>47</v>
      </c>
      <c r="T75" s="17" t="n">
        <v>65</v>
      </c>
      <c r="U75" s="17" t="n">
        <v>3055</v>
      </c>
      <c r="V75" s="17" t="n">
        <v>15.5</v>
      </c>
      <c r="W75" s="17" t="n">
        <v>20.15</v>
      </c>
      <c r="X75" s="17" t="n">
        <v>47352.5</v>
      </c>
      <c r="Y75" s="17" t="n">
        <v>47407.15</v>
      </c>
      <c r="Z75" s="17" t="n">
        <v>258147.5</v>
      </c>
      <c r="AA75" s="17" t="n">
        <v>14205.75</v>
      </c>
      <c r="AB75" s="17" t="n">
        <v>14205.75</v>
      </c>
      <c r="AC75" s="17" t="n">
        <v>14205.75</v>
      </c>
      <c r="AD75" s="17" t="n">
        <v>30</v>
      </c>
      <c r="AE75" s="17" t="n">
        <v>40</v>
      </c>
      <c r="AF75" s="17" t="n">
        <v>5.92</v>
      </c>
      <c r="AG75" s="17" t="n">
        <v>0.09</v>
      </c>
      <c r="AH75" s="17" t="n">
        <v>1.42</v>
      </c>
      <c r="AI75" s="17" t="n">
        <v>7.22</v>
      </c>
      <c r="AJ75" s="17" t="n">
        <v>54.65</v>
      </c>
      <c r="AK75" s="17" t="n">
        <v>14151.1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7" t="inlineStr">
        <is>
          <t>2026-07-14</t>
        </is>
      </c>
      <c r="B76" s="17" t="inlineStr">
        <is>
          <t>NIFTY</t>
        </is>
      </c>
      <c r="C76" s="17" t="inlineStr">
        <is>
          <t>Both Spreads</t>
        </is>
      </c>
      <c r="D76" s="17" t="inlineStr">
        <is>
          <t>Bear Put Spread</t>
        </is>
      </c>
      <c r="E76" s="17" t="inlineStr">
        <is>
          <t>SIMULATED</t>
        </is>
      </c>
      <c r="F76" s="17" t="inlineStr">
        <is>
          <t>SKIP</t>
        </is>
      </c>
      <c r="G76" s="17" t="inlineStr">
        <is>
          <t>Conflicting — Price:BEARISH EMA:BULLISH</t>
        </is>
      </c>
      <c r="H76" s="17" t="n">
        <v>24131.43</v>
      </c>
      <c r="I76" s="17" t="n">
        <v>23974.58</v>
      </c>
      <c r="J76" s="17" t="inlineStr">
        <is>
          <t>2026-07-16</t>
        </is>
      </c>
      <c r="K76" s="17" t="inlineStr">
        <is>
          <t>WEEKLY</t>
        </is>
      </c>
      <c r="L76" s="17" t="n">
        <v>2</v>
      </c>
      <c r="M76" s="17" t="inlineStr">
        <is>
          <t>09:20 IST</t>
        </is>
      </c>
      <c r="N76" s="17" t="inlineStr">
        <is>
          <t>12:12 IST</t>
        </is>
      </c>
      <c r="O76" s="17" t="n">
        <v>24141.15</v>
      </c>
      <c r="P76" s="17" t="n">
        <v>24211</v>
      </c>
      <c r="Q76" s="17" t="inlineStr">
        <is>
          <t>24200 PE</t>
        </is>
      </c>
      <c r="R76" s="17" t="inlineStr">
        <is>
          <t>24100 PE</t>
        </is>
      </c>
      <c r="S76" s="17" t="n">
        <v>43</v>
      </c>
      <c r="T76" s="17" t="n">
        <v>65</v>
      </c>
      <c r="U76" s="17" t="n">
        <v>2795</v>
      </c>
      <c r="V76" s="17" t="n">
        <v>17.27</v>
      </c>
      <c r="W76" s="17" t="n">
        <v>22.45</v>
      </c>
      <c r="X76" s="17" t="n">
        <v>48269.65</v>
      </c>
      <c r="Y76" s="17" t="n">
        <v>48324.45</v>
      </c>
      <c r="Z76" s="17" t="n">
        <v>231230.35</v>
      </c>
      <c r="AA76" s="17" t="n">
        <v>14480.9</v>
      </c>
      <c r="AB76" s="17" t="n">
        <v>14480.9</v>
      </c>
      <c r="AC76" s="17" t="n">
        <v>14478.1</v>
      </c>
      <c r="AD76" s="17" t="n">
        <v>30</v>
      </c>
      <c r="AE76" s="17" t="n">
        <v>40</v>
      </c>
      <c r="AF76" s="17" t="n">
        <v>6.03</v>
      </c>
      <c r="AG76" s="17" t="n">
        <v>0.1</v>
      </c>
      <c r="AH76" s="17" t="n">
        <v>1.45</v>
      </c>
      <c r="AI76" s="17" t="n">
        <v>7.22</v>
      </c>
      <c r="AJ76" s="17" t="n">
        <v>54.8</v>
      </c>
      <c r="AK76" s="17" t="n">
        <v>14423.3</v>
      </c>
      <c r="AL76" s="17" t="inlineStr">
        <is>
          <t>PROFIT</t>
        </is>
      </c>
      <c r="AM76" s="17" t="n">
        <v>50000</v>
      </c>
      <c r="AN76" s="17" t="inlineStr">
        <is>
          <t>PAPER TRADING</t>
        </is>
      </c>
    </row>
    <row r="77">
      <c r="A77" s="17" t="inlineStr">
        <is>
          <t>2026-07-14</t>
        </is>
      </c>
      <c r="B77" s="17" t="inlineStr">
        <is>
          <t>NIFTY</t>
        </is>
      </c>
      <c r="C77" s="17" t="inlineStr">
        <is>
          <t>Both Spreads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24113.61</v>
      </c>
      <c r="I77" s="17" t="n">
        <v>23966.48</v>
      </c>
      <c r="J77" s="17" t="inlineStr">
        <is>
          <t>2026-07-16</t>
        </is>
      </c>
      <c r="K77" s="17" t="inlineStr">
        <is>
          <t>WEEKLY</t>
        </is>
      </c>
      <c r="L77" s="17" t="n">
        <v>2</v>
      </c>
      <c r="M77" s="17" t="inlineStr">
        <is>
          <t>09:20 IST</t>
        </is>
      </c>
      <c r="N77" s="17" t="inlineStr">
        <is>
          <t>12:15 IST</t>
        </is>
      </c>
      <c r="O77" s="17" t="n">
        <v>24052.05</v>
      </c>
      <c r="P77" s="17" t="n">
        <v>24211</v>
      </c>
      <c r="Q77" s="17" t="inlineStr">
        <is>
          <t>24000 CE</t>
        </is>
      </c>
      <c r="R77" s="17" t="inlineStr">
        <is>
          <t>24100 CE</t>
        </is>
      </c>
      <c r="S77" s="17" t="n">
        <v>46</v>
      </c>
      <c r="T77" s="17" t="n">
        <v>65</v>
      </c>
      <c r="U77" s="17" t="n">
        <v>2990</v>
      </c>
      <c r="V77" s="17" t="n">
        <v>15.97</v>
      </c>
      <c r="W77" s="17" t="n">
        <v>20.76</v>
      </c>
      <c r="X77" s="17" t="n">
        <v>47750.3</v>
      </c>
      <c r="Y77" s="17" t="n">
        <v>47805.01</v>
      </c>
      <c r="Z77" s="17" t="n">
        <v>251249.7</v>
      </c>
      <c r="AA77" s="17" t="n">
        <v>14325.09</v>
      </c>
      <c r="AB77" s="17" t="n">
        <v>14325.09</v>
      </c>
      <c r="AC77" s="17" t="n">
        <v>14322.1</v>
      </c>
      <c r="AD77" s="17" t="n">
        <v>30</v>
      </c>
      <c r="AE77" s="17" t="n">
        <v>40</v>
      </c>
      <c r="AF77" s="17" t="n">
        <v>5.97</v>
      </c>
      <c r="AG77" s="17" t="n">
        <v>0.1</v>
      </c>
      <c r="AH77" s="17" t="n">
        <v>1.43</v>
      </c>
      <c r="AI77" s="17" t="n">
        <v>7.22</v>
      </c>
      <c r="AJ77" s="17" t="n">
        <v>54.71</v>
      </c>
      <c r="AK77" s="17" t="n">
        <v>14267.39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24113.61</v>
      </c>
      <c r="I78" s="17" t="n">
        <v>23966.48</v>
      </c>
      <c r="J78" s="17" t="inlineStr">
        <is>
          <t>2026-07-16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10:07 IST</t>
        </is>
      </c>
      <c r="O78" s="17" t="n">
        <v>24052.05</v>
      </c>
      <c r="P78" s="17" t="n">
        <v>24211</v>
      </c>
      <c r="Q78" s="17" t="inlineStr">
        <is>
          <t>24100 PE</t>
        </is>
      </c>
      <c r="R78" s="17" t="inlineStr">
        <is>
          <t>24000 PE</t>
        </is>
      </c>
      <c r="S78" s="17" t="n">
        <v>32</v>
      </c>
      <c r="T78" s="17" t="n">
        <v>65</v>
      </c>
      <c r="U78" s="17" t="n">
        <v>2080</v>
      </c>
      <c r="V78" s="17" t="n">
        <v>22.72</v>
      </c>
      <c r="W78" s="17" t="n">
        <v>29.54</v>
      </c>
      <c r="X78" s="17" t="n">
        <v>47257.6</v>
      </c>
      <c r="Y78" s="17" t="n">
        <v>47312.24</v>
      </c>
      <c r="Z78" s="17" t="n">
        <v>160742.4</v>
      </c>
      <c r="AA78" s="17" t="n">
        <v>14177.28</v>
      </c>
      <c r="AB78" s="17" t="n">
        <v>14177.28</v>
      </c>
      <c r="AC78" s="17" t="n">
        <v>14185.6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14130.96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2026-07-15</t>
        </is>
      </c>
      <c r="B79" s="17" t="inlineStr">
        <is>
          <t>NIFTY</t>
        </is>
      </c>
      <c r="C79" s="17" t="inlineStr">
        <is>
          <t>Both Spreads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24143.29</v>
      </c>
      <c r="I79" s="17" t="n">
        <v>23977</v>
      </c>
      <c r="J79" s="17" t="inlineStr">
        <is>
          <t>2026-07-16</t>
        </is>
      </c>
      <c r="K79" s="17" t="inlineStr">
        <is>
          <t>WEEKLY</t>
        </is>
      </c>
      <c r="L79" s="17" t="n">
        <v>1</v>
      </c>
      <c r="M79" s="17" t="inlineStr">
        <is>
          <t>09:20 IST</t>
        </is>
      </c>
      <c r="N79" s="17" t="inlineStr">
        <is>
          <t>11:48 IST</t>
        </is>
      </c>
      <c r="O79" s="17" t="n">
        <v>24204.6</v>
      </c>
      <c r="P79" s="17" t="n">
        <v>24211</v>
      </c>
      <c r="Q79" s="17" t="inlineStr">
        <is>
          <t>24200 CE</t>
        </is>
      </c>
      <c r="R79" s="17" t="inlineStr">
        <is>
          <t>24300 CE</t>
        </is>
      </c>
      <c r="S79" s="17" t="n">
        <v>31</v>
      </c>
      <c r="T79" s="17" t="n">
        <v>65</v>
      </c>
      <c r="U79" s="17" t="n">
        <v>2015</v>
      </c>
      <c r="V79" s="17" t="n">
        <v>23.51</v>
      </c>
      <c r="W79" s="17" t="n">
        <v>30.56</v>
      </c>
      <c r="X79" s="17" t="n">
        <v>47372.65</v>
      </c>
      <c r="Y79" s="17" t="n">
        <v>47427.3</v>
      </c>
      <c r="Z79" s="17" t="n">
        <v>154127.35</v>
      </c>
      <c r="AA79" s="17" t="n">
        <v>14211.8</v>
      </c>
      <c r="AB79" s="17" t="n">
        <v>14211.8</v>
      </c>
      <c r="AC79" s="17" t="n">
        <v>14205.75</v>
      </c>
      <c r="AD79" s="17" t="n">
        <v>30</v>
      </c>
      <c r="AE79" s="17" t="n">
        <v>40</v>
      </c>
      <c r="AF79" s="17" t="n">
        <v>5.92</v>
      </c>
      <c r="AG79" s="17" t="n">
        <v>0.09</v>
      </c>
      <c r="AH79" s="17" t="n">
        <v>1.42</v>
      </c>
      <c r="AI79" s="17" t="n">
        <v>7.22</v>
      </c>
      <c r="AJ79" s="17" t="n">
        <v>54.65</v>
      </c>
      <c r="AK79" s="17" t="n">
        <v>14151.1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7" t="inlineStr">
        <is>
          <t>2026-07-15</t>
        </is>
      </c>
      <c r="B80" s="17" t="inlineStr">
        <is>
          <t>NIFTY</t>
        </is>
      </c>
      <c r="C80" s="17" t="inlineStr">
        <is>
          <t>Both Spreads</t>
        </is>
      </c>
      <c r="D80" s="17" t="inlineStr">
        <is>
          <t>Bear Put Spread</t>
        </is>
      </c>
      <c r="E80" s="17" t="inlineStr">
        <is>
          <t>SIMULATED</t>
        </is>
      </c>
      <c r="F80" s="17" t="inlineStr">
        <is>
          <t>SKIP</t>
        </is>
      </c>
      <c r="G80" s="17" t="inlineStr">
        <is>
          <t>Conflicting — Price:BEARISH EMA:BULLISH</t>
        </is>
      </c>
      <c r="H80" s="17" t="n">
        <v>24143.29</v>
      </c>
      <c r="I80" s="17" t="n">
        <v>23977</v>
      </c>
      <c r="J80" s="17" t="inlineStr">
        <is>
          <t>2026-07-16</t>
        </is>
      </c>
      <c r="K80" s="17" t="inlineStr">
        <is>
          <t>WEEKLY</t>
        </is>
      </c>
      <c r="L80" s="17" t="n">
        <v>1</v>
      </c>
      <c r="M80" s="17" t="inlineStr">
        <is>
          <t>09:20 IST</t>
        </is>
      </c>
      <c r="N80" s="17" t="inlineStr">
        <is>
          <t>11:36 IST</t>
        </is>
      </c>
      <c r="O80" s="17" t="n">
        <v>24204.6</v>
      </c>
      <c r="P80" s="17" t="n">
        <v>24211</v>
      </c>
      <c r="Q80" s="17" t="inlineStr">
        <is>
          <t>24300 PE</t>
        </is>
      </c>
      <c r="R80" s="17" t="inlineStr">
        <is>
          <t>24200 PE</t>
        </is>
      </c>
      <c r="S80" s="17" t="n">
        <v>47</v>
      </c>
      <c r="T80" s="17" t="n">
        <v>65</v>
      </c>
      <c r="U80" s="17" t="n">
        <v>3055</v>
      </c>
      <c r="V80" s="17" t="n">
        <v>15.64</v>
      </c>
      <c r="W80" s="17" t="n">
        <v>20.33</v>
      </c>
      <c r="X80" s="17" t="n">
        <v>47780.2</v>
      </c>
      <c r="Y80" s="17" t="n">
        <v>47834.92</v>
      </c>
      <c r="Z80" s="17" t="n">
        <v>257719.8</v>
      </c>
      <c r="AA80" s="17" t="n">
        <v>14334.06</v>
      </c>
      <c r="AB80" s="17" t="n">
        <v>14334.06</v>
      </c>
      <c r="AC80" s="17" t="n">
        <v>14327.95</v>
      </c>
      <c r="AD80" s="17" t="n">
        <v>30</v>
      </c>
      <c r="AE80" s="17" t="n">
        <v>40</v>
      </c>
      <c r="AF80" s="17" t="n">
        <v>5.97</v>
      </c>
      <c r="AG80" s="17" t="n">
        <v>0.1</v>
      </c>
      <c r="AH80" s="17" t="n">
        <v>1.43</v>
      </c>
      <c r="AI80" s="17" t="n">
        <v>7.22</v>
      </c>
      <c r="AJ80" s="17" t="n">
        <v>54.72</v>
      </c>
      <c r="AK80" s="17" t="n">
        <v>14273.23</v>
      </c>
      <c r="AL80" s="17" t="inlineStr">
        <is>
          <t>PROFIT</t>
        </is>
      </c>
      <c r="AM80" s="17" t="n">
        <v>50000</v>
      </c>
      <c r="AN80" s="17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24118.07</v>
      </c>
      <c r="I81" s="15" t="n">
        <v>23965.53</v>
      </c>
      <c r="J81" s="15" t="inlineStr">
        <is>
          <t>2026-07-16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09:33 IST</t>
        </is>
      </c>
      <c r="O81" s="15" t="n">
        <v>24078.5</v>
      </c>
      <c r="P81" s="15" t="n">
        <v>24211</v>
      </c>
      <c r="Q81" s="15" t="inlineStr">
        <is>
          <t>24000 CE</t>
        </is>
      </c>
      <c r="R81" s="15" t="inlineStr">
        <is>
          <t>24100 CE</t>
        </is>
      </c>
      <c r="S81" s="15" t="n">
        <v>41</v>
      </c>
      <c r="T81" s="15" t="n">
        <v>65</v>
      </c>
      <c r="U81" s="15" t="n">
        <v>2665</v>
      </c>
      <c r="V81" s="15" t="n">
        <v>18.06</v>
      </c>
      <c r="W81" s="15" t="n">
        <v>12.64</v>
      </c>
      <c r="X81" s="15" t="n">
        <v>48129.9</v>
      </c>
      <c r="Y81" s="15" t="n">
        <v>48184.67</v>
      </c>
      <c r="Z81" s="15" t="n">
        <v>218370.1</v>
      </c>
      <c r="AA81" s="15" t="n">
        <v>14438.97</v>
      </c>
      <c r="AB81" s="15" t="n">
        <v>14438.97</v>
      </c>
      <c r="AC81" s="15" t="n">
        <v>-14444.3</v>
      </c>
      <c r="AD81" s="15" t="n">
        <v>-30</v>
      </c>
      <c r="AE81" s="15" t="n">
        <v>40</v>
      </c>
      <c r="AF81" s="15" t="n">
        <v>6.02</v>
      </c>
      <c r="AG81" s="15" t="n">
        <v>0.1</v>
      </c>
      <c r="AH81" s="15" t="n">
        <v>1.44</v>
      </c>
      <c r="AI81" s="15" t="n">
        <v>7.22</v>
      </c>
      <c r="AJ81" s="15" t="n">
        <v>54.77</v>
      </c>
      <c r="AK81" s="15" t="n">
        <v>-14499.07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24118.07</v>
      </c>
      <c r="I82" s="17" t="n">
        <v>23965.53</v>
      </c>
      <c r="J82" s="17" t="inlineStr">
        <is>
          <t>2026-07-16</t>
        </is>
      </c>
      <c r="K82" s="17" t="inlineStr">
        <is>
          <t>WEEKLY</t>
        </is>
      </c>
      <c r="L82" s="17" t="n">
        <v>1</v>
      </c>
      <c r="M82" s="17" t="inlineStr">
        <is>
          <t>09:20 IST</t>
        </is>
      </c>
      <c r="N82" s="17" t="inlineStr">
        <is>
          <t>10:25 IST</t>
        </is>
      </c>
      <c r="O82" s="17" t="n">
        <v>24078.5</v>
      </c>
      <c r="P82" s="17" t="n">
        <v>24211</v>
      </c>
      <c r="Q82" s="17" t="inlineStr">
        <is>
          <t>24100 PE</t>
        </is>
      </c>
      <c r="R82" s="17" t="inlineStr">
        <is>
          <t>24000 PE</t>
        </is>
      </c>
      <c r="S82" s="17" t="n">
        <v>33</v>
      </c>
      <c r="T82" s="17" t="n">
        <v>65</v>
      </c>
      <c r="U82" s="17" t="n">
        <v>2145</v>
      </c>
      <c r="V82" s="17" t="n">
        <v>22.02</v>
      </c>
      <c r="W82" s="17" t="n">
        <v>28.63</v>
      </c>
      <c r="X82" s="17" t="n">
        <v>47232.9</v>
      </c>
      <c r="Y82" s="17" t="n">
        <v>47287.53</v>
      </c>
      <c r="Z82" s="17" t="n">
        <v>167267.1</v>
      </c>
      <c r="AA82" s="17" t="n">
        <v>14169.87</v>
      </c>
      <c r="AB82" s="17" t="n">
        <v>14169.87</v>
      </c>
      <c r="AC82" s="17" t="n">
        <v>14178.45</v>
      </c>
      <c r="AD82" s="17" t="n">
        <v>30</v>
      </c>
      <c r="AE82" s="17" t="n">
        <v>40</v>
      </c>
      <c r="AF82" s="17" t="n">
        <v>5.9</v>
      </c>
      <c r="AG82" s="17" t="n">
        <v>0.09</v>
      </c>
      <c r="AH82" s="17" t="n">
        <v>1.42</v>
      </c>
      <c r="AI82" s="17" t="n">
        <v>7.22</v>
      </c>
      <c r="AJ82" s="17" t="n">
        <v>54.63</v>
      </c>
      <c r="AK82" s="17" t="n">
        <v>14123.82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BULLISH</t>
        </is>
      </c>
      <c r="G83" s="17" t="inlineStr">
        <is>
          <t>Price↑(24152.45&gt;24078.5) &amp; EMA9↑(24114.61&gt;23985.11)</t>
        </is>
      </c>
      <c r="H83" s="17" t="n">
        <v>24114.61</v>
      </c>
      <c r="I83" s="17" t="n">
        <v>23985.11</v>
      </c>
      <c r="J83" s="17" t="inlineStr">
        <is>
          <t>2026-07-16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11:29 IST</t>
        </is>
      </c>
      <c r="O83" s="17" t="n">
        <v>24152.45</v>
      </c>
      <c r="P83" s="17" t="n">
        <v>24078.5</v>
      </c>
      <c r="Q83" s="17" t="inlineStr">
        <is>
          <t>24100 CE</t>
        </is>
      </c>
      <c r="R83" s="17" t="inlineStr">
        <is>
          <t>24200 CE</t>
        </is>
      </c>
      <c r="S83" s="17" t="n">
        <v>41</v>
      </c>
      <c r="T83" s="17" t="n">
        <v>65</v>
      </c>
      <c r="U83" s="17" t="n">
        <v>2665</v>
      </c>
      <c r="V83" s="17" t="n">
        <v>18.1</v>
      </c>
      <c r="W83" s="17" t="n">
        <v>23.53</v>
      </c>
      <c r="X83" s="17" t="n">
        <v>48236.5</v>
      </c>
      <c r="Y83" s="17" t="n">
        <v>48291.29</v>
      </c>
      <c r="Z83" s="17" t="n">
        <v>218263.5</v>
      </c>
      <c r="AA83" s="17" t="n">
        <v>14470.95</v>
      </c>
      <c r="AB83" s="17" t="n">
        <v>14470.95</v>
      </c>
      <c r="AC83" s="17" t="n">
        <v>14470.95</v>
      </c>
      <c r="AD83" s="17" t="n">
        <v>30</v>
      </c>
      <c r="AE83" s="17" t="n">
        <v>40</v>
      </c>
      <c r="AF83" s="17" t="n">
        <v>6.03</v>
      </c>
      <c r="AG83" s="17" t="n">
        <v>0.1</v>
      </c>
      <c r="AH83" s="17" t="n">
        <v>1.45</v>
      </c>
      <c r="AI83" s="17" t="n">
        <v>7.22</v>
      </c>
      <c r="AJ83" s="17" t="n">
        <v>54.79</v>
      </c>
      <c r="AK83" s="17" t="n">
        <v>14416.16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BULLISH</t>
        </is>
      </c>
      <c r="G84" s="17" t="inlineStr">
        <is>
          <t>Price↑(24152.45&gt;24078.5) &amp; EMA9↑(24114.61&gt;23985.11)</t>
        </is>
      </c>
      <c r="H84" s="17" t="n">
        <v>24114.61</v>
      </c>
      <c r="I84" s="17" t="n">
        <v>23985.11</v>
      </c>
      <c r="J84" s="17" t="inlineStr">
        <is>
          <t>2026-07-16</t>
        </is>
      </c>
      <c r="K84" s="17" t="inlineStr">
        <is>
          <t>WEEKLY</t>
        </is>
      </c>
      <c r="L84" s="17" t="n">
        <v>0</v>
      </c>
      <c r="M84" s="17" t="inlineStr">
        <is>
          <t>09:20 IST</t>
        </is>
      </c>
      <c r="N84" s="17" t="inlineStr">
        <is>
          <t>11:39 IST</t>
        </is>
      </c>
      <c r="O84" s="17" t="n">
        <v>24152.45</v>
      </c>
      <c r="P84" s="17" t="n">
        <v>24078.5</v>
      </c>
      <c r="Q84" s="17" t="inlineStr">
        <is>
          <t>24200 PE</t>
        </is>
      </c>
      <c r="R84" s="17" t="inlineStr">
        <is>
          <t>24100 PE</t>
        </is>
      </c>
      <c r="S84" s="17" t="n">
        <v>31</v>
      </c>
      <c r="T84" s="17" t="n">
        <v>65</v>
      </c>
      <c r="U84" s="17" t="n">
        <v>2015</v>
      </c>
      <c r="V84" s="17" t="n">
        <v>23.5</v>
      </c>
      <c r="W84" s="17" t="n">
        <v>30.55</v>
      </c>
      <c r="X84" s="17" t="n">
        <v>47352.5</v>
      </c>
      <c r="Y84" s="17" t="n">
        <v>47407.15</v>
      </c>
      <c r="Z84" s="17" t="n">
        <v>154147.5</v>
      </c>
      <c r="AA84" s="17" t="n">
        <v>14205.75</v>
      </c>
      <c r="AB84" s="17" t="n">
        <v>14205.75</v>
      </c>
      <c r="AC84" s="17" t="n">
        <v>14205.75</v>
      </c>
      <c r="AD84" s="17" t="n">
        <v>30</v>
      </c>
      <c r="AE84" s="17" t="n">
        <v>40</v>
      </c>
      <c r="AF84" s="17" t="n">
        <v>5.92</v>
      </c>
      <c r="AG84" s="17" t="n">
        <v>0.09</v>
      </c>
      <c r="AH84" s="17" t="n">
        <v>1.42</v>
      </c>
      <c r="AI84" s="17" t="n">
        <v>7.22</v>
      </c>
      <c r="AJ84" s="17" t="n">
        <v>54.65</v>
      </c>
      <c r="AK84" s="17" t="n">
        <v>14151.1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24098.67</v>
      </c>
      <c r="I85" s="15" t="n">
        <v>23977.87</v>
      </c>
      <c r="J85" s="15" t="inlineStr">
        <is>
          <t>2026-07-16</t>
        </is>
      </c>
      <c r="K85" s="15" t="inlineStr">
        <is>
          <t>WEEKLY</t>
        </is>
      </c>
      <c r="L85" s="15" t="n">
        <v>0</v>
      </c>
      <c r="M85" s="15" t="inlineStr">
        <is>
          <t>09:20 IST</t>
        </is>
      </c>
      <c r="N85" s="15" t="inlineStr">
        <is>
          <t>10:30 IST</t>
        </is>
      </c>
      <c r="O85" s="15" t="n">
        <v>24072.75</v>
      </c>
      <c r="P85" s="15" t="n">
        <v>24078.5</v>
      </c>
      <c r="Q85" s="15" t="inlineStr">
        <is>
          <t>24000 CE</t>
        </is>
      </c>
      <c r="R85" s="15" t="inlineStr">
        <is>
          <t>24100 CE</t>
        </is>
      </c>
      <c r="S85" s="15" t="n">
        <v>44</v>
      </c>
      <c r="T85" s="15" t="n">
        <v>65</v>
      </c>
      <c r="U85" s="15" t="n">
        <v>2860</v>
      </c>
      <c r="V85" s="15" t="n">
        <v>16.82</v>
      </c>
      <c r="W85" s="15" t="n">
        <v>11.77</v>
      </c>
      <c r="X85" s="15" t="n">
        <v>48105.2</v>
      </c>
      <c r="Y85" s="15" t="n">
        <v>48159.97</v>
      </c>
      <c r="Z85" s="15" t="n">
        <v>237894.8</v>
      </c>
      <c r="AA85" s="15" t="n">
        <v>14431.56</v>
      </c>
      <c r="AB85" s="15" t="n">
        <v>14431.56</v>
      </c>
      <c r="AC85" s="15" t="n">
        <v>-14443</v>
      </c>
      <c r="AD85" s="15" t="n">
        <v>-30</v>
      </c>
      <c r="AE85" s="15" t="n">
        <v>40</v>
      </c>
      <c r="AF85" s="15" t="n">
        <v>6.01</v>
      </c>
      <c r="AG85" s="15" t="n">
        <v>0.1</v>
      </c>
      <c r="AH85" s="15" t="n">
        <v>1.44</v>
      </c>
      <c r="AI85" s="15" t="n">
        <v>7.22</v>
      </c>
      <c r="AJ85" s="15" t="n">
        <v>54.77</v>
      </c>
      <c r="AK85" s="15" t="n">
        <v>-14497.77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24098.67</v>
      </c>
      <c r="I86" s="15" t="n">
        <v>23977.87</v>
      </c>
      <c r="J86" s="15" t="inlineStr">
        <is>
          <t>2026-07-16</t>
        </is>
      </c>
      <c r="K86" s="15" t="inlineStr">
        <is>
          <t>WEEKLY</t>
        </is>
      </c>
      <c r="L86" s="15" t="n">
        <v>0</v>
      </c>
      <c r="M86" s="15" t="inlineStr">
        <is>
          <t>09:20 IST</t>
        </is>
      </c>
      <c r="N86" s="15" t="inlineStr">
        <is>
          <t>10:19 IST</t>
        </is>
      </c>
      <c r="O86" s="15" t="n">
        <v>24072.75</v>
      </c>
      <c r="P86" s="15" t="n">
        <v>24078.5</v>
      </c>
      <c r="Q86" s="15" t="inlineStr">
        <is>
          <t>24100 PE</t>
        </is>
      </c>
      <c r="R86" s="15" t="inlineStr">
        <is>
          <t>24000 PE</t>
        </is>
      </c>
      <c r="S86" s="15" t="n">
        <v>30</v>
      </c>
      <c r="T86" s="15" t="n">
        <v>65</v>
      </c>
      <c r="U86" s="15" t="n">
        <v>1950</v>
      </c>
      <c r="V86" s="15" t="n">
        <v>24.68</v>
      </c>
      <c r="W86" s="15" t="n">
        <v>17.28</v>
      </c>
      <c r="X86" s="15" t="n">
        <v>48126</v>
      </c>
      <c r="Y86" s="15" t="n">
        <v>48180.77</v>
      </c>
      <c r="Z86" s="15" t="n">
        <v>146874</v>
      </c>
      <c r="AA86" s="15" t="n">
        <v>14437.8</v>
      </c>
      <c r="AB86" s="15" t="n">
        <v>14437.8</v>
      </c>
      <c r="AC86" s="15" t="n">
        <v>-14430</v>
      </c>
      <c r="AD86" s="15" t="n">
        <v>-30</v>
      </c>
      <c r="AE86" s="15" t="n">
        <v>40</v>
      </c>
      <c r="AF86" s="15" t="n">
        <v>6.02</v>
      </c>
      <c r="AG86" s="15" t="n">
        <v>0.1</v>
      </c>
      <c r="AH86" s="15" t="n">
        <v>1.44</v>
      </c>
      <c r="AI86" s="15" t="n">
        <v>7.22</v>
      </c>
      <c r="AJ86" s="15" t="n">
        <v>54.77</v>
      </c>
      <c r="AK86" s="15" t="n">
        <v>-14484.77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Price↑(24255.3&gt;24072.75) &amp; EMA9↑(24129.52&gt;24002.12)</t>
        </is>
      </c>
      <c r="H87" s="17" t="n">
        <v>24129.52</v>
      </c>
      <c r="I87" s="17" t="n">
        <v>24002.12</v>
      </c>
      <c r="J87" s="17" t="inlineStr">
        <is>
          <t>2026-07-23</t>
        </is>
      </c>
      <c r="K87" s="17" t="inlineStr">
        <is>
          <t>WEEKLY</t>
        </is>
      </c>
      <c r="L87" s="17" t="n">
        <v>6</v>
      </c>
      <c r="M87" s="17" t="inlineStr">
        <is>
          <t>09:20 IST</t>
        </is>
      </c>
      <c r="N87" s="17" t="inlineStr">
        <is>
          <t>09:45 IST</t>
        </is>
      </c>
      <c r="O87" s="17" t="n">
        <v>24255.3</v>
      </c>
      <c r="P87" s="17" t="n">
        <v>24072.75</v>
      </c>
      <c r="Q87" s="17" t="inlineStr">
        <is>
          <t>24200 CE</t>
        </is>
      </c>
      <c r="R87" s="17" t="inlineStr">
        <is>
          <t>24300 CE</t>
        </is>
      </c>
      <c r="S87" s="17" t="n">
        <v>25</v>
      </c>
      <c r="T87" s="17" t="n">
        <v>65</v>
      </c>
      <c r="U87" s="17" t="n">
        <v>1625</v>
      </c>
      <c r="V87" s="17" t="n">
        <v>29.7</v>
      </c>
      <c r="W87" s="17" t="n">
        <v>38.61</v>
      </c>
      <c r="X87" s="17" t="n">
        <v>48262.5</v>
      </c>
      <c r="Y87" s="17" t="n">
        <v>48317.29</v>
      </c>
      <c r="Z87" s="17" t="n">
        <v>114237.5</v>
      </c>
      <c r="AA87" s="17" t="n">
        <v>14478.75</v>
      </c>
      <c r="AB87" s="17" t="n">
        <v>14478.75</v>
      </c>
      <c r="AC87" s="17" t="n">
        <v>14478.75</v>
      </c>
      <c r="AD87" s="17" t="n">
        <v>30</v>
      </c>
      <c r="AE87" s="17" t="n">
        <v>40</v>
      </c>
      <c r="AF87" s="17" t="n">
        <v>6.03</v>
      </c>
      <c r="AG87" s="17" t="n">
        <v>0.1</v>
      </c>
      <c r="AH87" s="17" t="n">
        <v>1.45</v>
      </c>
      <c r="AI87" s="17" t="n">
        <v>7.22</v>
      </c>
      <c r="AJ87" s="17" t="n">
        <v>54.79</v>
      </c>
      <c r="AK87" s="17" t="n">
        <v>14423.96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2026-07-17</t>
        </is>
      </c>
      <c r="B88" s="17" t="inlineStr">
        <is>
          <t>NIFTY</t>
        </is>
      </c>
      <c r="C88" s="17" t="inlineStr">
        <is>
          <t>Both Spreads</t>
        </is>
      </c>
      <c r="D88" s="17" t="inlineStr">
        <is>
          <t>Bear Put Spread</t>
        </is>
      </c>
      <c r="E88" s="17" t="inlineStr">
        <is>
          <t>SIMULATED</t>
        </is>
      </c>
      <c r="F88" s="17" t="inlineStr">
        <is>
          <t>BULLISH</t>
        </is>
      </c>
      <c r="G88" s="17" t="inlineStr">
        <is>
          <t>Price↑(24255.3&gt;24072.75) &amp; EMA9↑(24129.52&gt;24002.12)</t>
        </is>
      </c>
      <c r="H88" s="17" t="n">
        <v>24129.52</v>
      </c>
      <c r="I88" s="17" t="n">
        <v>24002.12</v>
      </c>
      <c r="J88" s="17" t="inlineStr">
        <is>
          <t>2026-07-23</t>
        </is>
      </c>
      <c r="K88" s="17" t="inlineStr">
        <is>
          <t>WEEKLY</t>
        </is>
      </c>
      <c r="L88" s="17" t="n">
        <v>6</v>
      </c>
      <c r="M88" s="17" t="inlineStr">
        <is>
          <t>09:20 IST</t>
        </is>
      </c>
      <c r="N88" s="17" t="inlineStr">
        <is>
          <t>11:12 IST</t>
        </is>
      </c>
      <c r="O88" s="17" t="n">
        <v>24255.3</v>
      </c>
      <c r="P88" s="17" t="n">
        <v>24072.75</v>
      </c>
      <c r="Q88" s="17" t="inlineStr">
        <is>
          <t>24300 PE</t>
        </is>
      </c>
      <c r="R88" s="17" t="inlineStr">
        <is>
          <t>24200 PE</t>
        </is>
      </c>
      <c r="S88" s="17" t="n">
        <v>23</v>
      </c>
      <c r="T88" s="17" t="n">
        <v>65</v>
      </c>
      <c r="U88" s="17" t="n">
        <v>1495</v>
      </c>
      <c r="V88" s="17" t="n">
        <v>31.63</v>
      </c>
      <c r="W88" s="17" t="n">
        <v>41.12</v>
      </c>
      <c r="X88" s="17" t="n">
        <v>47286.85</v>
      </c>
      <c r="Y88" s="17" t="n">
        <v>47341.49</v>
      </c>
      <c r="Z88" s="17" t="n">
        <v>102213.15</v>
      </c>
      <c r="AA88" s="17" t="n">
        <v>14186.05</v>
      </c>
      <c r="AB88" s="17" t="n">
        <v>14186.05</v>
      </c>
      <c r="AC88" s="17" t="n">
        <v>14187.55</v>
      </c>
      <c r="AD88" s="17" t="n">
        <v>30</v>
      </c>
      <c r="AE88" s="17" t="n">
        <v>40</v>
      </c>
      <c r="AF88" s="17" t="n">
        <v>5.91</v>
      </c>
      <c r="AG88" s="17" t="n">
        <v>0.09</v>
      </c>
      <c r="AH88" s="17" t="n">
        <v>1.42</v>
      </c>
      <c r="AI88" s="17" t="n">
        <v>7.22</v>
      </c>
      <c r="AJ88" s="17" t="n">
        <v>54.64</v>
      </c>
      <c r="AK88" s="17" t="n">
        <v>14132.91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5" t="inlineStr">
        <is>
          <t>2026-07-17</t>
        </is>
      </c>
      <c r="B89" s="15" t="inlineStr">
        <is>
          <t>NIFTY</t>
        </is>
      </c>
      <c r="C89" s="15" t="inlineStr">
        <is>
          <t>Both Spreads</t>
        </is>
      </c>
      <c r="D89" s="15" t="inlineStr">
        <is>
          <t>Bull Call Spread</t>
        </is>
      </c>
      <c r="E89" s="15" t="inlineStr">
        <is>
          <t>SIMULATED</t>
        </is>
      </c>
      <c r="F89" s="15" t="inlineStr">
        <is>
          <t>BULLISH</t>
        </is>
      </c>
      <c r="G89" s="15" t="inlineStr">
        <is>
          <t>Price↑(24334.3&gt;24072.75) &amp; EMA9↑(24145.32&gt;24009.3)</t>
        </is>
      </c>
      <c r="H89" s="15" t="n">
        <v>24145.32</v>
      </c>
      <c r="I89" s="15" t="n">
        <v>24009.3</v>
      </c>
      <c r="J89" s="15" t="inlineStr">
        <is>
          <t>2026-07-23</t>
        </is>
      </c>
      <c r="K89" s="15" t="inlineStr">
        <is>
          <t>WEEKLY</t>
        </is>
      </c>
      <c r="L89" s="15" t="n">
        <v>6</v>
      </c>
      <c r="M89" s="15" t="inlineStr">
        <is>
          <t>09:20 IST</t>
        </is>
      </c>
      <c r="N89" s="15" t="inlineStr">
        <is>
          <t>09:44 IST</t>
        </is>
      </c>
      <c r="O89" s="15" t="n">
        <v>24334.3</v>
      </c>
      <c r="P89" s="15" t="n">
        <v>24072.75</v>
      </c>
      <c r="Q89" s="15" t="inlineStr">
        <is>
          <t>24300 CE</t>
        </is>
      </c>
      <c r="R89" s="15" t="inlineStr">
        <is>
          <t>24400 CE</t>
        </is>
      </c>
      <c r="S89" s="15" t="n">
        <v>24</v>
      </c>
      <c r="T89" s="15" t="n">
        <v>65</v>
      </c>
      <c r="U89" s="15" t="n">
        <v>1560</v>
      </c>
      <c r="V89" s="15" t="n">
        <v>31.39</v>
      </c>
      <c r="W89" s="15" t="n">
        <v>21.97</v>
      </c>
      <c r="X89" s="15" t="n">
        <v>48968.4</v>
      </c>
      <c r="Y89" s="15" t="n">
        <v>49023.31</v>
      </c>
      <c r="Z89" s="15" t="n">
        <v>107031.6</v>
      </c>
      <c r="AA89" s="15" t="n">
        <v>14690.52</v>
      </c>
      <c r="AB89" s="15" t="n">
        <v>14690.52</v>
      </c>
      <c r="AC89" s="15" t="n">
        <v>-14695.2</v>
      </c>
      <c r="AD89" s="15" t="n">
        <v>-30</v>
      </c>
      <c r="AE89" s="15" t="n">
        <v>40</v>
      </c>
      <c r="AF89" s="15" t="n">
        <v>6.12</v>
      </c>
      <c r="AG89" s="15" t="n">
        <v>0.1</v>
      </c>
      <c r="AH89" s="15" t="n">
        <v>1.47</v>
      </c>
      <c r="AI89" s="15" t="n">
        <v>7.22</v>
      </c>
      <c r="AJ89" s="15" t="n">
        <v>54.91</v>
      </c>
      <c r="AK89" s="15" t="n">
        <v>-14750.11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5" t="inlineStr">
        <is>
          <t>2026-07-17</t>
        </is>
      </c>
      <c r="B90" s="15" t="inlineStr">
        <is>
          <t>NIFTY</t>
        </is>
      </c>
      <c r="C90" s="15" t="inlineStr">
        <is>
          <t>Both Spreads</t>
        </is>
      </c>
      <c r="D90" s="15" t="inlineStr">
        <is>
          <t>Bear Put Spread</t>
        </is>
      </c>
      <c r="E90" s="15" t="inlineStr">
        <is>
          <t>SIMULATED</t>
        </is>
      </c>
      <c r="F90" s="15" t="inlineStr">
        <is>
          <t>BULLISH</t>
        </is>
      </c>
      <c r="G90" s="15" t="inlineStr">
        <is>
          <t>Price↑(24334.3&gt;24072.75) &amp; EMA9↑(24145.32&gt;24009.3)</t>
        </is>
      </c>
      <c r="H90" s="15" t="n">
        <v>24145.32</v>
      </c>
      <c r="I90" s="15" t="n">
        <v>24009.3</v>
      </c>
      <c r="J90" s="15" t="inlineStr">
        <is>
          <t>2026-07-23</t>
        </is>
      </c>
      <c r="K90" s="15" t="inlineStr">
        <is>
          <t>WEEKLY</t>
        </is>
      </c>
      <c r="L90" s="15" t="n">
        <v>6</v>
      </c>
      <c r="M90" s="15" t="inlineStr">
        <is>
          <t>09:20 IST</t>
        </is>
      </c>
      <c r="N90" s="15" t="inlineStr">
        <is>
          <t>10:17 IST</t>
        </is>
      </c>
      <c r="O90" s="15" t="n">
        <v>24334.3</v>
      </c>
      <c r="P90" s="15" t="n">
        <v>24072.75</v>
      </c>
      <c r="Q90" s="15" t="inlineStr">
        <is>
          <t>24400 PE</t>
        </is>
      </c>
      <c r="R90" s="15" t="inlineStr">
        <is>
          <t>24300 PE</t>
        </is>
      </c>
      <c r="S90" s="15" t="n">
        <v>29</v>
      </c>
      <c r="T90" s="15" t="n">
        <v>65</v>
      </c>
      <c r="U90" s="15" t="n">
        <v>1885</v>
      </c>
      <c r="V90" s="15" t="n">
        <v>25.17</v>
      </c>
      <c r="W90" s="15" t="n">
        <v>17.62</v>
      </c>
      <c r="X90" s="15" t="n">
        <v>47445.45</v>
      </c>
      <c r="Y90" s="15" t="n">
        <v>47500.12</v>
      </c>
      <c r="Z90" s="15" t="n">
        <v>141054.55</v>
      </c>
      <c r="AA90" s="15" t="n">
        <v>14233.63</v>
      </c>
      <c r="AB90" s="15" t="n">
        <v>14233.63</v>
      </c>
      <c r="AC90" s="15" t="n">
        <v>-14231.75</v>
      </c>
      <c r="AD90" s="15" t="n">
        <v>-30</v>
      </c>
      <c r="AE90" s="15" t="n">
        <v>40</v>
      </c>
      <c r="AF90" s="15" t="n">
        <v>5.93</v>
      </c>
      <c r="AG90" s="15" t="n">
        <v>0.09</v>
      </c>
      <c r="AH90" s="15" t="n">
        <v>1.42</v>
      </c>
      <c r="AI90" s="15" t="n">
        <v>7.22</v>
      </c>
      <c r="AJ90" s="15" t="n">
        <v>54.67</v>
      </c>
      <c r="AK90" s="15" t="n">
        <v>-14286.42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7" t="inlineStr">
        <is>
          <t>2026-07-20</t>
        </is>
      </c>
      <c r="B91" s="17" t="inlineStr">
        <is>
          <t>NIFTY</t>
        </is>
      </c>
      <c r="C91" s="17" t="inlineStr">
        <is>
          <t>Both Spreads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24152.5</v>
      </c>
      <c r="I91" s="17" t="n">
        <v>24041.8</v>
      </c>
      <c r="J91" s="17" t="inlineStr">
        <is>
          <t>2026-07-23</t>
        </is>
      </c>
      <c r="K91" s="17" t="inlineStr">
        <is>
          <t>WEEKLY</t>
        </is>
      </c>
      <c r="L91" s="17" t="n">
        <v>3</v>
      </c>
      <c r="M91" s="17" t="inlineStr">
        <is>
          <t>09:20 IST</t>
        </is>
      </c>
      <c r="N91" s="17" t="inlineStr">
        <is>
          <t>11:47 IST</t>
        </is>
      </c>
      <c r="O91" s="17" t="n">
        <v>24180.2</v>
      </c>
      <c r="P91" s="17" t="n">
        <v>24334.3</v>
      </c>
      <c r="Q91" s="17" t="inlineStr">
        <is>
          <t>24100 CE</t>
        </is>
      </c>
      <c r="R91" s="17" t="inlineStr">
        <is>
          <t>24200 CE</t>
        </is>
      </c>
      <c r="S91" s="17" t="n">
        <v>28</v>
      </c>
      <c r="T91" s="17" t="n">
        <v>65</v>
      </c>
      <c r="U91" s="17" t="n">
        <v>1820</v>
      </c>
      <c r="V91" s="17" t="n">
        <v>26.08</v>
      </c>
      <c r="W91" s="17" t="n">
        <v>33.9</v>
      </c>
      <c r="X91" s="17" t="n">
        <v>47465.6</v>
      </c>
      <c r="Y91" s="17" t="n">
        <v>47520.27</v>
      </c>
      <c r="Z91" s="17" t="n">
        <v>134534.4</v>
      </c>
      <c r="AA91" s="17" t="n">
        <v>14239.68</v>
      </c>
      <c r="AB91" s="17" t="n">
        <v>14239.68</v>
      </c>
      <c r="AC91" s="17" t="n">
        <v>14232.4</v>
      </c>
      <c r="AD91" s="17" t="n">
        <v>30</v>
      </c>
      <c r="AE91" s="17" t="n">
        <v>40</v>
      </c>
      <c r="AF91" s="17" t="n">
        <v>5.93</v>
      </c>
      <c r="AG91" s="17" t="n">
        <v>0.09</v>
      </c>
      <c r="AH91" s="17" t="n">
        <v>1.42</v>
      </c>
      <c r="AI91" s="17" t="n">
        <v>7.22</v>
      </c>
      <c r="AJ91" s="17" t="n">
        <v>54.67</v>
      </c>
      <c r="AK91" s="17" t="n">
        <v>14177.73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6" t="inlineStr">
        <is>
          <t>2026-07-20</t>
        </is>
      </c>
      <c r="B92" s="16" t="inlineStr">
        <is>
          <t>NIFTY</t>
        </is>
      </c>
      <c r="C92" s="16" t="inlineStr">
        <is>
          <t>Both Spreads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Price:BEARISH EMA:BULLISH</t>
        </is>
      </c>
      <c r="H92" s="16" t="n">
        <v>24152.5</v>
      </c>
      <c r="I92" s="16" t="n">
        <v>24041.8</v>
      </c>
      <c r="J92" s="16" t="inlineStr">
        <is>
          <t>2026-07-23</t>
        </is>
      </c>
      <c r="K92" s="16" t="inlineStr">
        <is>
          <t>WEEKLY</t>
        </is>
      </c>
      <c r="L92" s="16" t="n">
        <v>3</v>
      </c>
      <c r="M92" s="16" t="inlineStr">
        <is>
          <t>09:20 IST</t>
        </is>
      </c>
      <c r="N92" s="16" t="inlineStr">
        <is>
          <t>14:10 IST</t>
        </is>
      </c>
      <c r="O92" s="16" t="n">
        <v>24180.2</v>
      </c>
      <c r="P92" s="16" t="n">
        <v>24334.3</v>
      </c>
      <c r="Q92" s="16" t="inlineStr">
        <is>
          <t>24200 PE</t>
        </is>
      </c>
      <c r="R92" s="16" t="inlineStr">
        <is>
          <t>24100 PE</t>
        </is>
      </c>
      <c r="S92" s="16" t="n">
        <v>23</v>
      </c>
      <c r="T92" s="16" t="n">
        <v>65</v>
      </c>
      <c r="U92" s="16" t="n">
        <v>1495</v>
      </c>
      <c r="V92" s="16" t="n">
        <v>31.91</v>
      </c>
      <c r="W92" s="16" t="n">
        <v>31.51</v>
      </c>
      <c r="X92" s="16" t="n">
        <v>47705.45</v>
      </c>
      <c r="Y92" s="16" t="n">
        <v>47760.16</v>
      </c>
      <c r="Z92" s="16" t="n">
        <v>101794.55</v>
      </c>
      <c r="AA92" s="16" t="n">
        <v>14311.63</v>
      </c>
      <c r="AB92" s="16" t="n">
        <v>14311.63</v>
      </c>
      <c r="AC92" s="16" t="n">
        <v>-598</v>
      </c>
      <c r="AD92" s="16" t="n">
        <v>-1.3</v>
      </c>
      <c r="AE92" s="16" t="n">
        <v>40</v>
      </c>
      <c r="AF92" s="16" t="n">
        <v>5.96</v>
      </c>
      <c r="AG92" s="16" t="n">
        <v>0.1</v>
      </c>
      <c r="AH92" s="16" t="n">
        <v>1.43</v>
      </c>
      <c r="AI92" s="16" t="n">
        <v>7.22</v>
      </c>
      <c r="AJ92" s="16" t="n">
        <v>54.71</v>
      </c>
      <c r="AK92" s="16" t="n">
        <v>-652.71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24164.16</v>
      </c>
      <c r="I93" s="16" t="n">
        <v>24047.1</v>
      </c>
      <c r="J93" s="16" t="inlineStr">
        <is>
          <t>2026-07-23</t>
        </is>
      </c>
      <c r="K93" s="16" t="inlineStr">
        <is>
          <t>WEEKLY</t>
        </is>
      </c>
      <c r="L93" s="16" t="n">
        <v>3</v>
      </c>
      <c r="M93" s="16" t="inlineStr">
        <is>
          <t>09:20 IST</t>
        </is>
      </c>
      <c r="N93" s="16" t="inlineStr">
        <is>
          <t>14:42 IST</t>
        </is>
      </c>
      <c r="O93" s="16" t="n">
        <v>24238.5</v>
      </c>
      <c r="P93" s="16" t="n">
        <v>24334.3</v>
      </c>
      <c r="Q93" s="16" t="inlineStr">
        <is>
          <t>24200 CE</t>
        </is>
      </c>
      <c r="R93" s="16" t="inlineStr">
        <is>
          <t>24300 CE</t>
        </is>
      </c>
      <c r="S93" s="16" t="n">
        <v>20</v>
      </c>
      <c r="T93" s="16" t="n">
        <v>65</v>
      </c>
      <c r="U93" s="16" t="n">
        <v>1300</v>
      </c>
      <c r="V93" s="16" t="n">
        <v>37.17</v>
      </c>
      <c r="W93" s="16" t="n">
        <v>37.14</v>
      </c>
      <c r="X93" s="16" t="n">
        <v>48321</v>
      </c>
      <c r="Y93" s="16" t="n">
        <v>48375.8</v>
      </c>
      <c r="Z93" s="16" t="n">
        <v>81679</v>
      </c>
      <c r="AA93" s="16" t="n">
        <v>14496.3</v>
      </c>
      <c r="AB93" s="16" t="n">
        <v>14496.3</v>
      </c>
      <c r="AC93" s="16" t="n">
        <v>-39</v>
      </c>
      <c r="AD93" s="16" t="n">
        <v>-0.1</v>
      </c>
      <c r="AE93" s="16" t="n">
        <v>40</v>
      </c>
      <c r="AF93" s="16" t="n">
        <v>6.04</v>
      </c>
      <c r="AG93" s="16" t="n">
        <v>0.1</v>
      </c>
      <c r="AH93" s="16" t="n">
        <v>1.45</v>
      </c>
      <c r="AI93" s="16" t="n">
        <v>7.22</v>
      </c>
      <c r="AJ93" s="16" t="n">
        <v>54.8</v>
      </c>
      <c r="AK93" s="16" t="n">
        <v>-93.8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24164.16</v>
      </c>
      <c r="I94" s="15" t="n">
        <v>24047.1</v>
      </c>
      <c r="J94" s="15" t="inlineStr">
        <is>
          <t>2026-07-23</t>
        </is>
      </c>
      <c r="K94" s="15" t="inlineStr">
        <is>
          <t>WEEKLY</t>
        </is>
      </c>
      <c r="L94" s="15" t="n">
        <v>3</v>
      </c>
      <c r="M94" s="15" t="inlineStr">
        <is>
          <t>09:20 IST</t>
        </is>
      </c>
      <c r="N94" s="15" t="inlineStr">
        <is>
          <t>10:16 IST</t>
        </is>
      </c>
      <c r="O94" s="15" t="n">
        <v>24238.5</v>
      </c>
      <c r="P94" s="15" t="n">
        <v>24334.3</v>
      </c>
      <c r="Q94" s="15" t="inlineStr">
        <is>
          <t>24300 PE</t>
        </is>
      </c>
      <c r="R94" s="15" t="inlineStr">
        <is>
          <t>24200 PE</t>
        </is>
      </c>
      <c r="S94" s="15" t="n">
        <v>22</v>
      </c>
      <c r="T94" s="15" t="n">
        <v>65</v>
      </c>
      <c r="U94" s="15" t="n">
        <v>1430</v>
      </c>
      <c r="V94" s="15" t="n">
        <v>34.08</v>
      </c>
      <c r="W94" s="15" t="n">
        <v>23.86</v>
      </c>
      <c r="X94" s="15" t="n">
        <v>48734.4</v>
      </c>
      <c r="Y94" s="15" t="n">
        <v>48789.27</v>
      </c>
      <c r="Z94" s="15" t="n">
        <v>94265.60000000001</v>
      </c>
      <c r="AA94" s="15" t="n">
        <v>14620.32</v>
      </c>
      <c r="AB94" s="15" t="n">
        <v>14620.32</v>
      </c>
      <c r="AC94" s="15" t="n">
        <v>-14614.6</v>
      </c>
      <c r="AD94" s="15" t="n">
        <v>-30</v>
      </c>
      <c r="AE94" s="15" t="n">
        <v>40</v>
      </c>
      <c r="AF94" s="15" t="n">
        <v>6.09</v>
      </c>
      <c r="AG94" s="15" t="n">
        <v>0.1</v>
      </c>
      <c r="AH94" s="15" t="n">
        <v>1.46</v>
      </c>
      <c r="AI94" s="15" t="n">
        <v>7.22</v>
      </c>
      <c r="AJ94" s="15" t="n">
        <v>54.87</v>
      </c>
      <c r="AK94" s="15" t="n">
        <v>-14669.47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24164.13</v>
      </c>
      <c r="I95" s="17" t="n">
        <v>24071.86</v>
      </c>
      <c r="J95" s="17" t="inlineStr">
        <is>
          <t>2026-07-23</t>
        </is>
      </c>
      <c r="K95" s="17" t="inlineStr">
        <is>
          <t>WEEKLY</t>
        </is>
      </c>
      <c r="L95" s="17" t="n">
        <v>2</v>
      </c>
      <c r="M95" s="17" t="inlineStr">
        <is>
          <t>09:20 IST</t>
        </is>
      </c>
      <c r="N95" s="17" t="inlineStr">
        <is>
          <t>10:36 IST</t>
        </is>
      </c>
      <c r="O95" s="17" t="n">
        <v>24163.1</v>
      </c>
      <c r="P95" s="17" t="n">
        <v>24238.5</v>
      </c>
      <c r="Q95" s="17" t="inlineStr">
        <is>
          <t>24100 CE</t>
        </is>
      </c>
      <c r="R95" s="17" t="inlineStr">
        <is>
          <t>24200 CE</t>
        </is>
      </c>
      <c r="S95" s="17" t="n">
        <v>46</v>
      </c>
      <c r="T95" s="17" t="n">
        <v>65</v>
      </c>
      <c r="U95" s="17" t="n">
        <v>2990</v>
      </c>
      <c r="V95" s="17" t="n">
        <v>16.08</v>
      </c>
      <c r="W95" s="17" t="n">
        <v>20.9</v>
      </c>
      <c r="X95" s="17" t="n">
        <v>48079.2</v>
      </c>
      <c r="Y95" s="17" t="n">
        <v>48133.97</v>
      </c>
      <c r="Z95" s="17" t="n">
        <v>250920.8</v>
      </c>
      <c r="AA95" s="17" t="n">
        <v>14423.76</v>
      </c>
      <c r="AB95" s="17" t="n">
        <v>14423.76</v>
      </c>
      <c r="AC95" s="17" t="n">
        <v>14411.8</v>
      </c>
      <c r="AD95" s="17" t="n">
        <v>30</v>
      </c>
      <c r="AE95" s="17" t="n">
        <v>40</v>
      </c>
      <c r="AF95" s="17" t="n">
        <v>6.01</v>
      </c>
      <c r="AG95" s="17" t="n">
        <v>0.1</v>
      </c>
      <c r="AH95" s="17" t="n">
        <v>1.44</v>
      </c>
      <c r="AI95" s="17" t="n">
        <v>7.22</v>
      </c>
      <c r="AJ95" s="17" t="n">
        <v>54.77</v>
      </c>
      <c r="AK95" s="17" t="n">
        <v>14357.03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2026-07-21</t>
        </is>
      </c>
      <c r="B96" s="15" t="inlineStr">
        <is>
          <t>NIFTY</t>
        </is>
      </c>
      <c r="C96" s="15" t="inlineStr">
        <is>
          <t>Both Spreads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24164.13</v>
      </c>
      <c r="I96" s="15" t="n">
        <v>24071.86</v>
      </c>
      <c r="J96" s="15" t="inlineStr">
        <is>
          <t>2026-07-23</t>
        </is>
      </c>
      <c r="K96" s="15" t="inlineStr">
        <is>
          <t>WEEKLY</t>
        </is>
      </c>
      <c r="L96" s="15" t="n">
        <v>2</v>
      </c>
      <c r="M96" s="15" t="inlineStr">
        <is>
          <t>09:20 IST</t>
        </is>
      </c>
      <c r="N96" s="15" t="inlineStr">
        <is>
          <t>11:03 IST</t>
        </is>
      </c>
      <c r="O96" s="15" t="n">
        <v>24163.1</v>
      </c>
      <c r="P96" s="15" t="n">
        <v>24238.5</v>
      </c>
      <c r="Q96" s="15" t="inlineStr">
        <is>
          <t>24200 PE</t>
        </is>
      </c>
      <c r="R96" s="15" t="inlineStr">
        <is>
          <t>24100 PE</t>
        </is>
      </c>
      <c r="S96" s="15" t="n">
        <v>30</v>
      </c>
      <c r="T96" s="15" t="n">
        <v>65</v>
      </c>
      <c r="U96" s="15" t="n">
        <v>1950</v>
      </c>
      <c r="V96" s="15" t="n">
        <v>24.54</v>
      </c>
      <c r="W96" s="15" t="n">
        <v>17.18</v>
      </c>
      <c r="X96" s="15" t="n">
        <v>47853</v>
      </c>
      <c r="Y96" s="15" t="n">
        <v>47907.73</v>
      </c>
      <c r="Z96" s="15" t="n">
        <v>147147</v>
      </c>
      <c r="AA96" s="15" t="n">
        <v>14355.9</v>
      </c>
      <c r="AB96" s="15" t="n">
        <v>14355.9</v>
      </c>
      <c r="AC96" s="15" t="n">
        <v>-14352</v>
      </c>
      <c r="AD96" s="15" t="n">
        <v>-30</v>
      </c>
      <c r="AE96" s="15" t="n">
        <v>40</v>
      </c>
      <c r="AF96" s="15" t="n">
        <v>5.98</v>
      </c>
      <c r="AG96" s="15" t="n">
        <v>0.1</v>
      </c>
      <c r="AH96" s="15" t="n">
        <v>1.44</v>
      </c>
      <c r="AI96" s="15" t="n">
        <v>7.22</v>
      </c>
      <c r="AJ96" s="15" t="n">
        <v>54.73</v>
      </c>
      <c r="AK96" s="15" t="n">
        <v>-14406.73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2026-07-21</t>
        </is>
      </c>
      <c r="B97" s="17" t="inlineStr">
        <is>
          <t>NIFTY</t>
        </is>
      </c>
      <c r="C97" s="17" t="inlineStr">
        <is>
          <t>Both Spreads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24169.05</v>
      </c>
      <c r="I97" s="17" t="n">
        <v>24074.1</v>
      </c>
      <c r="J97" s="17" t="inlineStr">
        <is>
          <t>2026-07-23</t>
        </is>
      </c>
      <c r="K97" s="17" t="inlineStr">
        <is>
          <t>WEEKLY</t>
        </is>
      </c>
      <c r="L97" s="17" t="n">
        <v>2</v>
      </c>
      <c r="M97" s="17" t="inlineStr">
        <is>
          <t>09:20 IST</t>
        </is>
      </c>
      <c r="N97" s="17" t="inlineStr">
        <is>
          <t>11:20 IST</t>
        </is>
      </c>
      <c r="O97" s="17" t="n">
        <v>24187.7</v>
      </c>
      <c r="P97" s="17" t="n">
        <v>24238.5</v>
      </c>
      <c r="Q97" s="17" t="inlineStr">
        <is>
          <t>24100 CE</t>
        </is>
      </c>
      <c r="R97" s="17" t="inlineStr">
        <is>
          <t>24200 CE</t>
        </is>
      </c>
      <c r="S97" s="17" t="n">
        <v>41</v>
      </c>
      <c r="T97" s="17" t="n">
        <v>65</v>
      </c>
      <c r="U97" s="17" t="n">
        <v>2665</v>
      </c>
      <c r="V97" s="17" t="n">
        <v>18.1</v>
      </c>
      <c r="W97" s="17" t="n">
        <v>23.53</v>
      </c>
      <c r="X97" s="17" t="n">
        <v>48236.5</v>
      </c>
      <c r="Y97" s="17" t="n">
        <v>48291.29</v>
      </c>
      <c r="Z97" s="17" t="n">
        <v>218263.5</v>
      </c>
      <c r="AA97" s="17" t="n">
        <v>14470.95</v>
      </c>
      <c r="AB97" s="17" t="n">
        <v>14470.95</v>
      </c>
      <c r="AC97" s="17" t="n">
        <v>14470.95</v>
      </c>
      <c r="AD97" s="17" t="n">
        <v>30</v>
      </c>
      <c r="AE97" s="17" t="n">
        <v>40</v>
      </c>
      <c r="AF97" s="17" t="n">
        <v>6.03</v>
      </c>
      <c r="AG97" s="17" t="n">
        <v>0.1</v>
      </c>
      <c r="AH97" s="17" t="n">
        <v>1.45</v>
      </c>
      <c r="AI97" s="17" t="n">
        <v>7.22</v>
      </c>
      <c r="AJ97" s="17" t="n">
        <v>54.79</v>
      </c>
      <c r="AK97" s="17" t="n">
        <v>14416.16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2026-07-21</t>
        </is>
      </c>
      <c r="B98" s="15" t="inlineStr">
        <is>
          <t>NIFTY</t>
        </is>
      </c>
      <c r="C98" s="15" t="inlineStr">
        <is>
          <t>Both Spreads</t>
        </is>
      </c>
      <c r="D98" s="15" t="inlineStr">
        <is>
          <t>Bear Put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24169.05</v>
      </c>
      <c r="I98" s="15" t="n">
        <v>24074.1</v>
      </c>
      <c r="J98" s="15" t="inlineStr">
        <is>
          <t>2026-07-23</t>
        </is>
      </c>
      <c r="K98" s="15" t="inlineStr">
        <is>
          <t>WEEKLY</t>
        </is>
      </c>
      <c r="L98" s="15" t="n">
        <v>2</v>
      </c>
      <c r="M98" s="15" t="inlineStr">
        <is>
          <t>09:20 IST</t>
        </is>
      </c>
      <c r="N98" s="15" t="inlineStr">
        <is>
          <t>10:30 IST</t>
        </is>
      </c>
      <c r="O98" s="15" t="n">
        <v>24187.7</v>
      </c>
      <c r="P98" s="15" t="n">
        <v>24238.5</v>
      </c>
      <c r="Q98" s="15" t="inlineStr">
        <is>
          <t>24200 PE</t>
        </is>
      </c>
      <c r="R98" s="15" t="inlineStr">
        <is>
          <t>24100 PE</t>
        </is>
      </c>
      <c r="S98" s="15" t="n">
        <v>48</v>
      </c>
      <c r="T98" s="15" t="n">
        <v>65</v>
      </c>
      <c r="U98" s="15" t="n">
        <v>3120</v>
      </c>
      <c r="V98" s="15" t="n">
        <v>15.16</v>
      </c>
      <c r="W98" s="15" t="n">
        <v>10.61</v>
      </c>
      <c r="X98" s="15" t="n">
        <v>47299.2</v>
      </c>
      <c r="Y98" s="15" t="n">
        <v>47353.84</v>
      </c>
      <c r="Z98" s="15" t="n">
        <v>264700.8</v>
      </c>
      <c r="AA98" s="15" t="n">
        <v>14189.76</v>
      </c>
      <c r="AB98" s="15" t="n">
        <v>14189.76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24145.08</v>
      </c>
      <c r="I99" s="17" t="n">
        <v>24082.85</v>
      </c>
      <c r="J99" s="17" t="inlineStr">
        <is>
          <t>2026-07-23</t>
        </is>
      </c>
      <c r="K99" s="17" t="inlineStr">
        <is>
          <t>WEEKLY</t>
        </is>
      </c>
      <c r="L99" s="17" t="n">
        <v>1</v>
      </c>
      <c r="M99" s="17" t="inlineStr">
        <is>
          <t>09:20 IST</t>
        </is>
      </c>
      <c r="N99" s="17" t="inlineStr">
        <is>
          <t>11:08 IST</t>
        </is>
      </c>
      <c r="O99" s="17" t="n">
        <v>24045.55</v>
      </c>
      <c r="P99" s="17" t="n">
        <v>24187.7</v>
      </c>
      <c r="Q99" s="17" t="inlineStr">
        <is>
          <t>24000 CE</t>
        </is>
      </c>
      <c r="R99" s="17" t="inlineStr">
        <is>
          <t>24100 CE</t>
        </is>
      </c>
      <c r="S99" s="17" t="n">
        <v>41</v>
      </c>
      <c r="T99" s="17" t="n">
        <v>65</v>
      </c>
      <c r="U99" s="17" t="n">
        <v>2665</v>
      </c>
      <c r="V99" s="17" t="n">
        <v>17.71</v>
      </c>
      <c r="W99" s="17" t="n">
        <v>23.02</v>
      </c>
      <c r="X99" s="17" t="n">
        <v>47197.15</v>
      </c>
      <c r="Y99" s="17" t="n">
        <v>47251.78</v>
      </c>
      <c r="Z99" s="17" t="n">
        <v>219302.85</v>
      </c>
      <c r="AA99" s="17" t="n">
        <v>14159.15</v>
      </c>
      <c r="AB99" s="17" t="n">
        <v>14159.15</v>
      </c>
      <c r="AC99" s="17" t="n">
        <v>14151.15</v>
      </c>
      <c r="AD99" s="17" t="n">
        <v>30</v>
      </c>
      <c r="AE99" s="17" t="n">
        <v>40</v>
      </c>
      <c r="AF99" s="17" t="n">
        <v>5.9</v>
      </c>
      <c r="AG99" s="17" t="n">
        <v>0.09</v>
      </c>
      <c r="AH99" s="17" t="n">
        <v>1.42</v>
      </c>
      <c r="AI99" s="17" t="n">
        <v>7.22</v>
      </c>
      <c r="AJ99" s="17" t="n">
        <v>54.63</v>
      </c>
      <c r="AK99" s="17" t="n">
        <v>14096.52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5" t="inlineStr">
        <is>
          <t>2026-07-22</t>
        </is>
      </c>
      <c r="B100" s="15" t="inlineStr">
        <is>
          <t>NIFTY</t>
        </is>
      </c>
      <c r="C100" s="15" t="inlineStr">
        <is>
          <t>Both Spreads</t>
        </is>
      </c>
      <c r="D100" s="15" t="inlineStr">
        <is>
          <t>Bear Put Spread</t>
        </is>
      </c>
      <c r="E100" s="15" t="inlineStr">
        <is>
          <t>SIMULATED</t>
        </is>
      </c>
      <c r="F100" s="15" t="inlineStr">
        <is>
          <t>SKIP</t>
        </is>
      </c>
      <c r="G100" s="15" t="inlineStr">
        <is>
          <t>Conflicting — Price:BEARISH EMA:BULLISH</t>
        </is>
      </c>
      <c r="H100" s="15" t="n">
        <v>24145.08</v>
      </c>
      <c r="I100" s="15" t="n">
        <v>24082.85</v>
      </c>
      <c r="J100" s="15" t="inlineStr">
        <is>
          <t>2026-07-23</t>
        </is>
      </c>
      <c r="K100" s="15" t="inlineStr">
        <is>
          <t>WEEKLY</t>
        </is>
      </c>
      <c r="L100" s="15" t="n">
        <v>1</v>
      </c>
      <c r="M100" s="15" t="inlineStr">
        <is>
          <t>09:20 IST</t>
        </is>
      </c>
      <c r="N100" s="15" t="inlineStr">
        <is>
          <t>11:05 IST</t>
        </is>
      </c>
      <c r="O100" s="15" t="n">
        <v>24045.55</v>
      </c>
      <c r="P100" s="15" t="n">
        <v>24187.7</v>
      </c>
      <c r="Q100" s="15" t="inlineStr">
        <is>
          <t>24100 PE</t>
        </is>
      </c>
      <c r="R100" s="15" t="inlineStr">
        <is>
          <t>24000 PE</t>
        </is>
      </c>
      <c r="S100" s="15" t="n">
        <v>36</v>
      </c>
      <c r="T100" s="15" t="n">
        <v>65</v>
      </c>
      <c r="U100" s="15" t="n">
        <v>2340</v>
      </c>
      <c r="V100" s="15" t="n">
        <v>20.27</v>
      </c>
      <c r="W100" s="15" t="n">
        <v>14.19</v>
      </c>
      <c r="X100" s="15" t="n">
        <v>47431.8</v>
      </c>
      <c r="Y100" s="15" t="n">
        <v>47486.46</v>
      </c>
      <c r="Z100" s="15" t="n">
        <v>186568.2</v>
      </c>
      <c r="AA100" s="15" t="n">
        <v>14229.54</v>
      </c>
      <c r="AB100" s="15" t="n">
        <v>14229.54</v>
      </c>
      <c r="AC100" s="15" t="n">
        <v>-14227.2</v>
      </c>
      <c r="AD100" s="15" t="n">
        <v>-30</v>
      </c>
      <c r="AE100" s="15" t="n">
        <v>40</v>
      </c>
      <c r="AF100" s="15" t="n">
        <v>5.93</v>
      </c>
      <c r="AG100" s="15" t="n">
        <v>0.09</v>
      </c>
      <c r="AH100" s="15" t="n">
        <v>1.42</v>
      </c>
      <c r="AI100" s="15" t="n">
        <v>7.22</v>
      </c>
      <c r="AJ100" s="15" t="n">
        <v>54.66</v>
      </c>
      <c r="AK100" s="15" t="n">
        <v>-14281.86</v>
      </c>
      <c r="AL100" s="15" t="inlineStr">
        <is>
          <t>STOP LOSS</t>
        </is>
      </c>
      <c r="AM100" s="15" t="n">
        <v>50000</v>
      </c>
      <c r="AN100" s="15" t="inlineStr">
        <is>
          <t>PAPER TRADING</t>
        </is>
      </c>
    </row>
    <row r="101">
      <c r="A101" s="15" t="inlineStr">
        <is>
          <t>2026-07-22</t>
        </is>
      </c>
      <c r="B101" s="15" t="inlineStr">
        <is>
          <t>NIFTY</t>
        </is>
      </c>
      <c r="C101" s="15" t="inlineStr">
        <is>
          <t>Both Spreads</t>
        </is>
      </c>
      <c r="D101" s="15" t="inlineStr">
        <is>
          <t>Bull Call Spread</t>
        </is>
      </c>
      <c r="E101" s="15" t="inlineStr">
        <is>
          <t>SIMULATED</t>
        </is>
      </c>
      <c r="F101" s="15" t="inlineStr">
        <is>
          <t>SKIP</t>
        </is>
      </c>
      <c r="G101" s="15" t="inlineStr">
        <is>
          <t>Conflicting — Price:BEARISH EMA:BULLISH</t>
        </is>
      </c>
      <c r="H101" s="15" t="n">
        <v>24135.22</v>
      </c>
      <c r="I101" s="15" t="n">
        <v>24078.37</v>
      </c>
      <c r="J101" s="15" t="inlineStr">
        <is>
          <t>2026-07-23</t>
        </is>
      </c>
      <c r="K101" s="15" t="inlineStr">
        <is>
          <t>WEEKLY</t>
        </is>
      </c>
      <c r="L101" s="15" t="n">
        <v>1</v>
      </c>
      <c r="M101" s="15" t="inlineStr">
        <is>
          <t>09:20 IST</t>
        </is>
      </c>
      <c r="N101" s="15" t="inlineStr">
        <is>
          <t>10:23 IST</t>
        </is>
      </c>
      <c r="O101" s="15" t="n">
        <v>23996.25</v>
      </c>
      <c r="P101" s="15" t="n">
        <v>24187.7</v>
      </c>
      <c r="Q101" s="15" t="inlineStr">
        <is>
          <t>23900 CE</t>
        </is>
      </c>
      <c r="R101" s="15" t="inlineStr">
        <is>
          <t>24000 CE</t>
        </is>
      </c>
      <c r="S101" s="15" t="n">
        <v>47</v>
      </c>
      <c r="T101" s="15" t="n">
        <v>65</v>
      </c>
      <c r="U101" s="15" t="n">
        <v>3055</v>
      </c>
      <c r="V101" s="15" t="n">
        <v>15.44</v>
      </c>
      <c r="W101" s="15" t="n">
        <v>10.81</v>
      </c>
      <c r="X101" s="15" t="n">
        <v>47169.2</v>
      </c>
      <c r="Y101" s="15" t="n">
        <v>47223.82</v>
      </c>
      <c r="Z101" s="15" t="n">
        <v>258330.8</v>
      </c>
      <c r="AA101" s="15" t="n">
        <v>14150.76</v>
      </c>
      <c r="AB101" s="15" t="n">
        <v>14150.76</v>
      </c>
      <c r="AC101" s="15" t="n">
        <v>-14144.65</v>
      </c>
      <c r="AD101" s="15" t="n">
        <v>-30</v>
      </c>
      <c r="AE101" s="15" t="n">
        <v>40</v>
      </c>
      <c r="AF101" s="15" t="n">
        <v>5.9</v>
      </c>
      <c r="AG101" s="15" t="n">
        <v>0.09</v>
      </c>
      <c r="AH101" s="15" t="n">
        <v>1.42</v>
      </c>
      <c r="AI101" s="15" t="n">
        <v>7.22</v>
      </c>
      <c r="AJ101" s="15" t="n">
        <v>54.62</v>
      </c>
      <c r="AK101" s="15" t="n">
        <v>-14199.27</v>
      </c>
      <c r="AL101" s="15" t="inlineStr">
        <is>
          <t>STOP LOSS</t>
        </is>
      </c>
      <c r="AM101" s="15" t="n">
        <v>50000</v>
      </c>
      <c r="AN101" s="15" t="inlineStr">
        <is>
          <t>PAPER TRADING</t>
        </is>
      </c>
    </row>
    <row r="102">
      <c r="A102" s="15" t="inlineStr">
        <is>
          <t>2026-07-22</t>
        </is>
      </c>
      <c r="B102" s="15" t="inlineStr">
        <is>
          <t>NIFTY</t>
        </is>
      </c>
      <c r="C102" s="15" t="inlineStr">
        <is>
          <t>Both Spreads</t>
        </is>
      </c>
      <c r="D102" s="15" t="inlineStr">
        <is>
          <t>Bear Put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Price:BEARISH EMA:BULLISH</t>
        </is>
      </c>
      <c r="H102" s="15" t="n">
        <v>24135.22</v>
      </c>
      <c r="I102" s="15" t="n">
        <v>24078.37</v>
      </c>
      <c r="J102" s="15" t="inlineStr">
        <is>
          <t>2026-07-23</t>
        </is>
      </c>
      <c r="K102" s="15" t="inlineStr">
        <is>
          <t>WEEKLY</t>
        </is>
      </c>
      <c r="L102" s="15" t="n">
        <v>1</v>
      </c>
      <c r="M102" s="15" t="inlineStr">
        <is>
          <t>09:20 IST</t>
        </is>
      </c>
      <c r="N102" s="15" t="inlineStr">
        <is>
          <t>11:00 IST</t>
        </is>
      </c>
      <c r="O102" s="15" t="n">
        <v>23996.25</v>
      </c>
      <c r="P102" s="15" t="n">
        <v>24187.7</v>
      </c>
      <c r="Q102" s="15" t="inlineStr">
        <is>
          <t>24000 PE</t>
        </is>
      </c>
      <c r="R102" s="15" t="inlineStr">
        <is>
          <t>23900 PE</t>
        </is>
      </c>
      <c r="S102" s="15" t="n">
        <v>30</v>
      </c>
      <c r="T102" s="15" t="n">
        <v>65</v>
      </c>
      <c r="U102" s="15" t="n">
        <v>1950</v>
      </c>
      <c r="V102" s="15" t="n">
        <v>24.44</v>
      </c>
      <c r="W102" s="15" t="n">
        <v>17.11</v>
      </c>
      <c r="X102" s="15" t="n">
        <v>47658</v>
      </c>
      <c r="Y102" s="15" t="n">
        <v>47712.7</v>
      </c>
      <c r="Z102" s="15" t="n">
        <v>147342</v>
      </c>
      <c r="AA102" s="15" t="n">
        <v>14297.4</v>
      </c>
      <c r="AB102" s="15" t="n">
        <v>14297.4</v>
      </c>
      <c r="AC102" s="15" t="n">
        <v>-14293.5</v>
      </c>
      <c r="AD102" s="15" t="n">
        <v>-30</v>
      </c>
      <c r="AE102" s="15" t="n">
        <v>40</v>
      </c>
      <c r="AF102" s="15" t="n">
        <v>5.96</v>
      </c>
      <c r="AG102" s="15" t="n">
        <v>0.1</v>
      </c>
      <c r="AH102" s="15" t="n">
        <v>1.43</v>
      </c>
      <c r="AI102" s="15" t="n">
        <v>7.22</v>
      </c>
      <c r="AJ102" s="15" t="n">
        <v>54.7</v>
      </c>
      <c r="AK102" s="15" t="n">
        <v>-14348.2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7" t="inlineStr">
        <is>
          <t>2026-07-23</t>
        </is>
      </c>
      <c r="B103" s="17" t="inlineStr">
        <is>
          <t>NIFTY</t>
        </is>
      </c>
      <c r="C103" s="17" t="inlineStr">
        <is>
          <t>Both Spreads</t>
        </is>
      </c>
      <c r="D103" s="17" t="inlineStr">
        <is>
          <t>Bull Call Spread</t>
        </is>
      </c>
      <c r="E103" s="17" t="inlineStr">
        <is>
          <t>SIMULATED</t>
        </is>
      </c>
      <c r="F103" s="17" t="inlineStr">
        <is>
          <t>SKIP</t>
        </is>
      </c>
      <c r="G103" s="17" t="inlineStr">
        <is>
          <t>Conflicting — Price:BEARISH EMA:BULLISH</t>
        </is>
      </c>
      <c r="H103" s="17" t="n">
        <v>24097.47</v>
      </c>
      <c r="I103" s="17" t="n">
        <v>24080.49</v>
      </c>
      <c r="J103" s="17" t="inlineStr">
        <is>
          <t>2026-07-23</t>
        </is>
      </c>
      <c r="K103" s="17" t="inlineStr">
        <is>
          <t>WEEKLY</t>
        </is>
      </c>
      <c r="L103" s="17" t="n">
        <v>0</v>
      </c>
      <c r="M103" s="17" t="inlineStr">
        <is>
          <t>09:20 IST</t>
        </is>
      </c>
      <c r="N103" s="17" t="inlineStr">
        <is>
          <t>10:33 IST</t>
        </is>
      </c>
      <c r="O103" s="17" t="n">
        <v>23942.7</v>
      </c>
      <c r="P103" s="17" t="n">
        <v>23996.25</v>
      </c>
      <c r="Q103" s="17" t="inlineStr">
        <is>
          <t>23900 CE</t>
        </is>
      </c>
      <c r="R103" s="17" t="inlineStr">
        <is>
          <t>24000 CE</t>
        </is>
      </c>
      <c r="S103" s="17" t="n">
        <v>38</v>
      </c>
      <c r="T103" s="17" t="n">
        <v>65</v>
      </c>
      <c r="U103" s="17" t="n">
        <v>2470</v>
      </c>
      <c r="V103" s="17" t="n">
        <v>19.47</v>
      </c>
      <c r="W103" s="17" t="n">
        <v>25.31</v>
      </c>
      <c r="X103" s="17" t="n">
        <v>48090.9</v>
      </c>
      <c r="Y103" s="17" t="n">
        <v>48145.67</v>
      </c>
      <c r="Z103" s="17" t="n">
        <v>198909.1</v>
      </c>
      <c r="AA103" s="17" t="n">
        <v>14427.27</v>
      </c>
      <c r="AB103" s="17" t="n">
        <v>14427.27</v>
      </c>
      <c r="AC103" s="17" t="n">
        <v>14424.8</v>
      </c>
      <c r="AD103" s="17" t="n">
        <v>30</v>
      </c>
      <c r="AE103" s="17" t="n">
        <v>40</v>
      </c>
      <c r="AF103" s="17" t="n">
        <v>6.01</v>
      </c>
      <c r="AG103" s="17" t="n">
        <v>0.1</v>
      </c>
      <c r="AH103" s="17" t="n">
        <v>1.44</v>
      </c>
      <c r="AI103" s="17" t="n">
        <v>7.22</v>
      </c>
      <c r="AJ103" s="17" t="n">
        <v>54.77</v>
      </c>
      <c r="AK103" s="17" t="n">
        <v>14370.03</v>
      </c>
      <c r="AL103" s="17" t="inlineStr">
        <is>
          <t>PROFIT</t>
        </is>
      </c>
      <c r="AM103" s="17" t="n">
        <v>50000</v>
      </c>
      <c r="AN103" s="17" t="inlineStr">
        <is>
          <t>PAPER TRADING</t>
        </is>
      </c>
    </row>
    <row r="104">
      <c r="A104" s="16" t="inlineStr">
        <is>
          <t>2026-07-23</t>
        </is>
      </c>
      <c r="B104" s="16" t="inlineStr">
        <is>
          <t>NIFTY</t>
        </is>
      </c>
      <c r="C104" s="16" t="inlineStr">
        <is>
          <t>Both Spreads</t>
        </is>
      </c>
      <c r="D104" s="16" t="inlineStr">
        <is>
          <t>Bear Put Spread</t>
        </is>
      </c>
      <c r="E104" s="16" t="inlineStr">
        <is>
          <t>SIMULATED</t>
        </is>
      </c>
      <c r="F104" s="16" t="inlineStr">
        <is>
          <t>SKIP</t>
        </is>
      </c>
      <c r="G104" s="16" t="inlineStr">
        <is>
          <t>Conflicting — Price:BEARISH EMA:BULLISH</t>
        </is>
      </c>
      <c r="H104" s="16" t="n">
        <v>24097.47</v>
      </c>
      <c r="I104" s="16" t="n">
        <v>24080.49</v>
      </c>
      <c r="J104" s="16" t="inlineStr">
        <is>
          <t>2026-07-23</t>
        </is>
      </c>
      <c r="K104" s="16" t="inlineStr">
        <is>
          <t>WEEKLY</t>
        </is>
      </c>
      <c r="L104" s="16" t="n">
        <v>0</v>
      </c>
      <c r="M104" s="16" t="inlineStr">
        <is>
          <t>09:20 IST</t>
        </is>
      </c>
      <c r="N104" s="16" t="inlineStr">
        <is>
          <t>14:16 IST</t>
        </is>
      </c>
      <c r="O104" s="16" t="n">
        <v>23942.7</v>
      </c>
      <c r="P104" s="16" t="n">
        <v>23996.25</v>
      </c>
      <c r="Q104" s="16" t="inlineStr">
        <is>
          <t>24000 PE</t>
        </is>
      </c>
      <c r="R104" s="16" t="inlineStr">
        <is>
          <t>23900 PE</t>
        </is>
      </c>
      <c r="S104" s="16" t="n">
        <v>43</v>
      </c>
      <c r="T104" s="16" t="n">
        <v>65</v>
      </c>
      <c r="U104" s="16" t="n">
        <v>2795</v>
      </c>
      <c r="V104" s="16" t="n">
        <v>16.99</v>
      </c>
      <c r="W104" s="16" t="n">
        <v>17.19</v>
      </c>
      <c r="X104" s="16" t="n">
        <v>47487.05</v>
      </c>
      <c r="Y104" s="16" t="n">
        <v>47541.72</v>
      </c>
      <c r="Z104" s="16" t="n">
        <v>232012.95</v>
      </c>
      <c r="AA104" s="16" t="n">
        <v>14246.11</v>
      </c>
      <c r="AB104" s="16" t="n">
        <v>14246.11</v>
      </c>
      <c r="AC104" s="16" t="n">
        <v>559</v>
      </c>
      <c r="AD104" s="16" t="n">
        <v>1.2</v>
      </c>
      <c r="AE104" s="16" t="n">
        <v>40</v>
      </c>
      <c r="AF104" s="16" t="n">
        <v>5.94</v>
      </c>
      <c r="AG104" s="16" t="n">
        <v>0.09</v>
      </c>
      <c r="AH104" s="16" t="n">
        <v>1.42</v>
      </c>
      <c r="AI104" s="16" t="n">
        <v>7.22</v>
      </c>
      <c r="AJ104" s="16" t="n">
        <v>54.67</v>
      </c>
      <c r="AK104" s="16" t="n">
        <v>504.33</v>
      </c>
      <c r="AL104" s="16" t="inlineStr">
        <is>
          <t>FLAT</t>
        </is>
      </c>
      <c r="AM104" s="16" t="n">
        <v>50000</v>
      </c>
      <c r="AN104" s="16" t="inlineStr">
        <is>
          <t>PAPER TRADING</t>
        </is>
      </c>
    </row>
    <row r="105">
      <c r="A105" s="17" t="inlineStr">
        <is>
          <t>2026-07-23</t>
        </is>
      </c>
      <c r="B105" s="17" t="inlineStr">
        <is>
          <t>NIFTY</t>
        </is>
      </c>
      <c r="C105" s="17" t="inlineStr">
        <is>
          <t>Both Spreads</t>
        </is>
      </c>
      <c r="D105" s="17" t="inlineStr">
        <is>
          <t>Bull Call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24082.85</v>
      </c>
      <c r="I105" s="17" t="n">
        <v>24073.84</v>
      </c>
      <c r="J105" s="17" t="inlineStr">
        <is>
          <t>2026-07-23</t>
        </is>
      </c>
      <c r="K105" s="17" t="inlineStr">
        <is>
          <t>WEEKLY</t>
        </is>
      </c>
      <c r="L105" s="17" t="n">
        <v>0</v>
      </c>
      <c r="M105" s="17" t="inlineStr">
        <is>
          <t>09:20 IST</t>
        </is>
      </c>
      <c r="N105" s="17" t="inlineStr">
        <is>
          <t>11:33 IST</t>
        </is>
      </c>
      <c r="O105" s="17" t="n">
        <v>23869.6</v>
      </c>
      <c r="P105" s="17" t="n">
        <v>23996.25</v>
      </c>
      <c r="Q105" s="17" t="inlineStr">
        <is>
          <t>23800 CE</t>
        </is>
      </c>
      <c r="R105" s="17" t="inlineStr">
        <is>
          <t>23900 CE</t>
        </is>
      </c>
      <c r="S105" s="17" t="n">
        <v>38</v>
      </c>
      <c r="T105" s="17" t="n">
        <v>65</v>
      </c>
      <c r="U105" s="17" t="n">
        <v>2470</v>
      </c>
      <c r="V105" s="17" t="n">
        <v>19.18</v>
      </c>
      <c r="W105" s="17" t="n">
        <v>24.93</v>
      </c>
      <c r="X105" s="17" t="n">
        <v>47374.6</v>
      </c>
      <c r="Y105" s="17" t="n">
        <v>47429.25</v>
      </c>
      <c r="Z105" s="17" t="n">
        <v>199625.4</v>
      </c>
      <c r="AA105" s="17" t="n">
        <v>14212.38</v>
      </c>
      <c r="AB105" s="17" t="n">
        <v>14212.38</v>
      </c>
      <c r="AC105" s="17" t="n">
        <v>14202.5</v>
      </c>
      <c r="AD105" s="17" t="n">
        <v>30</v>
      </c>
      <c r="AE105" s="17" t="n">
        <v>40</v>
      </c>
      <c r="AF105" s="17" t="n">
        <v>5.92</v>
      </c>
      <c r="AG105" s="17" t="n">
        <v>0.09</v>
      </c>
      <c r="AH105" s="17" t="n">
        <v>1.42</v>
      </c>
      <c r="AI105" s="17" t="n">
        <v>7.22</v>
      </c>
      <c r="AJ105" s="17" t="n">
        <v>54.65</v>
      </c>
      <c r="AK105" s="17" t="n">
        <v>14147.85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24082.85</v>
      </c>
      <c r="I106" s="17" t="n">
        <v>24073.84</v>
      </c>
      <c r="J106" s="17" t="inlineStr">
        <is>
          <t>2026-07-23</t>
        </is>
      </c>
      <c r="K106" s="17" t="inlineStr">
        <is>
          <t>WEEKLY</t>
        </is>
      </c>
      <c r="L106" s="17" t="n">
        <v>0</v>
      </c>
      <c r="M106" s="17" t="inlineStr">
        <is>
          <t>09:20 IST</t>
        </is>
      </c>
      <c r="N106" s="17" t="inlineStr">
        <is>
          <t>10:38 IST</t>
        </is>
      </c>
      <c r="O106" s="17" t="n">
        <v>23869.6</v>
      </c>
      <c r="P106" s="17" t="n">
        <v>23996.25</v>
      </c>
      <c r="Q106" s="17" t="inlineStr">
        <is>
          <t>23900 PE</t>
        </is>
      </c>
      <c r="R106" s="17" t="inlineStr">
        <is>
          <t>23800 PE</t>
        </is>
      </c>
      <c r="S106" s="17" t="n">
        <v>35</v>
      </c>
      <c r="T106" s="17" t="n">
        <v>65</v>
      </c>
      <c r="U106" s="17" t="n">
        <v>2275</v>
      </c>
      <c r="V106" s="17" t="n">
        <v>20.76</v>
      </c>
      <c r="W106" s="17" t="n">
        <v>26.99</v>
      </c>
      <c r="X106" s="17" t="n">
        <v>47229</v>
      </c>
      <c r="Y106" s="17" t="n">
        <v>47283.63</v>
      </c>
      <c r="Z106" s="17" t="n">
        <v>180271</v>
      </c>
      <c r="AA106" s="17" t="n">
        <v>14168.7</v>
      </c>
      <c r="AB106" s="17" t="n">
        <v>14168.7</v>
      </c>
      <c r="AC106" s="17" t="n">
        <v>14173.25</v>
      </c>
      <c r="AD106" s="17" t="n">
        <v>30</v>
      </c>
      <c r="AE106" s="17" t="n">
        <v>40</v>
      </c>
      <c r="AF106" s="17" t="n">
        <v>5.9</v>
      </c>
      <c r="AG106" s="17" t="n">
        <v>0.09</v>
      </c>
      <c r="AH106" s="17" t="n">
        <v>1.42</v>
      </c>
      <c r="AI106" s="17" t="n">
        <v>7.22</v>
      </c>
      <c r="AJ106" s="17" t="n">
        <v>54.63</v>
      </c>
      <c r="AK106" s="17" t="n">
        <v>14118.62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Price↓(23682.7&lt;23869.6) &amp; EMA9↓(24003.16&lt;24047.82)</t>
        </is>
      </c>
      <c r="H107" s="17" t="n">
        <v>24003.16</v>
      </c>
      <c r="I107" s="17" t="n">
        <v>24047.82</v>
      </c>
      <c r="J107" s="17" t="inlineStr">
        <is>
          <t>2026-07-30</t>
        </is>
      </c>
      <c r="K107" s="17" t="inlineStr">
        <is>
          <t>WEEKLY</t>
        </is>
      </c>
      <c r="L107" s="17" t="n">
        <v>6</v>
      </c>
      <c r="M107" s="17" t="inlineStr">
        <is>
          <t>09:20 IST</t>
        </is>
      </c>
      <c r="N107" s="17" t="inlineStr">
        <is>
          <t>11:08 IST</t>
        </is>
      </c>
      <c r="O107" s="17" t="n">
        <v>23682.7</v>
      </c>
      <c r="P107" s="17" t="n">
        <v>23869.6</v>
      </c>
      <c r="Q107" s="17" t="inlineStr">
        <is>
          <t>23600 CE</t>
        </is>
      </c>
      <c r="R107" s="17" t="inlineStr">
        <is>
          <t>23700 CE</t>
        </is>
      </c>
      <c r="S107" s="17" t="n">
        <v>19</v>
      </c>
      <c r="T107" s="17" t="n">
        <v>65</v>
      </c>
      <c r="U107" s="17" t="n">
        <v>1235</v>
      </c>
      <c r="V107" s="17" t="n">
        <v>37.86</v>
      </c>
      <c r="W107" s="17" t="n">
        <v>49.22</v>
      </c>
      <c r="X107" s="17" t="n">
        <v>46757.1</v>
      </c>
      <c r="Y107" s="17" t="n">
        <v>46811.66</v>
      </c>
      <c r="Z107" s="17" t="n">
        <v>76742.89999999999</v>
      </c>
      <c r="AA107" s="17" t="n">
        <v>14027.13</v>
      </c>
      <c r="AB107" s="17" t="n">
        <v>14027.13</v>
      </c>
      <c r="AC107" s="17" t="n">
        <v>14029.6</v>
      </c>
      <c r="AD107" s="17" t="n">
        <v>30</v>
      </c>
      <c r="AE107" s="17" t="n">
        <v>40</v>
      </c>
      <c r="AF107" s="17" t="n">
        <v>5.84</v>
      </c>
      <c r="AG107" s="17" t="n">
        <v>0.09</v>
      </c>
      <c r="AH107" s="17" t="n">
        <v>1.4</v>
      </c>
      <c r="AI107" s="17" t="n">
        <v>7.22</v>
      </c>
      <c r="AJ107" s="17" t="n">
        <v>54.56</v>
      </c>
      <c r="AK107" s="17" t="n">
        <v>13975.04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6" t="inlineStr">
        <is>
          <t>2026-07-24</t>
        </is>
      </c>
      <c r="B108" s="16" t="inlineStr">
        <is>
          <t>NIFTY</t>
        </is>
      </c>
      <c r="C108" s="16" t="inlineStr">
        <is>
          <t>Both Spreads</t>
        </is>
      </c>
      <c r="D108" s="16" t="inlineStr">
        <is>
          <t>Bear Put Spread</t>
        </is>
      </c>
      <c r="E108" s="16" t="inlineStr">
        <is>
          <t>SIMULATED</t>
        </is>
      </c>
      <c r="F108" s="16" t="inlineStr">
        <is>
          <t>BEARISH</t>
        </is>
      </c>
      <c r="G108" s="16" t="inlineStr">
        <is>
          <t>Price↓(23682.7&lt;23869.6) &amp; EMA9↓(24003.16&lt;24047.82)</t>
        </is>
      </c>
      <c r="H108" s="16" t="n">
        <v>24003.16</v>
      </c>
      <c r="I108" s="16" t="n">
        <v>24047.82</v>
      </c>
      <c r="J108" s="16" t="inlineStr">
        <is>
          <t>2026-07-30</t>
        </is>
      </c>
      <c r="K108" s="16" t="inlineStr">
        <is>
          <t>WEEKLY</t>
        </is>
      </c>
      <c r="L108" s="16" t="n">
        <v>6</v>
      </c>
      <c r="M108" s="16" t="inlineStr">
        <is>
          <t>09:20 IST</t>
        </is>
      </c>
      <c r="N108" s="16" t="inlineStr">
        <is>
          <t>13:36 IST</t>
        </is>
      </c>
      <c r="O108" s="16" t="n">
        <v>23682.7</v>
      </c>
      <c r="P108" s="16" t="n">
        <v>23869.6</v>
      </c>
      <c r="Q108" s="16" t="inlineStr">
        <is>
          <t>23700 PE</t>
        </is>
      </c>
      <c r="R108" s="16" t="inlineStr">
        <is>
          <t>23600 PE</t>
        </is>
      </c>
      <c r="S108" s="16" t="n">
        <v>27</v>
      </c>
      <c r="T108" s="16" t="n">
        <v>65</v>
      </c>
      <c r="U108" s="16" t="n">
        <v>1755</v>
      </c>
      <c r="V108" s="16" t="n">
        <v>26.98</v>
      </c>
      <c r="W108" s="16" t="n">
        <v>27.72</v>
      </c>
      <c r="X108" s="16" t="n">
        <v>47349.9</v>
      </c>
      <c r="Y108" s="16" t="n">
        <v>47404.55</v>
      </c>
      <c r="Z108" s="16" t="n">
        <v>128150.1</v>
      </c>
      <c r="AA108" s="16" t="n">
        <v>14204.97</v>
      </c>
      <c r="AB108" s="16" t="n">
        <v>14204.97</v>
      </c>
      <c r="AC108" s="16" t="n">
        <v>1298.7</v>
      </c>
      <c r="AD108" s="16" t="n">
        <v>2.7</v>
      </c>
      <c r="AE108" s="16" t="n">
        <v>40</v>
      </c>
      <c r="AF108" s="16" t="n">
        <v>5.92</v>
      </c>
      <c r="AG108" s="16" t="n">
        <v>0.09</v>
      </c>
      <c r="AH108" s="16" t="n">
        <v>1.42</v>
      </c>
      <c r="AI108" s="16" t="n">
        <v>7.22</v>
      </c>
      <c r="AJ108" s="16" t="n">
        <v>54.65</v>
      </c>
      <c r="AK108" s="16" t="n">
        <v>1244.05</v>
      </c>
      <c r="AL108" s="16" t="inlineStr">
        <is>
          <t>FLAT</t>
        </is>
      </c>
      <c r="AM108" s="16" t="n">
        <v>50000</v>
      </c>
      <c r="AN108" s="16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BEARISH</t>
        </is>
      </c>
      <c r="G109" s="17" t="inlineStr">
        <is>
          <t>Price↓(23767.45&lt;23869.6) &amp; EMA9↓(24020.11&lt;24055.52)</t>
        </is>
      </c>
      <c r="H109" s="17" t="n">
        <v>24020.11</v>
      </c>
      <c r="I109" s="17" t="n">
        <v>24055.52</v>
      </c>
      <c r="J109" s="17" t="inlineStr">
        <is>
          <t>2026-07-30</t>
        </is>
      </c>
      <c r="K109" s="17" t="inlineStr">
        <is>
          <t>WEEKLY</t>
        </is>
      </c>
      <c r="L109" s="17" t="n">
        <v>6</v>
      </c>
      <c r="M109" s="17" t="inlineStr">
        <is>
          <t>09:20 IST</t>
        </is>
      </c>
      <c r="N109" s="17" t="inlineStr">
        <is>
          <t>11:58 IST</t>
        </is>
      </c>
      <c r="O109" s="17" t="n">
        <v>23767.45</v>
      </c>
      <c r="P109" s="17" t="n">
        <v>23869.6</v>
      </c>
      <c r="Q109" s="17" t="inlineStr">
        <is>
          <t>23700 CE</t>
        </is>
      </c>
      <c r="R109" s="17" t="inlineStr">
        <is>
          <t>23800 CE</t>
        </is>
      </c>
      <c r="S109" s="17" t="n">
        <v>22</v>
      </c>
      <c r="T109" s="17" t="n">
        <v>65</v>
      </c>
      <c r="U109" s="17" t="n">
        <v>1430</v>
      </c>
      <c r="V109" s="17" t="n">
        <v>34.11</v>
      </c>
      <c r="W109" s="17" t="n">
        <v>44.34</v>
      </c>
      <c r="X109" s="17" t="n">
        <v>48777.3</v>
      </c>
      <c r="Y109" s="17" t="n">
        <v>48832.18</v>
      </c>
      <c r="Z109" s="17" t="n">
        <v>94222.7</v>
      </c>
      <c r="AA109" s="17" t="n">
        <v>14633.19</v>
      </c>
      <c r="AB109" s="17" t="n">
        <v>14633.19</v>
      </c>
      <c r="AC109" s="17" t="n">
        <v>14628.9</v>
      </c>
      <c r="AD109" s="17" t="n">
        <v>30</v>
      </c>
      <c r="AE109" s="17" t="n">
        <v>40</v>
      </c>
      <c r="AF109" s="17" t="n">
        <v>6.1</v>
      </c>
      <c r="AG109" s="17" t="n">
        <v>0.1</v>
      </c>
      <c r="AH109" s="17" t="n">
        <v>1.46</v>
      </c>
      <c r="AI109" s="17" t="n">
        <v>7.22</v>
      </c>
      <c r="AJ109" s="17" t="n">
        <v>54.88</v>
      </c>
      <c r="AK109" s="17" t="n">
        <v>14574.02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7" t="inlineStr">
        <is>
          <t>2026-07-24</t>
        </is>
      </c>
      <c r="B110" s="17" t="inlineStr">
        <is>
          <t>NIFTY</t>
        </is>
      </c>
      <c r="C110" s="17" t="inlineStr">
        <is>
          <t>Both Spreads</t>
        </is>
      </c>
      <c r="D110" s="17" t="inlineStr">
        <is>
          <t>Bear Put Spread</t>
        </is>
      </c>
      <c r="E110" s="17" t="inlineStr">
        <is>
          <t>SIMULATED</t>
        </is>
      </c>
      <c r="F110" s="17" t="inlineStr">
        <is>
          <t>BEARISH</t>
        </is>
      </c>
      <c r="G110" s="17" t="inlineStr">
        <is>
          <t>Price↓(23767.45&lt;23869.6) &amp; EMA9↓(24020.11&lt;24055.52)</t>
        </is>
      </c>
      <c r="H110" s="17" t="n">
        <v>24020.11</v>
      </c>
      <c r="I110" s="17" t="n">
        <v>24055.52</v>
      </c>
      <c r="J110" s="17" t="inlineStr">
        <is>
          <t>2026-07-30</t>
        </is>
      </c>
      <c r="K110" s="17" t="inlineStr">
        <is>
          <t>WEEKLY</t>
        </is>
      </c>
      <c r="L110" s="17" t="n">
        <v>6</v>
      </c>
      <c r="M110" s="17" t="inlineStr">
        <is>
          <t>09:20 IST</t>
        </is>
      </c>
      <c r="N110" s="17" t="inlineStr">
        <is>
          <t>10:16 IST</t>
        </is>
      </c>
      <c r="O110" s="17" t="n">
        <v>23767.45</v>
      </c>
      <c r="P110" s="17" t="n">
        <v>23869.6</v>
      </c>
      <c r="Q110" s="17" t="inlineStr">
        <is>
          <t>23800 PE</t>
        </is>
      </c>
      <c r="R110" s="17" t="inlineStr">
        <is>
          <t>23700 PE</t>
        </is>
      </c>
      <c r="S110" s="17" t="n">
        <v>20</v>
      </c>
      <c r="T110" s="17" t="n">
        <v>65</v>
      </c>
      <c r="U110" s="17" t="n">
        <v>1300</v>
      </c>
      <c r="V110" s="17" t="n">
        <v>37.78</v>
      </c>
      <c r="W110" s="17" t="n">
        <v>49.11</v>
      </c>
      <c r="X110" s="17" t="n">
        <v>49114</v>
      </c>
      <c r="Y110" s="17" t="n">
        <v>49168.93</v>
      </c>
      <c r="Z110" s="17" t="n">
        <v>80886</v>
      </c>
      <c r="AA110" s="17" t="n">
        <v>14734.2</v>
      </c>
      <c r="AB110" s="17" t="n">
        <v>14734.2</v>
      </c>
      <c r="AC110" s="17" t="n">
        <v>14729</v>
      </c>
      <c r="AD110" s="17" t="n">
        <v>30</v>
      </c>
      <c r="AE110" s="17" t="n">
        <v>40</v>
      </c>
      <c r="AF110" s="17" t="n">
        <v>6.14</v>
      </c>
      <c r="AG110" s="17" t="n">
        <v>0.1</v>
      </c>
      <c r="AH110" s="17" t="n">
        <v>1.47</v>
      </c>
      <c r="AI110" s="17" t="n">
        <v>7.22</v>
      </c>
      <c r="AJ110" s="17" t="n">
        <v>54.93</v>
      </c>
      <c r="AK110" s="17" t="n">
        <v>14674.07</v>
      </c>
      <c r="AL110" s="17" t="inlineStr">
        <is>
          <t>PROFIT</t>
        </is>
      </c>
      <c r="AM110" s="17" t="n">
        <v>50000</v>
      </c>
      <c r="AN110" s="17" t="inlineStr">
        <is>
          <t>PAPER TRADING</t>
        </is>
      </c>
    </row>
    <row r="111">
      <c r="A111" s="16" t="inlineStr">
        <is>
          <t>2026-07-27</t>
        </is>
      </c>
      <c r="B111" s="16" t="inlineStr">
        <is>
          <t>NIFTY</t>
        </is>
      </c>
      <c r="C111" s="16" t="inlineStr">
        <is>
          <t>Both Spreads</t>
        </is>
      </c>
      <c r="D111" s="16" t="inlineStr">
        <is>
          <t>Bull Call Spread</t>
        </is>
      </c>
      <c r="E111" s="16" t="inlineStr">
        <is>
          <t>SIMULATED</t>
        </is>
      </c>
      <c r="F111" s="16" t="inlineStr">
        <is>
          <t>SKIP</t>
        </is>
      </c>
      <c r="G111" s="16" t="inlineStr">
        <is>
          <t>Conflicting — Price:BULLISH EMA:BEARISH</t>
        </is>
      </c>
      <c r="H111" s="16" t="n">
        <v>24007.53</v>
      </c>
      <c r="I111" s="16" t="n">
        <v>24051.2</v>
      </c>
      <c r="J111" s="16" t="inlineStr">
        <is>
          <t>2026-07-30</t>
        </is>
      </c>
      <c r="K111" s="16" t="inlineStr">
        <is>
          <t>WEEKLY</t>
        </is>
      </c>
      <c r="L111" s="16" t="n">
        <v>3</v>
      </c>
      <c r="M111" s="16" t="inlineStr">
        <is>
          <t>09:20 IST</t>
        </is>
      </c>
      <c r="N111" s="16" t="inlineStr">
        <is>
          <t>14:16 IST</t>
        </is>
      </c>
      <c r="O111" s="16" t="n">
        <v>23955.85</v>
      </c>
      <c r="P111" s="16" t="n">
        <v>23767.45</v>
      </c>
      <c r="Q111" s="16" t="inlineStr">
        <is>
          <t>23900 CE</t>
        </is>
      </c>
      <c r="R111" s="16" t="inlineStr">
        <is>
          <t>24000 CE</t>
        </is>
      </c>
      <c r="S111" s="16" t="n">
        <v>22</v>
      </c>
      <c r="T111" s="16" t="n">
        <v>65</v>
      </c>
      <c r="U111" s="16" t="n">
        <v>1430</v>
      </c>
      <c r="V111" s="16" t="n">
        <v>34.04</v>
      </c>
      <c r="W111" s="16" t="n">
        <v>34.99</v>
      </c>
      <c r="X111" s="16" t="n">
        <v>48677.2</v>
      </c>
      <c r="Y111" s="16" t="n">
        <v>48732.06</v>
      </c>
      <c r="Z111" s="16" t="n">
        <v>94322.8</v>
      </c>
      <c r="AA111" s="16" t="n">
        <v>14603.16</v>
      </c>
      <c r="AB111" s="16" t="n">
        <v>14603.16</v>
      </c>
      <c r="AC111" s="16" t="n">
        <v>1358.5</v>
      </c>
      <c r="AD111" s="16" t="n">
        <v>2.8</v>
      </c>
      <c r="AE111" s="16" t="n">
        <v>40</v>
      </c>
      <c r="AF111" s="16" t="n">
        <v>6.08</v>
      </c>
      <c r="AG111" s="16" t="n">
        <v>0.1</v>
      </c>
      <c r="AH111" s="16" t="n">
        <v>1.46</v>
      </c>
      <c r="AI111" s="16" t="n">
        <v>7.22</v>
      </c>
      <c r="AJ111" s="16" t="n">
        <v>54.86</v>
      </c>
      <c r="AK111" s="16" t="n">
        <v>1303.64</v>
      </c>
      <c r="AL111" s="16" t="inlineStr">
        <is>
          <t>FLAT</t>
        </is>
      </c>
      <c r="AM111" s="16" t="n">
        <v>50000</v>
      </c>
      <c r="AN111" s="16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24007.53</v>
      </c>
      <c r="I112" s="17" t="n">
        <v>24051.2</v>
      </c>
      <c r="J112" s="17" t="inlineStr">
        <is>
          <t>2026-07-30</t>
        </is>
      </c>
      <c r="K112" s="17" t="inlineStr">
        <is>
          <t>WEEKLY</t>
        </is>
      </c>
      <c r="L112" s="17" t="n">
        <v>3</v>
      </c>
      <c r="M112" s="17" t="inlineStr">
        <is>
          <t>09:20 IST</t>
        </is>
      </c>
      <c r="N112" s="17" t="inlineStr">
        <is>
          <t>10:04 IST</t>
        </is>
      </c>
      <c r="O112" s="17" t="n">
        <v>23955.85</v>
      </c>
      <c r="P112" s="17" t="n">
        <v>23767.45</v>
      </c>
      <c r="Q112" s="17" t="inlineStr">
        <is>
          <t>24000 PE</t>
        </is>
      </c>
      <c r="R112" s="17" t="inlineStr">
        <is>
          <t>23900 PE</t>
        </is>
      </c>
      <c r="S112" s="17" t="n">
        <v>27</v>
      </c>
      <c r="T112" s="17" t="n">
        <v>65</v>
      </c>
      <c r="U112" s="17" t="n">
        <v>1755</v>
      </c>
      <c r="V112" s="17" t="n">
        <v>27.85</v>
      </c>
      <c r="W112" s="17" t="n">
        <v>36.21</v>
      </c>
      <c r="X112" s="17" t="n">
        <v>48876.75</v>
      </c>
      <c r="Y112" s="17" t="n">
        <v>48931.64</v>
      </c>
      <c r="Z112" s="17" t="n">
        <v>126623.25</v>
      </c>
      <c r="AA112" s="17" t="n">
        <v>14663.02</v>
      </c>
      <c r="AB112" s="17" t="n">
        <v>14663.02</v>
      </c>
      <c r="AC112" s="17" t="n">
        <v>14671.8</v>
      </c>
      <c r="AD112" s="17" t="n">
        <v>30</v>
      </c>
      <c r="AE112" s="17" t="n">
        <v>40</v>
      </c>
      <c r="AF112" s="17" t="n">
        <v>6.11</v>
      </c>
      <c r="AG112" s="17" t="n">
        <v>0.1</v>
      </c>
      <c r="AH112" s="17" t="n">
        <v>1.47</v>
      </c>
      <c r="AI112" s="17" t="n">
        <v>7.22</v>
      </c>
      <c r="AJ112" s="17" t="n">
        <v>54.89</v>
      </c>
      <c r="AK112" s="17" t="n">
        <v>14616.91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24015.55</v>
      </c>
      <c r="I113" s="17" t="n">
        <v>24054.84</v>
      </c>
      <c r="J113" s="17" t="inlineStr">
        <is>
          <t>2026-07-30</t>
        </is>
      </c>
      <c r="K113" s="17" t="inlineStr">
        <is>
          <t>WEEKLY</t>
        </is>
      </c>
      <c r="L113" s="17" t="n">
        <v>3</v>
      </c>
      <c r="M113" s="17" t="inlineStr">
        <is>
          <t>09:20 IST</t>
        </is>
      </c>
      <c r="N113" s="17" t="inlineStr">
        <is>
          <t>10:22 IST</t>
        </is>
      </c>
      <c r="O113" s="17" t="n">
        <v>23995.95</v>
      </c>
      <c r="P113" s="17" t="n">
        <v>23767.45</v>
      </c>
      <c r="Q113" s="17" t="inlineStr">
        <is>
          <t>23900 CE</t>
        </is>
      </c>
      <c r="R113" s="17" t="inlineStr">
        <is>
          <t>24000 CE</t>
        </is>
      </c>
      <c r="S113" s="17" t="n">
        <v>20</v>
      </c>
      <c r="T113" s="17" t="n">
        <v>65</v>
      </c>
      <c r="U113" s="17" t="n">
        <v>1300</v>
      </c>
      <c r="V113" s="17" t="n">
        <v>37.65</v>
      </c>
      <c r="W113" s="17" t="n">
        <v>48.95</v>
      </c>
      <c r="X113" s="17" t="n">
        <v>48945</v>
      </c>
      <c r="Y113" s="17" t="n">
        <v>48999.9</v>
      </c>
      <c r="Z113" s="17" t="n">
        <v>81055</v>
      </c>
      <c r="AA113" s="17" t="n">
        <v>14683.5</v>
      </c>
      <c r="AB113" s="17" t="n">
        <v>14683.5</v>
      </c>
      <c r="AC113" s="17" t="n">
        <v>14690</v>
      </c>
      <c r="AD113" s="17" t="n">
        <v>30</v>
      </c>
      <c r="AE113" s="17" t="n">
        <v>40</v>
      </c>
      <c r="AF113" s="17" t="n">
        <v>6.12</v>
      </c>
      <c r="AG113" s="17" t="n">
        <v>0.1</v>
      </c>
      <c r="AH113" s="17" t="n">
        <v>1.47</v>
      </c>
      <c r="AI113" s="17" t="n">
        <v>7.22</v>
      </c>
      <c r="AJ113" s="17" t="n">
        <v>54.9</v>
      </c>
      <c r="AK113" s="17" t="n">
        <v>14635.1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7" t="inlineStr">
        <is>
          <t>2026-07-27</t>
        </is>
      </c>
      <c r="B114" s="17" t="inlineStr">
        <is>
          <t>NIFTY</t>
        </is>
      </c>
      <c r="C114" s="17" t="inlineStr">
        <is>
          <t>Both Spreads</t>
        </is>
      </c>
      <c r="D114" s="17" t="inlineStr">
        <is>
          <t>Bear Put Spread</t>
        </is>
      </c>
      <c r="E114" s="17" t="inlineStr">
        <is>
          <t>SIMULATED</t>
        </is>
      </c>
      <c r="F114" s="17" t="inlineStr">
        <is>
          <t>SKIP</t>
        </is>
      </c>
      <c r="G114" s="17" t="inlineStr">
        <is>
          <t>Conflicting — Price:BULLISH EMA:BEARISH</t>
        </is>
      </c>
      <c r="H114" s="17" t="n">
        <v>24015.55</v>
      </c>
      <c r="I114" s="17" t="n">
        <v>24054.84</v>
      </c>
      <c r="J114" s="17" t="inlineStr">
        <is>
          <t>2026-07-30</t>
        </is>
      </c>
      <c r="K114" s="17" t="inlineStr">
        <is>
          <t>WEEKLY</t>
        </is>
      </c>
      <c r="L114" s="17" t="n">
        <v>3</v>
      </c>
      <c r="M114" s="17" t="inlineStr">
        <is>
          <t>09:20 IST</t>
        </is>
      </c>
      <c r="N114" s="17" t="inlineStr">
        <is>
          <t>12:10 IST</t>
        </is>
      </c>
      <c r="O114" s="17" t="n">
        <v>23995.95</v>
      </c>
      <c r="P114" s="17" t="n">
        <v>23767.45</v>
      </c>
      <c r="Q114" s="17" t="inlineStr">
        <is>
          <t>24000 PE</t>
        </is>
      </c>
      <c r="R114" s="17" t="inlineStr">
        <is>
          <t>23900 PE</t>
        </is>
      </c>
      <c r="S114" s="17" t="n">
        <v>29</v>
      </c>
      <c r="T114" s="17" t="n">
        <v>65</v>
      </c>
      <c r="U114" s="17" t="n">
        <v>1885</v>
      </c>
      <c r="V114" s="17" t="n">
        <v>25.29</v>
      </c>
      <c r="W114" s="17" t="n">
        <v>32.88</v>
      </c>
      <c r="X114" s="17" t="n">
        <v>47671.65</v>
      </c>
      <c r="Y114" s="17" t="n">
        <v>47726.35</v>
      </c>
      <c r="Z114" s="17" t="n">
        <v>140828.35</v>
      </c>
      <c r="AA114" s="17" t="n">
        <v>14301.5</v>
      </c>
      <c r="AB114" s="17" t="n">
        <v>14301.5</v>
      </c>
      <c r="AC114" s="17" t="n">
        <v>14307.15</v>
      </c>
      <c r="AD114" s="17" t="n">
        <v>30</v>
      </c>
      <c r="AE114" s="17" t="n">
        <v>40</v>
      </c>
      <c r="AF114" s="17" t="n">
        <v>5.96</v>
      </c>
      <c r="AG114" s="17" t="n">
        <v>0.1</v>
      </c>
      <c r="AH114" s="17" t="n">
        <v>1.43</v>
      </c>
      <c r="AI114" s="17" t="n">
        <v>7.22</v>
      </c>
      <c r="AJ114" s="17" t="n">
        <v>54.7</v>
      </c>
      <c r="AK114" s="17" t="n">
        <v>14252.45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2026-07-28</t>
        </is>
      </c>
      <c r="B115" s="17" t="inlineStr">
        <is>
          <t>NIFTY</t>
        </is>
      </c>
      <c r="C115" s="17" t="inlineStr">
        <is>
          <t>Both Spreads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24057.44</v>
      </c>
      <c r="I115" s="17" t="n">
        <v>24078.56</v>
      </c>
      <c r="J115" s="17" t="inlineStr">
        <is>
          <t>2026-07-30</t>
        </is>
      </c>
      <c r="K115" s="17" t="inlineStr">
        <is>
          <t>WEEKLY</t>
        </is>
      </c>
      <c r="L115" s="17" t="n">
        <v>2</v>
      </c>
      <c r="M115" s="17" t="inlineStr">
        <is>
          <t>09:20 IST</t>
        </is>
      </c>
      <c r="N115" s="17" t="inlineStr">
        <is>
          <t>10:27 IST</t>
        </is>
      </c>
      <c r="O115" s="17" t="n">
        <v>24021.3</v>
      </c>
      <c r="P115" s="17" t="n">
        <v>23995.95</v>
      </c>
      <c r="Q115" s="17" t="inlineStr">
        <is>
          <t>24000 CE</t>
        </is>
      </c>
      <c r="R115" s="17" t="inlineStr">
        <is>
          <t>24100 CE</t>
        </is>
      </c>
      <c r="S115" s="17" t="n">
        <v>44</v>
      </c>
      <c r="T115" s="17" t="n">
        <v>65</v>
      </c>
      <c r="U115" s="17" t="n">
        <v>2860</v>
      </c>
      <c r="V115" s="17" t="n">
        <v>16.63</v>
      </c>
      <c r="W115" s="17" t="n">
        <v>21.62</v>
      </c>
      <c r="X115" s="17" t="n">
        <v>47561.8</v>
      </c>
      <c r="Y115" s="17" t="n">
        <v>47616.48</v>
      </c>
      <c r="Z115" s="17" t="n">
        <v>238438.2</v>
      </c>
      <c r="AA115" s="17" t="n">
        <v>14268.54</v>
      </c>
      <c r="AB115" s="17" t="n">
        <v>14268.54</v>
      </c>
      <c r="AC115" s="17" t="n">
        <v>14271.4</v>
      </c>
      <c r="AD115" s="17" t="n">
        <v>30</v>
      </c>
      <c r="AE115" s="17" t="n">
        <v>40</v>
      </c>
      <c r="AF115" s="17" t="n">
        <v>5.95</v>
      </c>
      <c r="AG115" s="17" t="n">
        <v>0.1</v>
      </c>
      <c r="AH115" s="17" t="n">
        <v>1.43</v>
      </c>
      <c r="AI115" s="17" t="n">
        <v>7.22</v>
      </c>
      <c r="AJ115" s="17" t="n">
        <v>54.68</v>
      </c>
      <c r="AK115" s="17" t="n">
        <v>14216.72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SKIP</t>
        </is>
      </c>
      <c r="G116" s="17" t="inlineStr">
        <is>
          <t>Conflicting — Price:BULLISH EMA:BEARISH</t>
        </is>
      </c>
      <c r="H116" s="17" t="n">
        <v>24057.44</v>
      </c>
      <c r="I116" s="17" t="n">
        <v>24078.56</v>
      </c>
      <c r="J116" s="17" t="inlineStr">
        <is>
          <t>2026-07-30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12:07 IST</t>
        </is>
      </c>
      <c r="O116" s="17" t="n">
        <v>24021.3</v>
      </c>
      <c r="P116" s="17" t="n">
        <v>23995.95</v>
      </c>
      <c r="Q116" s="17" t="inlineStr">
        <is>
          <t>24100 PE</t>
        </is>
      </c>
      <c r="R116" s="17" t="inlineStr">
        <is>
          <t>24000 PE</t>
        </is>
      </c>
      <c r="S116" s="17" t="n">
        <v>45</v>
      </c>
      <c r="T116" s="17" t="n">
        <v>65</v>
      </c>
      <c r="U116" s="17" t="n">
        <v>2925</v>
      </c>
      <c r="V116" s="17" t="n">
        <v>16.38</v>
      </c>
      <c r="W116" s="17" t="n">
        <v>21.29</v>
      </c>
      <c r="X116" s="17" t="n">
        <v>47911.5</v>
      </c>
      <c r="Y116" s="17" t="n">
        <v>47966.24</v>
      </c>
      <c r="Z116" s="17" t="n">
        <v>244588.5</v>
      </c>
      <c r="AA116" s="17" t="n">
        <v>14373.45</v>
      </c>
      <c r="AB116" s="17" t="n">
        <v>14373.45</v>
      </c>
      <c r="AC116" s="17" t="n">
        <v>14361.75</v>
      </c>
      <c r="AD116" s="17" t="n">
        <v>30</v>
      </c>
      <c r="AE116" s="17" t="n">
        <v>40</v>
      </c>
      <c r="AF116" s="17" t="n">
        <v>5.99</v>
      </c>
      <c r="AG116" s="17" t="n">
        <v>0.1</v>
      </c>
      <c r="AH116" s="17" t="n">
        <v>1.44</v>
      </c>
      <c r="AI116" s="17" t="n">
        <v>7.22</v>
      </c>
      <c r="AJ116" s="17" t="n">
        <v>54.74</v>
      </c>
      <c r="AK116" s="17" t="n">
        <v>14307.01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6" t="inlineStr">
        <is>
          <t>2026-07-28</t>
        </is>
      </c>
      <c r="B117" s="16" t="inlineStr">
        <is>
          <t>NIFTY</t>
        </is>
      </c>
      <c r="C117" s="16" t="inlineStr">
        <is>
          <t>Both Spreads</t>
        </is>
      </c>
      <c r="D117" s="16" t="inlineStr">
        <is>
          <t>Bull Call Spread</t>
        </is>
      </c>
      <c r="E117" s="16" t="inlineStr">
        <is>
          <t>SIMULATED</t>
        </is>
      </c>
      <c r="F117" s="16" t="inlineStr">
        <is>
          <t>BEARISH</t>
        </is>
      </c>
      <c r="G117" s="16" t="inlineStr">
        <is>
          <t>Price↓(23985.35&lt;23995.95) &amp; EMA9↓(24009.71&lt;24050.83)</t>
        </is>
      </c>
      <c r="H117" s="16" t="n">
        <v>24009.71</v>
      </c>
      <c r="I117" s="16" t="n">
        <v>24050.83</v>
      </c>
      <c r="J117" s="16" t="inlineStr">
        <is>
          <t>2026-07-30</t>
        </is>
      </c>
      <c r="K117" s="16" t="inlineStr">
        <is>
          <t>WEEKLY</t>
        </is>
      </c>
      <c r="L117" s="16" t="n">
        <v>2</v>
      </c>
      <c r="M117" s="16" t="inlineStr">
        <is>
          <t>09:20 IST</t>
        </is>
      </c>
      <c r="N117" s="16" t="inlineStr">
        <is>
          <t>14:35 IST</t>
        </is>
      </c>
      <c r="O117" s="16" t="n">
        <v>23985.35</v>
      </c>
      <c r="P117" s="16" t="n">
        <v>23995.95</v>
      </c>
      <c r="Q117" s="16" t="inlineStr">
        <is>
          <t>23900 CE</t>
        </is>
      </c>
      <c r="R117" s="16" t="inlineStr">
        <is>
          <t>24000 CE</t>
        </is>
      </c>
      <c r="S117" s="16" t="n">
        <v>31</v>
      </c>
      <c r="T117" s="16" t="n">
        <v>65</v>
      </c>
      <c r="U117" s="16" t="n">
        <v>2015</v>
      </c>
      <c r="V117" s="16" t="n">
        <v>23.92</v>
      </c>
      <c r="W117" s="16" t="n">
        <v>22.9</v>
      </c>
      <c r="X117" s="16" t="n">
        <v>48198.8</v>
      </c>
      <c r="Y117" s="16" t="n">
        <v>48253.58</v>
      </c>
      <c r="Z117" s="16" t="n">
        <v>153301.2</v>
      </c>
      <c r="AA117" s="16" t="n">
        <v>14459.64</v>
      </c>
      <c r="AB117" s="16" t="n">
        <v>14459.64</v>
      </c>
      <c r="AC117" s="16" t="n">
        <v>-2055.3</v>
      </c>
      <c r="AD117" s="16" t="n">
        <v>-4.3</v>
      </c>
      <c r="AE117" s="16" t="n">
        <v>40</v>
      </c>
      <c r="AF117" s="16" t="n">
        <v>6.02</v>
      </c>
      <c r="AG117" s="16" t="n">
        <v>0.1</v>
      </c>
      <c r="AH117" s="16" t="n">
        <v>1.45</v>
      </c>
      <c r="AI117" s="16" t="n">
        <v>7.22</v>
      </c>
      <c r="AJ117" s="16" t="n">
        <v>54.78</v>
      </c>
      <c r="AK117" s="16" t="n">
        <v>-2110.08</v>
      </c>
      <c r="AL117" s="16" t="inlineStr">
        <is>
          <t>FLAT</t>
        </is>
      </c>
      <c r="AM117" s="16" t="n">
        <v>50000</v>
      </c>
      <c r="AN117" s="16" t="inlineStr">
        <is>
          <t>PAPER TRADING</t>
        </is>
      </c>
    </row>
    <row r="118">
      <c r="A118" s="16" t="inlineStr">
        <is>
          <t>2026-07-28</t>
        </is>
      </c>
      <c r="B118" s="16" t="inlineStr">
        <is>
          <t>NIFTY</t>
        </is>
      </c>
      <c r="C118" s="16" t="inlineStr">
        <is>
          <t>Both Spreads</t>
        </is>
      </c>
      <c r="D118" s="16" t="inlineStr">
        <is>
          <t>Bear Put Spread</t>
        </is>
      </c>
      <c r="E118" s="16" t="inlineStr">
        <is>
          <t>SIMULATED</t>
        </is>
      </c>
      <c r="F118" s="16" t="inlineStr">
        <is>
          <t>BEARISH</t>
        </is>
      </c>
      <c r="G118" s="16" t="inlineStr">
        <is>
          <t>Price↓(23985.35&lt;23995.95) &amp; EMA9↓(24009.71&lt;24050.83)</t>
        </is>
      </c>
      <c r="H118" s="16" t="n">
        <v>24009.71</v>
      </c>
      <c r="I118" s="16" t="n">
        <v>24050.83</v>
      </c>
      <c r="J118" s="16" t="inlineStr">
        <is>
          <t>2026-07-30</t>
        </is>
      </c>
      <c r="K118" s="16" t="inlineStr">
        <is>
          <t>WEEKLY</t>
        </is>
      </c>
      <c r="L118" s="16" t="n">
        <v>2</v>
      </c>
      <c r="M118" s="16" t="inlineStr">
        <is>
          <t>09:20 IST</t>
        </is>
      </c>
      <c r="N118" s="16" t="inlineStr">
        <is>
          <t>14:54 IST</t>
        </is>
      </c>
      <c r="O118" s="16" t="n">
        <v>23985.35</v>
      </c>
      <c r="P118" s="16" t="n">
        <v>23995.95</v>
      </c>
      <c r="Q118" s="16" t="inlineStr">
        <is>
          <t>24000 PE</t>
        </is>
      </c>
      <c r="R118" s="16" t="inlineStr">
        <is>
          <t>23900 PE</t>
        </is>
      </c>
      <c r="S118" s="16" t="n">
        <v>31</v>
      </c>
      <c r="T118" s="16" t="n">
        <v>65</v>
      </c>
      <c r="U118" s="16" t="n">
        <v>2015</v>
      </c>
      <c r="V118" s="16" t="n">
        <v>23.6</v>
      </c>
      <c r="W118" s="16" t="n">
        <v>24.71</v>
      </c>
      <c r="X118" s="16" t="n">
        <v>47554</v>
      </c>
      <c r="Y118" s="16" t="n">
        <v>47608.68</v>
      </c>
      <c r="Z118" s="16" t="n">
        <v>153946</v>
      </c>
      <c r="AA118" s="16" t="n">
        <v>14266.2</v>
      </c>
      <c r="AB118" s="16" t="n">
        <v>14266.2</v>
      </c>
      <c r="AC118" s="16" t="n">
        <v>2236.65</v>
      </c>
      <c r="AD118" s="16" t="n">
        <v>4.7</v>
      </c>
      <c r="AE118" s="16" t="n">
        <v>40</v>
      </c>
      <c r="AF118" s="16" t="n">
        <v>5.94</v>
      </c>
      <c r="AG118" s="16" t="n">
        <v>0.1</v>
      </c>
      <c r="AH118" s="16" t="n">
        <v>1.43</v>
      </c>
      <c r="AI118" s="16" t="n">
        <v>7.22</v>
      </c>
      <c r="AJ118" s="16" t="n">
        <v>54.68</v>
      </c>
      <c r="AK118" s="16" t="n">
        <v>2181.97</v>
      </c>
      <c r="AL118" s="16" t="inlineStr">
        <is>
          <t>FLAT</t>
        </is>
      </c>
      <c r="AM118" s="16" t="n">
        <v>50000</v>
      </c>
      <c r="AN118" s="16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BULLISH</t>
        </is>
      </c>
      <c r="G119" s="17" t="inlineStr">
        <is>
          <t>Price↑(24229.9&gt;23995.95) &amp; EMA9↑(24099.01&gt;24091.53)</t>
        </is>
      </c>
      <c r="H119" s="17" t="n">
        <v>24099.01</v>
      </c>
      <c r="I119" s="17" t="n">
        <v>24091.53</v>
      </c>
      <c r="J119" s="17" t="inlineStr">
        <is>
          <t>2026-07-30</t>
        </is>
      </c>
      <c r="K119" s="17" t="inlineStr">
        <is>
          <t>WEEKLY</t>
        </is>
      </c>
      <c r="L119" s="17" t="n">
        <v>1</v>
      </c>
      <c r="M119" s="17" t="inlineStr">
        <is>
          <t>09:20 IST</t>
        </is>
      </c>
      <c r="N119" s="17" t="inlineStr">
        <is>
          <t>10:45 IST</t>
        </is>
      </c>
      <c r="O119" s="17" t="n">
        <v>24229.9</v>
      </c>
      <c r="P119" s="17" t="n">
        <v>23995.95</v>
      </c>
      <c r="Q119" s="17" t="inlineStr">
        <is>
          <t>24200 CE</t>
        </is>
      </c>
      <c r="R119" s="17" t="inlineStr">
        <is>
          <t>24300 CE</t>
        </is>
      </c>
      <c r="S119" s="17" t="n">
        <v>35</v>
      </c>
      <c r="T119" s="17" t="n">
        <v>65</v>
      </c>
      <c r="U119" s="17" t="n">
        <v>2275</v>
      </c>
      <c r="V119" s="17" t="n">
        <v>20.95</v>
      </c>
      <c r="W119" s="17" t="n">
        <v>27.23</v>
      </c>
      <c r="X119" s="17" t="n">
        <v>47661.25</v>
      </c>
      <c r="Y119" s="17" t="n">
        <v>47715.95</v>
      </c>
      <c r="Z119" s="17" t="n">
        <v>179838.75</v>
      </c>
      <c r="AA119" s="17" t="n">
        <v>14298.38</v>
      </c>
      <c r="AB119" s="17" t="n">
        <v>14298.38</v>
      </c>
      <c r="AC119" s="17" t="n">
        <v>14287</v>
      </c>
      <c r="AD119" s="17" t="n">
        <v>30</v>
      </c>
      <c r="AE119" s="17" t="n">
        <v>40</v>
      </c>
      <c r="AF119" s="17" t="n">
        <v>5.96</v>
      </c>
      <c r="AG119" s="17" t="n">
        <v>0.1</v>
      </c>
      <c r="AH119" s="17" t="n">
        <v>1.43</v>
      </c>
      <c r="AI119" s="17" t="n">
        <v>7.22</v>
      </c>
      <c r="AJ119" s="17" t="n">
        <v>54.7</v>
      </c>
      <c r="AK119" s="17" t="n">
        <v>14232.3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5" t="inlineStr">
        <is>
          <t>2026-07-29</t>
        </is>
      </c>
      <c r="B120" s="15" t="inlineStr">
        <is>
          <t>NIFTY</t>
        </is>
      </c>
      <c r="C120" s="15" t="inlineStr">
        <is>
          <t>Both Spreads</t>
        </is>
      </c>
      <c r="D120" s="15" t="inlineStr">
        <is>
          <t>Bear Put Spread</t>
        </is>
      </c>
      <c r="E120" s="15" t="inlineStr">
        <is>
          <t>SIMULATED</t>
        </is>
      </c>
      <c r="F120" s="15" t="inlineStr">
        <is>
          <t>BULLISH</t>
        </is>
      </c>
      <c r="G120" s="15" t="inlineStr">
        <is>
          <t>Price↑(24229.9&gt;23995.95) &amp; EMA9↑(24099.01&gt;24091.53)</t>
        </is>
      </c>
      <c r="H120" s="15" t="n">
        <v>24099.01</v>
      </c>
      <c r="I120" s="15" t="n">
        <v>24091.53</v>
      </c>
      <c r="J120" s="15" t="inlineStr">
        <is>
          <t>2026-07-30</t>
        </is>
      </c>
      <c r="K120" s="15" t="inlineStr">
        <is>
          <t>WEEKLY</t>
        </is>
      </c>
      <c r="L120" s="15" t="n">
        <v>1</v>
      </c>
      <c r="M120" s="15" t="inlineStr">
        <is>
          <t>09:20 IST</t>
        </is>
      </c>
      <c r="N120" s="15" t="inlineStr">
        <is>
          <t>10:48 IST</t>
        </is>
      </c>
      <c r="O120" s="15" t="n">
        <v>24229.9</v>
      </c>
      <c r="P120" s="15" t="n">
        <v>23995.95</v>
      </c>
      <c r="Q120" s="15" t="inlineStr">
        <is>
          <t>24300 PE</t>
        </is>
      </c>
      <c r="R120" s="15" t="inlineStr">
        <is>
          <t>24200 PE</t>
        </is>
      </c>
      <c r="S120" s="15" t="n">
        <v>42</v>
      </c>
      <c r="T120" s="15" t="n">
        <v>65</v>
      </c>
      <c r="U120" s="15" t="n">
        <v>2730</v>
      </c>
      <c r="V120" s="15" t="n">
        <v>17.54</v>
      </c>
      <c r="W120" s="15" t="n">
        <v>12.28</v>
      </c>
      <c r="X120" s="15" t="n">
        <v>47884.2</v>
      </c>
      <c r="Y120" s="15" t="n">
        <v>47938.94</v>
      </c>
      <c r="Z120" s="15" t="n">
        <v>225115.8</v>
      </c>
      <c r="AA120" s="15" t="n">
        <v>14365.26</v>
      </c>
      <c r="AB120" s="15" t="n">
        <v>14365.26</v>
      </c>
      <c r="AC120" s="15" t="n">
        <v>-14359.8</v>
      </c>
      <c r="AD120" s="15" t="n">
        <v>-30</v>
      </c>
      <c r="AE120" s="15" t="n">
        <v>40</v>
      </c>
      <c r="AF120" s="15" t="n">
        <v>5.99</v>
      </c>
      <c r="AG120" s="15" t="n">
        <v>0.1</v>
      </c>
      <c r="AH120" s="15" t="n">
        <v>1.44</v>
      </c>
      <c r="AI120" s="15" t="n">
        <v>7.22</v>
      </c>
      <c r="AJ120" s="15" t="n">
        <v>54.74</v>
      </c>
      <c r="AK120" s="15" t="n">
        <v>-14414.54</v>
      </c>
      <c r="AL120" s="15" t="inlineStr">
        <is>
          <t>STOP LOSS</t>
        </is>
      </c>
      <c r="AM120" s="15" t="n">
        <v>50000</v>
      </c>
      <c r="AN120" s="15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24057.72</v>
      </c>
      <c r="I121" s="16" t="n">
        <v>24063.99</v>
      </c>
      <c r="J121" s="16" t="inlineStr">
        <is>
          <t>2026-07-30</t>
        </is>
      </c>
      <c r="K121" s="16" t="inlineStr">
        <is>
          <t>WEEKLY</t>
        </is>
      </c>
      <c r="L121" s="16" t="n">
        <v>1</v>
      </c>
      <c r="M121" s="16" t="inlineStr">
        <is>
          <t>09:20 IST</t>
        </is>
      </c>
      <c r="N121" s="16" t="inlineStr">
        <is>
          <t>15:05 IST</t>
        </is>
      </c>
      <c r="O121" s="16" t="n">
        <v>24250.2</v>
      </c>
      <c r="P121" s="16" t="n">
        <v>23985.35</v>
      </c>
      <c r="Q121" s="16" t="inlineStr">
        <is>
          <t>24200 CE</t>
        </is>
      </c>
      <c r="R121" s="16" t="inlineStr">
        <is>
          <t>24300 CE</t>
        </is>
      </c>
      <c r="S121" s="16" t="n">
        <v>45</v>
      </c>
      <c r="T121" s="16" t="n">
        <v>65</v>
      </c>
      <c r="U121" s="16" t="n">
        <v>2925</v>
      </c>
      <c r="V121" s="16" t="n">
        <v>16.32</v>
      </c>
      <c r="W121" s="16" t="n">
        <v>15.67</v>
      </c>
      <c r="X121" s="16" t="n">
        <v>47736</v>
      </c>
      <c r="Y121" s="16" t="n">
        <v>47790.71</v>
      </c>
      <c r="Z121" s="16" t="n">
        <v>244764</v>
      </c>
      <c r="AA121" s="16" t="n">
        <v>14320.8</v>
      </c>
      <c r="AB121" s="16" t="n">
        <v>14320.8</v>
      </c>
      <c r="AC121" s="16" t="n">
        <v>-1901.25</v>
      </c>
      <c r="AD121" s="16" t="n">
        <v>-4</v>
      </c>
      <c r="AE121" s="16" t="n">
        <v>40</v>
      </c>
      <c r="AF121" s="16" t="n">
        <v>5.97</v>
      </c>
      <c r="AG121" s="16" t="n">
        <v>0.1</v>
      </c>
      <c r="AH121" s="16" t="n">
        <v>1.43</v>
      </c>
      <c r="AI121" s="16" t="n">
        <v>7.22</v>
      </c>
      <c r="AJ121" s="16" t="n">
        <v>54.71</v>
      </c>
      <c r="AK121" s="16" t="n">
        <v>-1955.96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24057.72</v>
      </c>
      <c r="I122" s="17" t="n">
        <v>24063.99</v>
      </c>
      <c r="J122" s="17" t="inlineStr">
        <is>
          <t>2026-07-30</t>
        </is>
      </c>
      <c r="K122" s="17" t="inlineStr">
        <is>
          <t>WEEKLY</t>
        </is>
      </c>
      <c r="L122" s="17" t="n">
        <v>1</v>
      </c>
      <c r="M122" s="17" t="inlineStr">
        <is>
          <t>09:20 IST</t>
        </is>
      </c>
      <c r="N122" s="17" t="inlineStr">
        <is>
          <t>10:21 IST</t>
        </is>
      </c>
      <c r="O122" s="17" t="n">
        <v>24250.2</v>
      </c>
      <c r="P122" s="17" t="n">
        <v>23985.35</v>
      </c>
      <c r="Q122" s="17" t="inlineStr">
        <is>
          <t>24300 PE</t>
        </is>
      </c>
      <c r="R122" s="17" t="inlineStr">
        <is>
          <t>24200 PE</t>
        </is>
      </c>
      <c r="S122" s="17" t="n">
        <v>41</v>
      </c>
      <c r="T122" s="17" t="n">
        <v>65</v>
      </c>
      <c r="U122" s="17" t="n">
        <v>2665</v>
      </c>
      <c r="V122" s="17" t="n">
        <v>18.13</v>
      </c>
      <c r="W122" s="17" t="n">
        <v>23.57</v>
      </c>
      <c r="X122" s="17" t="n">
        <v>48316.45</v>
      </c>
      <c r="Y122" s="17" t="n">
        <v>48371.25</v>
      </c>
      <c r="Z122" s="17" t="n">
        <v>218183.55</v>
      </c>
      <c r="AA122" s="17" t="n">
        <v>14494.93</v>
      </c>
      <c r="AB122" s="17" t="n">
        <v>14494.93</v>
      </c>
      <c r="AC122" s="17" t="n">
        <v>14497.6</v>
      </c>
      <c r="AD122" s="17" t="n">
        <v>30</v>
      </c>
      <c r="AE122" s="17" t="n">
        <v>40</v>
      </c>
      <c r="AF122" s="17" t="n">
        <v>6.04</v>
      </c>
      <c r="AG122" s="17" t="n">
        <v>0.1</v>
      </c>
      <c r="AH122" s="17" t="n">
        <v>1.45</v>
      </c>
      <c r="AI122" s="17" t="n">
        <v>7.22</v>
      </c>
      <c r="AJ122" s="17" t="n">
        <v>54.8</v>
      </c>
      <c r="AK122" s="17" t="n">
        <v>14442.8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2026-07-30</t>
        </is>
      </c>
      <c r="B123" s="17" t="inlineStr">
        <is>
          <t>NIFTY</t>
        </is>
      </c>
      <c r="C123" s="17" t="inlineStr">
        <is>
          <t>Both Spreads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BULLISH</t>
        </is>
      </c>
      <c r="G123" s="17" t="inlineStr">
        <is>
          <t>Price↑(24269.6&gt;24250.2) &amp; EMA9↑(24099.7&gt;24078.34)</t>
        </is>
      </c>
      <c r="H123" s="17" t="n">
        <v>24099.7</v>
      </c>
      <c r="I123" s="17" t="n">
        <v>24078.34</v>
      </c>
      <c r="J123" s="17" t="inlineStr">
        <is>
          <t>2026-07-30</t>
        </is>
      </c>
      <c r="K123" s="17" t="inlineStr">
        <is>
          <t>WEEKLY</t>
        </is>
      </c>
      <c r="L123" s="17" t="n">
        <v>0</v>
      </c>
      <c r="M123" s="17" t="inlineStr">
        <is>
          <t>09:20 IST</t>
        </is>
      </c>
      <c r="N123" s="17" t="inlineStr">
        <is>
          <t>10:42 IST</t>
        </is>
      </c>
      <c r="O123" s="17" t="n">
        <v>24269.6</v>
      </c>
      <c r="P123" s="17" t="n">
        <v>24250.2</v>
      </c>
      <c r="Q123" s="17" t="inlineStr">
        <is>
          <t>24200 CE</t>
        </is>
      </c>
      <c r="R123" s="17" t="inlineStr">
        <is>
          <t>24300 CE</t>
        </is>
      </c>
      <c r="S123" s="17" t="n">
        <v>39</v>
      </c>
      <c r="T123" s="17" t="n">
        <v>65</v>
      </c>
      <c r="U123" s="17" t="n">
        <v>2535</v>
      </c>
      <c r="V123" s="17" t="n">
        <v>18.99</v>
      </c>
      <c r="W123" s="17" t="n">
        <v>24.69</v>
      </c>
      <c r="X123" s="17" t="n">
        <v>48139.65</v>
      </c>
      <c r="Y123" s="17" t="n">
        <v>48194.43</v>
      </c>
      <c r="Z123" s="17" t="n">
        <v>205360.35</v>
      </c>
      <c r="AA123" s="17" t="n">
        <v>14441.9</v>
      </c>
      <c r="AB123" s="17" t="n">
        <v>14441.9</v>
      </c>
      <c r="AC123" s="17" t="n">
        <v>14449.5</v>
      </c>
      <c r="AD123" s="17" t="n">
        <v>30</v>
      </c>
      <c r="AE123" s="17" t="n">
        <v>40</v>
      </c>
      <c r="AF123" s="17" t="n">
        <v>6.02</v>
      </c>
      <c r="AG123" s="17" t="n">
        <v>0.1</v>
      </c>
      <c r="AH123" s="17" t="n">
        <v>1.44</v>
      </c>
      <c r="AI123" s="17" t="n">
        <v>7.22</v>
      </c>
      <c r="AJ123" s="17" t="n">
        <v>54.78</v>
      </c>
      <c r="AK123" s="17" t="n">
        <v>14394.72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2026-07-30</t>
        </is>
      </c>
      <c r="B124" s="17" t="inlineStr">
        <is>
          <t>NIFTY</t>
        </is>
      </c>
      <c r="C124" s="17" t="inlineStr">
        <is>
          <t>Both Spreads</t>
        </is>
      </c>
      <c r="D124" s="17" t="inlineStr">
        <is>
          <t>Bear Put Spread</t>
        </is>
      </c>
      <c r="E124" s="17" t="inlineStr">
        <is>
          <t>SIMULATED</t>
        </is>
      </c>
      <c r="F124" s="17" t="inlineStr">
        <is>
          <t>BULLISH</t>
        </is>
      </c>
      <c r="G124" s="17" t="inlineStr">
        <is>
          <t>Price↑(24269.6&gt;24250.2) &amp; EMA9↑(24099.7&gt;24078.34)</t>
        </is>
      </c>
      <c r="H124" s="17" t="n">
        <v>24099.7</v>
      </c>
      <c r="I124" s="17" t="n">
        <v>24078.34</v>
      </c>
      <c r="J124" s="17" t="inlineStr">
        <is>
          <t>2026-07-30</t>
        </is>
      </c>
      <c r="K124" s="17" t="inlineStr">
        <is>
          <t>WEEKLY</t>
        </is>
      </c>
      <c r="L124" s="17" t="n">
        <v>0</v>
      </c>
      <c r="M124" s="17" t="inlineStr">
        <is>
          <t>09:20 IST</t>
        </is>
      </c>
      <c r="N124" s="17" t="inlineStr">
        <is>
          <t>09:55 IST</t>
        </is>
      </c>
      <c r="O124" s="17" t="n">
        <v>24269.6</v>
      </c>
      <c r="P124" s="17" t="n">
        <v>24250.2</v>
      </c>
      <c r="Q124" s="17" t="inlineStr">
        <is>
          <t>24300 PE</t>
        </is>
      </c>
      <c r="R124" s="17" t="inlineStr">
        <is>
          <t>24200 PE</t>
        </is>
      </c>
      <c r="S124" s="17" t="n">
        <v>30</v>
      </c>
      <c r="T124" s="17" t="n">
        <v>65</v>
      </c>
      <c r="U124" s="17" t="n">
        <v>1950</v>
      </c>
      <c r="V124" s="17" t="n">
        <v>24.24</v>
      </c>
      <c r="W124" s="17" t="n">
        <v>31.51</v>
      </c>
      <c r="X124" s="17" t="n">
        <v>47268</v>
      </c>
      <c r="Y124" s="17" t="n">
        <v>47322.64</v>
      </c>
      <c r="Z124" s="17" t="n">
        <v>147732</v>
      </c>
      <c r="AA124" s="17" t="n">
        <v>14180.4</v>
      </c>
      <c r="AB124" s="17" t="n">
        <v>14180.4</v>
      </c>
      <c r="AC124" s="17" t="n">
        <v>14176.5</v>
      </c>
      <c r="AD124" s="17" t="n">
        <v>30</v>
      </c>
      <c r="AE124" s="17" t="n">
        <v>40</v>
      </c>
      <c r="AF124" s="17" t="n">
        <v>5.91</v>
      </c>
      <c r="AG124" s="17" t="n">
        <v>0.09</v>
      </c>
      <c r="AH124" s="17" t="n">
        <v>1.42</v>
      </c>
      <c r="AI124" s="17" t="n">
        <v>7.22</v>
      </c>
      <c r="AJ124" s="17" t="n">
        <v>54.64</v>
      </c>
      <c r="AK124" s="17" t="n">
        <v>14121.86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7" t="inlineStr">
        <is>
          <t>2026-07-30</t>
        </is>
      </c>
      <c r="B125" s="17" t="inlineStr">
        <is>
          <t>NIFTY</t>
        </is>
      </c>
      <c r="C125" s="17" t="inlineStr">
        <is>
          <t>Both Spreads</t>
        </is>
      </c>
      <c r="D125" s="17" t="inlineStr">
        <is>
          <t>Bull Call Spread</t>
        </is>
      </c>
      <c r="E125" s="17" t="inlineStr">
        <is>
          <t>SIMULATED</t>
        </is>
      </c>
      <c r="F125" s="17" t="inlineStr">
        <is>
          <t>BULLISH</t>
        </is>
      </c>
      <c r="G125" s="17" t="inlineStr">
        <is>
          <t>Price↑(24317.15&gt;24250.2) &amp; EMA9↑(24109.21&gt;24082.66)</t>
        </is>
      </c>
      <c r="H125" s="17" t="n">
        <v>24109.21</v>
      </c>
      <c r="I125" s="17" t="n">
        <v>24082.66</v>
      </c>
      <c r="J125" s="17" t="inlineStr">
        <is>
          <t>2026-07-30</t>
        </is>
      </c>
      <c r="K125" s="17" t="inlineStr">
        <is>
          <t>WEEKLY</t>
        </is>
      </c>
      <c r="L125" s="17" t="n">
        <v>0</v>
      </c>
      <c r="M125" s="17" t="inlineStr">
        <is>
          <t>09:20 IST</t>
        </is>
      </c>
      <c r="N125" s="17" t="inlineStr">
        <is>
          <t>10:08 IST</t>
        </is>
      </c>
      <c r="O125" s="17" t="n">
        <v>24317.15</v>
      </c>
      <c r="P125" s="17" t="n">
        <v>24250.2</v>
      </c>
      <c r="Q125" s="17" t="inlineStr">
        <is>
          <t>24300 CE</t>
        </is>
      </c>
      <c r="R125" s="17" t="inlineStr">
        <is>
          <t>24400 CE</t>
        </is>
      </c>
      <c r="S125" s="17" t="n">
        <v>47</v>
      </c>
      <c r="T125" s="17" t="n">
        <v>65</v>
      </c>
      <c r="U125" s="17" t="n">
        <v>3055</v>
      </c>
      <c r="V125" s="17" t="n">
        <v>15.67</v>
      </c>
      <c r="W125" s="17" t="n">
        <v>20.37</v>
      </c>
      <c r="X125" s="17" t="n">
        <v>47871.85</v>
      </c>
      <c r="Y125" s="17" t="n">
        <v>47926.58</v>
      </c>
      <c r="Z125" s="17" t="n">
        <v>257628.15</v>
      </c>
      <c r="AA125" s="17" t="n">
        <v>14361.55</v>
      </c>
      <c r="AB125" s="17" t="n">
        <v>14361.55</v>
      </c>
      <c r="AC125" s="17" t="n">
        <v>14358.5</v>
      </c>
      <c r="AD125" s="17" t="n">
        <v>30</v>
      </c>
      <c r="AE125" s="17" t="n">
        <v>40</v>
      </c>
      <c r="AF125" s="17" t="n">
        <v>5.98</v>
      </c>
      <c r="AG125" s="17" t="n">
        <v>0.1</v>
      </c>
      <c r="AH125" s="17" t="n">
        <v>1.44</v>
      </c>
      <c r="AI125" s="17" t="n">
        <v>7.22</v>
      </c>
      <c r="AJ125" s="17" t="n">
        <v>54.73</v>
      </c>
      <c r="AK125" s="17" t="n">
        <v>14303.77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7" t="inlineStr">
        <is>
          <t>2026-07-30</t>
        </is>
      </c>
      <c r="B126" s="17" t="inlineStr">
        <is>
          <t>NIFTY</t>
        </is>
      </c>
      <c r="C126" s="17" t="inlineStr">
        <is>
          <t>Both Spreads</t>
        </is>
      </c>
      <c r="D126" s="17" t="inlineStr">
        <is>
          <t>Bear Put Spread</t>
        </is>
      </c>
      <c r="E126" s="17" t="inlineStr">
        <is>
          <t>SIMULATED</t>
        </is>
      </c>
      <c r="F126" s="17" t="inlineStr">
        <is>
          <t>BULLISH</t>
        </is>
      </c>
      <c r="G126" s="17" t="inlineStr">
        <is>
          <t>Price↑(24317.15&gt;24250.2) &amp; EMA9↑(24109.21&gt;24082.66)</t>
        </is>
      </c>
      <c r="H126" s="17" t="n">
        <v>24109.21</v>
      </c>
      <c r="I126" s="17" t="n">
        <v>24082.66</v>
      </c>
      <c r="J126" s="17" t="inlineStr">
        <is>
          <t>2026-07-30</t>
        </is>
      </c>
      <c r="K126" s="17" t="inlineStr">
        <is>
          <t>WEEKLY</t>
        </is>
      </c>
      <c r="L126" s="17" t="n">
        <v>0</v>
      </c>
      <c r="M126" s="17" t="inlineStr">
        <is>
          <t>09:20 IST</t>
        </is>
      </c>
      <c r="N126" s="17" t="inlineStr">
        <is>
          <t>10:30 IST</t>
        </is>
      </c>
      <c r="O126" s="17" t="n">
        <v>24317.15</v>
      </c>
      <c r="P126" s="17" t="n">
        <v>24250.2</v>
      </c>
      <c r="Q126" s="17" t="inlineStr">
        <is>
          <t>24400 PE</t>
        </is>
      </c>
      <c r="R126" s="17" t="inlineStr">
        <is>
          <t>24300 PE</t>
        </is>
      </c>
      <c r="S126" s="17" t="n">
        <v>43</v>
      </c>
      <c r="T126" s="17" t="n">
        <v>65</v>
      </c>
      <c r="U126" s="17" t="n">
        <v>2795</v>
      </c>
      <c r="V126" s="17" t="n">
        <v>16.94</v>
      </c>
      <c r="W126" s="17" t="n">
        <v>22.02</v>
      </c>
      <c r="X126" s="17" t="n">
        <v>47347.3</v>
      </c>
      <c r="Y126" s="17" t="n">
        <v>47401.95</v>
      </c>
      <c r="Z126" s="17" t="n">
        <v>232152.7</v>
      </c>
      <c r="AA126" s="17" t="n">
        <v>14204.19</v>
      </c>
      <c r="AB126" s="17" t="n">
        <v>14204.19</v>
      </c>
      <c r="AC126" s="17" t="n">
        <v>14198.6</v>
      </c>
      <c r="AD126" s="17" t="n">
        <v>30</v>
      </c>
      <c r="AE126" s="17" t="n">
        <v>40</v>
      </c>
      <c r="AF126" s="17" t="n">
        <v>5.92</v>
      </c>
      <c r="AG126" s="17" t="n">
        <v>0.09</v>
      </c>
      <c r="AH126" s="17" t="n">
        <v>1.42</v>
      </c>
      <c r="AI126" s="17" t="n">
        <v>7.22</v>
      </c>
      <c r="AJ126" s="17" t="n">
        <v>54.65</v>
      </c>
      <c r="AK126" s="17" t="n">
        <v>14143.95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BULLISH</t>
        </is>
      </c>
      <c r="G127" s="17" t="inlineStr">
        <is>
          <t>Price↑(24367.65&gt;24317.15) &amp; EMA9↑(24160.61&gt;24108.83)</t>
        </is>
      </c>
      <c r="H127" s="17" t="n">
        <v>24160.61</v>
      </c>
      <c r="I127" s="17" t="n">
        <v>24108.83</v>
      </c>
      <c r="J127" s="17" t="inlineStr">
        <is>
          <t>2026-08-06</t>
        </is>
      </c>
      <c r="K127" s="17" t="inlineStr">
        <is>
          <t>WEEKLY</t>
        </is>
      </c>
      <c r="L127" s="17" t="n">
        <v>6</v>
      </c>
      <c r="M127" s="17" t="inlineStr">
        <is>
          <t>09:20 IST</t>
        </is>
      </c>
      <c r="N127" s="17" t="inlineStr">
        <is>
          <t>10:32 IST</t>
        </is>
      </c>
      <c r="O127" s="17" t="n">
        <v>24367.65</v>
      </c>
      <c r="P127" s="17" t="n">
        <v>24317.15</v>
      </c>
      <c r="Q127" s="17" t="inlineStr">
        <is>
          <t>24300 CE</t>
        </is>
      </c>
      <c r="R127" s="17" t="inlineStr">
        <is>
          <t>24400 CE</t>
        </is>
      </c>
      <c r="S127" s="17" t="n">
        <v>23</v>
      </c>
      <c r="T127" s="17" t="n">
        <v>65</v>
      </c>
      <c r="U127" s="17" t="n">
        <v>1495</v>
      </c>
      <c r="V127" s="17" t="n">
        <v>31.82</v>
      </c>
      <c r="W127" s="17" t="n">
        <v>41.37</v>
      </c>
      <c r="X127" s="17" t="n">
        <v>47570.9</v>
      </c>
      <c r="Y127" s="17" t="n">
        <v>47625.59</v>
      </c>
      <c r="Z127" s="17" t="n">
        <v>101929.1</v>
      </c>
      <c r="AA127" s="17" t="n">
        <v>14271.27</v>
      </c>
      <c r="AB127" s="17" t="n">
        <v>14271.27</v>
      </c>
      <c r="AC127" s="17" t="n">
        <v>14277.25</v>
      </c>
      <c r="AD127" s="17" t="n">
        <v>30</v>
      </c>
      <c r="AE127" s="17" t="n">
        <v>40</v>
      </c>
      <c r="AF127" s="17" t="n">
        <v>5.95</v>
      </c>
      <c r="AG127" s="17" t="n">
        <v>0.1</v>
      </c>
      <c r="AH127" s="17" t="n">
        <v>1.43</v>
      </c>
      <c r="AI127" s="17" t="n">
        <v>7.22</v>
      </c>
      <c r="AJ127" s="17" t="n">
        <v>54.69</v>
      </c>
      <c r="AK127" s="17" t="n">
        <v>14222.56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2026-07-31</t>
        </is>
      </c>
      <c r="B128" s="16" t="inlineStr">
        <is>
          <t>NIFTY</t>
        </is>
      </c>
      <c r="C128" s="16" t="inlineStr">
        <is>
          <t>Both Spreads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BULLISH</t>
        </is>
      </c>
      <c r="G128" s="16" t="inlineStr">
        <is>
          <t>Price↑(24367.65&gt;24317.15) &amp; EMA9↑(24160.61&gt;24108.83)</t>
        </is>
      </c>
      <c r="H128" s="16" t="n">
        <v>24160.61</v>
      </c>
      <c r="I128" s="16" t="n">
        <v>24108.83</v>
      </c>
      <c r="J128" s="16" t="inlineStr">
        <is>
          <t>2026-08-06</t>
        </is>
      </c>
      <c r="K128" s="16" t="inlineStr">
        <is>
          <t>WEEKLY</t>
        </is>
      </c>
      <c r="L128" s="16" t="n">
        <v>6</v>
      </c>
      <c r="M128" s="16" t="inlineStr">
        <is>
          <t>09:20 IST</t>
        </is>
      </c>
      <c r="N128" s="16" t="inlineStr">
        <is>
          <t>14:18 IST</t>
        </is>
      </c>
      <c r="O128" s="16" t="n">
        <v>24367.65</v>
      </c>
      <c r="P128" s="16" t="n">
        <v>24317.15</v>
      </c>
      <c r="Q128" s="16" t="inlineStr">
        <is>
          <t>24400 PE</t>
        </is>
      </c>
      <c r="R128" s="16" t="inlineStr">
        <is>
          <t>24300 PE</t>
        </is>
      </c>
      <c r="S128" s="16" t="n">
        <v>24</v>
      </c>
      <c r="T128" s="16" t="n">
        <v>65</v>
      </c>
      <c r="U128" s="16" t="n">
        <v>1560</v>
      </c>
      <c r="V128" s="16" t="n">
        <v>30.21</v>
      </c>
      <c r="W128" s="16" t="n">
        <v>28.92</v>
      </c>
      <c r="X128" s="16" t="n">
        <v>47127.6</v>
      </c>
      <c r="Y128" s="16" t="n">
        <v>47182.22</v>
      </c>
      <c r="Z128" s="16" t="n">
        <v>108872.4</v>
      </c>
      <c r="AA128" s="16" t="n">
        <v>14138.28</v>
      </c>
      <c r="AB128" s="16" t="n">
        <v>14138.28</v>
      </c>
      <c r="AC128" s="16" t="n">
        <v>-2012.4</v>
      </c>
      <c r="AD128" s="16" t="n">
        <v>-4.3</v>
      </c>
      <c r="AE128" s="16" t="n">
        <v>40</v>
      </c>
      <c r="AF128" s="16" t="n">
        <v>5.89</v>
      </c>
      <c r="AG128" s="16" t="n">
        <v>0.09</v>
      </c>
      <c r="AH128" s="16" t="n">
        <v>1.41</v>
      </c>
      <c r="AI128" s="16" t="n">
        <v>7.22</v>
      </c>
      <c r="AJ128" s="16" t="n">
        <v>54.62</v>
      </c>
      <c r="AK128" s="16" t="n">
        <v>-2067.02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6" t="inlineStr">
        <is>
          <t>2026-07-31</t>
        </is>
      </c>
      <c r="B129" s="16" t="inlineStr">
        <is>
          <t>NIFTY</t>
        </is>
      </c>
      <c r="C129" s="16" t="inlineStr">
        <is>
          <t>Both Spreads</t>
        </is>
      </c>
      <c r="D129" s="16" t="inlineStr">
        <is>
          <t>Bull Call Spread</t>
        </is>
      </c>
      <c r="E129" s="16" t="inlineStr">
        <is>
          <t>SIMULATED</t>
        </is>
      </c>
      <c r="F129" s="16" t="inlineStr">
        <is>
          <t>BULLISH</t>
        </is>
      </c>
      <c r="G129" s="16" t="inlineStr">
        <is>
          <t>Price↑(24383.6&gt;24317.15) &amp; EMA9↑(24163.8&gt;24110.28)</t>
        </is>
      </c>
      <c r="H129" s="16" t="n">
        <v>24163.8</v>
      </c>
      <c r="I129" s="16" t="n">
        <v>24110.28</v>
      </c>
      <c r="J129" s="16" t="inlineStr">
        <is>
          <t>2026-08-06</t>
        </is>
      </c>
      <c r="K129" s="16" t="inlineStr">
        <is>
          <t>WEEKLY</t>
        </is>
      </c>
      <c r="L129" s="16" t="n">
        <v>6</v>
      </c>
      <c r="M129" s="16" t="inlineStr">
        <is>
          <t>09:20 IST</t>
        </is>
      </c>
      <c r="N129" s="16" t="inlineStr">
        <is>
          <t>14:36 IST</t>
        </is>
      </c>
      <c r="O129" s="16" t="n">
        <v>24383.6</v>
      </c>
      <c r="P129" s="16" t="n">
        <v>24317.15</v>
      </c>
      <c r="Q129" s="16" t="inlineStr">
        <is>
          <t>24300 CE</t>
        </is>
      </c>
      <c r="R129" s="16" t="inlineStr">
        <is>
          <t>24400 CE</t>
        </is>
      </c>
      <c r="S129" s="16" t="n">
        <v>22</v>
      </c>
      <c r="T129" s="16" t="n">
        <v>65</v>
      </c>
      <c r="U129" s="16" t="n">
        <v>1430</v>
      </c>
      <c r="V129" s="16" t="n">
        <v>33.09</v>
      </c>
      <c r="W129" s="16" t="n">
        <v>34.33</v>
      </c>
      <c r="X129" s="16" t="n">
        <v>47318.7</v>
      </c>
      <c r="Y129" s="16" t="n">
        <v>47373.35</v>
      </c>
      <c r="Z129" s="16" t="n">
        <v>95681.3</v>
      </c>
      <c r="AA129" s="16" t="n">
        <v>14195.61</v>
      </c>
      <c r="AB129" s="16" t="n">
        <v>14195.61</v>
      </c>
      <c r="AC129" s="16" t="n">
        <v>1773.2</v>
      </c>
      <c r="AD129" s="16" t="n">
        <v>3.7</v>
      </c>
      <c r="AE129" s="16" t="n">
        <v>40</v>
      </c>
      <c r="AF129" s="16" t="n">
        <v>5.91</v>
      </c>
      <c r="AG129" s="16" t="n">
        <v>0.09</v>
      </c>
      <c r="AH129" s="16" t="n">
        <v>1.42</v>
      </c>
      <c r="AI129" s="16" t="n">
        <v>7.22</v>
      </c>
      <c r="AJ129" s="16" t="n">
        <v>54.65</v>
      </c>
      <c r="AK129" s="16" t="n">
        <v>1718.55</v>
      </c>
      <c r="AL129" s="16" t="inlineStr">
        <is>
          <t>FLAT</t>
        </is>
      </c>
      <c r="AM129" s="16" t="n">
        <v>50000</v>
      </c>
      <c r="AN129" s="16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BULLISH</t>
        </is>
      </c>
      <c r="G130" s="15" t="inlineStr">
        <is>
          <t>Price↑(24383.6&gt;24317.15) &amp; EMA9↑(24163.8&gt;24110.28)</t>
        </is>
      </c>
      <c r="H130" s="15" t="n">
        <v>24163.8</v>
      </c>
      <c r="I130" s="15" t="n">
        <v>24110.28</v>
      </c>
      <c r="J130" s="15" t="inlineStr">
        <is>
          <t>2026-08-06</t>
        </is>
      </c>
      <c r="K130" s="15" t="inlineStr">
        <is>
          <t>WEEKLY</t>
        </is>
      </c>
      <c r="L130" s="15" t="n">
        <v>6</v>
      </c>
      <c r="M130" s="15" t="inlineStr">
        <is>
          <t>09:20 IST</t>
        </is>
      </c>
      <c r="N130" s="15" t="inlineStr">
        <is>
          <t>10:32 IST</t>
        </is>
      </c>
      <c r="O130" s="15" t="n">
        <v>24383.6</v>
      </c>
      <c r="P130" s="15" t="n">
        <v>24317.15</v>
      </c>
      <c r="Q130" s="15" t="inlineStr">
        <is>
          <t>24400 PE</t>
        </is>
      </c>
      <c r="R130" s="15" t="inlineStr">
        <is>
          <t>24300 PE</t>
        </is>
      </c>
      <c r="S130" s="15" t="n">
        <v>27</v>
      </c>
      <c r="T130" s="15" t="n">
        <v>65</v>
      </c>
      <c r="U130" s="15" t="n">
        <v>1755</v>
      </c>
      <c r="V130" s="15" t="n">
        <v>27.13</v>
      </c>
      <c r="W130" s="15" t="n">
        <v>18.99</v>
      </c>
      <c r="X130" s="15" t="n">
        <v>47613.15</v>
      </c>
      <c r="Y130" s="15" t="n">
        <v>47667.84</v>
      </c>
      <c r="Z130" s="15" t="n">
        <v>127886.85</v>
      </c>
      <c r="AA130" s="15" t="n">
        <v>14283.94</v>
      </c>
      <c r="AB130" s="15" t="n">
        <v>14283.94</v>
      </c>
      <c r="AC130" s="15" t="n">
        <v>-14285.7</v>
      </c>
      <c r="AD130" s="15" t="n">
        <v>-30</v>
      </c>
      <c r="AE130" s="15" t="n">
        <v>40</v>
      </c>
      <c r="AF130" s="15" t="n">
        <v>5.95</v>
      </c>
      <c r="AG130" s="15" t="n">
        <v>0.1</v>
      </c>
      <c r="AH130" s="15" t="n">
        <v>1.43</v>
      </c>
      <c r="AI130" s="15" t="n">
        <v>7.22</v>
      </c>
      <c r="AJ130" s="15" t="n">
        <v>54.69</v>
      </c>
      <c r="AK130" s="15" t="n">
        <v>-14340.39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BULLISH</t>
        </is>
      </c>
      <c r="G131" s="17" t="inlineStr">
        <is>
          <t>Price↑(24606.4&gt;24383.6) &amp; EMA9↑(24251.81&gt;24157.86)</t>
        </is>
      </c>
      <c r="H131" s="17" t="n">
        <v>24251.81</v>
      </c>
      <c r="I131" s="17" t="n">
        <v>24157.86</v>
      </c>
      <c r="J131" s="17" t="inlineStr">
        <is>
          <t>2026-08-06</t>
        </is>
      </c>
      <c r="K131" s="17" t="inlineStr">
        <is>
          <t>WEEKLY</t>
        </is>
      </c>
      <c r="L131" s="17" t="n">
        <v>3</v>
      </c>
      <c r="M131" s="17" t="inlineStr">
        <is>
          <t>09:20 IST</t>
        </is>
      </c>
      <c r="N131" s="17" t="inlineStr">
        <is>
          <t>11:00 IST</t>
        </is>
      </c>
      <c r="O131" s="17" t="n">
        <v>24606.4</v>
      </c>
      <c r="P131" s="17" t="n">
        <v>24383.6</v>
      </c>
      <c r="Q131" s="17" t="inlineStr">
        <is>
          <t>24600 CE</t>
        </is>
      </c>
      <c r="R131" s="17" t="inlineStr">
        <is>
          <t>24700 CE</t>
        </is>
      </c>
      <c r="S131" s="17" t="n">
        <v>20</v>
      </c>
      <c r="T131" s="17" t="n">
        <v>65</v>
      </c>
      <c r="U131" s="17" t="n">
        <v>1300</v>
      </c>
      <c r="V131" s="17" t="n">
        <v>37.04</v>
      </c>
      <c r="W131" s="17" t="n">
        <v>48.15</v>
      </c>
      <c r="X131" s="17" t="n">
        <v>48152</v>
      </c>
      <c r="Y131" s="17" t="n">
        <v>48206.78</v>
      </c>
      <c r="Z131" s="17" t="n">
        <v>81848</v>
      </c>
      <c r="AA131" s="17" t="n">
        <v>14445.6</v>
      </c>
      <c r="AB131" s="17" t="n">
        <v>14445.6</v>
      </c>
      <c r="AC131" s="17" t="n">
        <v>14443</v>
      </c>
      <c r="AD131" s="17" t="n">
        <v>30</v>
      </c>
      <c r="AE131" s="17" t="n">
        <v>40</v>
      </c>
      <c r="AF131" s="17" t="n">
        <v>6.02</v>
      </c>
      <c r="AG131" s="17" t="n">
        <v>0.1</v>
      </c>
      <c r="AH131" s="17" t="n">
        <v>1.44</v>
      </c>
      <c r="AI131" s="17" t="n">
        <v>7.22</v>
      </c>
      <c r="AJ131" s="17" t="n">
        <v>54.78</v>
      </c>
      <c r="AK131" s="17" t="n">
        <v>14388.22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7" t="inlineStr">
        <is>
          <t>2026-08-03</t>
        </is>
      </c>
      <c r="B132" s="17" t="inlineStr">
        <is>
          <t>NIFTY</t>
        </is>
      </c>
      <c r="C132" s="17" t="inlineStr">
        <is>
          <t>Both Spreads</t>
        </is>
      </c>
      <c r="D132" s="17" t="inlineStr">
        <is>
          <t>Bear Put Spread</t>
        </is>
      </c>
      <c r="E132" s="17" t="inlineStr">
        <is>
          <t>SIMULATED</t>
        </is>
      </c>
      <c r="F132" s="17" t="inlineStr">
        <is>
          <t>BULLISH</t>
        </is>
      </c>
      <c r="G132" s="17" t="inlineStr">
        <is>
          <t>Price↑(24606.4&gt;24383.6) &amp; EMA9↑(24251.81&gt;24157.86)</t>
        </is>
      </c>
      <c r="H132" s="17" t="n">
        <v>24251.81</v>
      </c>
      <c r="I132" s="17" t="n">
        <v>24157.86</v>
      </c>
      <c r="J132" s="17" t="inlineStr">
        <is>
          <t>2026-08-06</t>
        </is>
      </c>
      <c r="K132" s="17" t="inlineStr">
        <is>
          <t>WEEKLY</t>
        </is>
      </c>
      <c r="L132" s="17" t="n">
        <v>3</v>
      </c>
      <c r="M132" s="17" t="inlineStr">
        <is>
          <t>09:20 IST</t>
        </is>
      </c>
      <c r="N132" s="17" t="inlineStr">
        <is>
          <t>10:49 IST</t>
        </is>
      </c>
      <c r="O132" s="17" t="n">
        <v>24606.4</v>
      </c>
      <c r="P132" s="17" t="n">
        <v>24383.6</v>
      </c>
      <c r="Q132" s="17" t="inlineStr">
        <is>
          <t>24700 PE</t>
        </is>
      </c>
      <c r="R132" s="17" t="inlineStr">
        <is>
          <t>24600 PE</t>
        </is>
      </c>
      <c r="S132" s="17" t="n">
        <v>26</v>
      </c>
      <c r="T132" s="17" t="n">
        <v>65</v>
      </c>
      <c r="U132" s="17" t="n">
        <v>1690</v>
      </c>
      <c r="V132" s="17" t="n">
        <v>28.68</v>
      </c>
      <c r="W132" s="17" t="n">
        <v>37.28</v>
      </c>
      <c r="X132" s="17" t="n">
        <v>48469.2</v>
      </c>
      <c r="Y132" s="17" t="n">
        <v>48524.03</v>
      </c>
      <c r="Z132" s="17" t="n">
        <v>120530.8</v>
      </c>
      <c r="AA132" s="17" t="n">
        <v>14540.76</v>
      </c>
      <c r="AB132" s="17" t="n">
        <v>14540.76</v>
      </c>
      <c r="AC132" s="17" t="n">
        <v>14534</v>
      </c>
      <c r="AD132" s="17" t="n">
        <v>30</v>
      </c>
      <c r="AE132" s="17" t="n">
        <v>40</v>
      </c>
      <c r="AF132" s="17" t="n">
        <v>6.06</v>
      </c>
      <c r="AG132" s="17" t="n">
        <v>0.1</v>
      </c>
      <c r="AH132" s="17" t="n">
        <v>1.45</v>
      </c>
      <c r="AI132" s="17" t="n">
        <v>7.22</v>
      </c>
      <c r="AJ132" s="17" t="n">
        <v>54.83</v>
      </c>
      <c r="AK132" s="17" t="n">
        <v>14479.17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7" t="inlineStr">
        <is>
          <t>2026-08-03</t>
        </is>
      </c>
      <c r="B133" s="17" t="inlineStr">
        <is>
          <t>NIFTY</t>
        </is>
      </c>
      <c r="C133" s="17" t="inlineStr">
        <is>
          <t>Both Spreads</t>
        </is>
      </c>
      <c r="D133" s="17" t="inlineStr">
        <is>
          <t>Bull Call Spread</t>
        </is>
      </c>
      <c r="E133" s="17" t="inlineStr">
        <is>
          <t>SIMULATED</t>
        </is>
      </c>
      <c r="F133" s="17" t="inlineStr">
        <is>
          <t>BULLISH</t>
        </is>
      </c>
      <c r="G133" s="17" t="inlineStr">
        <is>
          <t>Price↑(24774.3&gt;24383.6) &amp; EMA9↑(24285.39&gt;24173.13)</t>
        </is>
      </c>
      <c r="H133" s="17" t="n">
        <v>24285.39</v>
      </c>
      <c r="I133" s="17" t="n">
        <v>24173.13</v>
      </c>
      <c r="J133" s="17" t="inlineStr">
        <is>
          <t>2026-08-06</t>
        </is>
      </c>
      <c r="K133" s="17" t="inlineStr">
        <is>
          <t>WEEKLY</t>
        </is>
      </c>
      <c r="L133" s="17" t="n">
        <v>3</v>
      </c>
      <c r="M133" s="17" t="inlineStr">
        <is>
          <t>09:20 IST</t>
        </is>
      </c>
      <c r="N133" s="17" t="inlineStr">
        <is>
          <t>09:45 IST</t>
        </is>
      </c>
      <c r="O133" s="17" t="n">
        <v>24774.3</v>
      </c>
      <c r="P133" s="17" t="n">
        <v>24383.6</v>
      </c>
      <c r="Q133" s="17" t="inlineStr">
        <is>
          <t>24700 CE</t>
        </is>
      </c>
      <c r="R133" s="17" t="inlineStr">
        <is>
          <t>24800 CE</t>
        </is>
      </c>
      <c r="S133" s="17" t="n">
        <v>26</v>
      </c>
      <c r="T133" s="17" t="n">
        <v>65</v>
      </c>
      <c r="U133" s="17" t="n">
        <v>1690</v>
      </c>
      <c r="V133" s="17" t="n">
        <v>27.92</v>
      </c>
      <c r="W133" s="17" t="n">
        <v>36.3</v>
      </c>
      <c r="X133" s="17" t="n">
        <v>47184.8</v>
      </c>
      <c r="Y133" s="17" t="n">
        <v>47239.43</v>
      </c>
      <c r="Z133" s="17" t="n">
        <v>121815.2</v>
      </c>
      <c r="AA133" s="17" t="n">
        <v>14155.44</v>
      </c>
      <c r="AB133" s="17" t="n">
        <v>14155.44</v>
      </c>
      <c r="AC133" s="17" t="n">
        <v>14162.2</v>
      </c>
      <c r="AD133" s="17" t="n">
        <v>30</v>
      </c>
      <c r="AE133" s="17" t="n">
        <v>40</v>
      </c>
      <c r="AF133" s="17" t="n">
        <v>5.9</v>
      </c>
      <c r="AG133" s="17" t="n">
        <v>0.09</v>
      </c>
      <c r="AH133" s="17" t="n">
        <v>1.42</v>
      </c>
      <c r="AI133" s="17" t="n">
        <v>7.22</v>
      </c>
      <c r="AJ133" s="17" t="n">
        <v>54.63</v>
      </c>
      <c r="AK133" s="17" t="n">
        <v>14107.57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BULLISH</t>
        </is>
      </c>
      <c r="G134" s="17" t="inlineStr">
        <is>
          <t>Price↑(24774.3&gt;24383.6) &amp; EMA9↑(24285.39&gt;24173.13)</t>
        </is>
      </c>
      <c r="H134" s="17" t="n">
        <v>24285.39</v>
      </c>
      <c r="I134" s="17" t="n">
        <v>24173.13</v>
      </c>
      <c r="J134" s="17" t="inlineStr">
        <is>
          <t>2026-08-06</t>
        </is>
      </c>
      <c r="K134" s="17" t="inlineStr">
        <is>
          <t>WEEKLY</t>
        </is>
      </c>
      <c r="L134" s="17" t="n">
        <v>3</v>
      </c>
      <c r="M134" s="17" t="inlineStr">
        <is>
          <t>09:20 IST</t>
        </is>
      </c>
      <c r="N134" s="17" t="inlineStr">
        <is>
          <t>11:25 IST</t>
        </is>
      </c>
      <c r="O134" s="17" t="n">
        <v>24774.3</v>
      </c>
      <c r="P134" s="17" t="n">
        <v>24383.6</v>
      </c>
      <c r="Q134" s="17" t="inlineStr">
        <is>
          <t>24800 PE</t>
        </is>
      </c>
      <c r="R134" s="17" t="inlineStr">
        <is>
          <t>24700 PE</t>
        </is>
      </c>
      <c r="S134" s="17" t="n">
        <v>21</v>
      </c>
      <c r="T134" s="17" t="n">
        <v>65</v>
      </c>
      <c r="U134" s="17" t="n">
        <v>1365</v>
      </c>
      <c r="V134" s="17" t="n">
        <v>35.66</v>
      </c>
      <c r="W134" s="17" t="n">
        <v>46.36</v>
      </c>
      <c r="X134" s="17" t="n">
        <v>48675.9</v>
      </c>
      <c r="Y134" s="17" t="n">
        <v>48730.76</v>
      </c>
      <c r="Z134" s="17" t="n">
        <v>87824.10000000001</v>
      </c>
      <c r="AA134" s="17" t="n">
        <v>14602.77</v>
      </c>
      <c r="AB134" s="17" t="n">
        <v>14602.77</v>
      </c>
      <c r="AC134" s="17" t="n">
        <v>14605.5</v>
      </c>
      <c r="AD134" s="17" t="n">
        <v>30</v>
      </c>
      <c r="AE134" s="17" t="n">
        <v>40</v>
      </c>
      <c r="AF134" s="17" t="n">
        <v>6.08</v>
      </c>
      <c r="AG134" s="17" t="n">
        <v>0.1</v>
      </c>
      <c r="AH134" s="17" t="n">
        <v>1.46</v>
      </c>
      <c r="AI134" s="17" t="n">
        <v>7.22</v>
      </c>
      <c r="AJ134" s="17" t="n">
        <v>54.86</v>
      </c>
      <c r="AK134" s="17" t="n">
        <v>14550.64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BULLISH</t>
        </is>
      </c>
      <c r="G135" s="15" t="inlineStr">
        <is>
          <t>Price↑(24552.85&gt;24383.6) &amp; EMA9↑(24241.06&gt;24165.12)</t>
        </is>
      </c>
      <c r="H135" s="15" t="n">
        <v>24241.06</v>
      </c>
      <c r="I135" s="15" t="n">
        <v>24165.12</v>
      </c>
      <c r="J135" s="15" t="inlineStr">
        <is>
          <t>2026-08-06</t>
        </is>
      </c>
      <c r="K135" s="15" t="inlineStr">
        <is>
          <t>WEEKLY</t>
        </is>
      </c>
      <c r="L135" s="15" t="n">
        <v>2</v>
      </c>
      <c r="M135" s="15" t="inlineStr">
        <is>
          <t>09:20 IST</t>
        </is>
      </c>
      <c r="N135" s="15" t="inlineStr">
        <is>
          <t>11:16 IST</t>
        </is>
      </c>
      <c r="O135" s="15" t="n">
        <v>24552.85</v>
      </c>
      <c r="P135" s="15" t="n">
        <v>24383.6</v>
      </c>
      <c r="Q135" s="15" t="inlineStr">
        <is>
          <t>24500 CE</t>
        </is>
      </c>
      <c r="R135" s="15" t="inlineStr">
        <is>
          <t>24600 CE</t>
        </is>
      </c>
      <c r="S135" s="15" t="n">
        <v>45</v>
      </c>
      <c r="T135" s="15" t="n">
        <v>65</v>
      </c>
      <c r="U135" s="15" t="n">
        <v>2925</v>
      </c>
      <c r="V135" s="15" t="n">
        <v>16.41</v>
      </c>
      <c r="W135" s="15" t="n">
        <v>11.49</v>
      </c>
      <c r="X135" s="15" t="n">
        <v>47999.25</v>
      </c>
      <c r="Y135" s="15" t="n">
        <v>48054</v>
      </c>
      <c r="Z135" s="15" t="n">
        <v>244500.75</v>
      </c>
      <c r="AA135" s="15" t="n">
        <v>14399.77</v>
      </c>
      <c r="AB135" s="15" t="n">
        <v>14399.77</v>
      </c>
      <c r="AC135" s="15" t="n">
        <v>-14391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54.75</v>
      </c>
      <c r="AK135" s="15" t="n">
        <v>-14445.75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6" t="inlineStr">
        <is>
          <t>2026-08-04</t>
        </is>
      </c>
      <c r="B136" s="16" t="inlineStr">
        <is>
          <t>NIFTY</t>
        </is>
      </c>
      <c r="C136" s="16" t="inlineStr">
        <is>
          <t>Both Spreads</t>
        </is>
      </c>
      <c r="D136" s="16" t="inlineStr">
        <is>
          <t>Bear Put Spread</t>
        </is>
      </c>
      <c r="E136" s="16" t="inlineStr">
        <is>
          <t>SIMULATED</t>
        </is>
      </c>
      <c r="F136" s="16" t="inlineStr">
        <is>
          <t>BULLISH</t>
        </is>
      </c>
      <c r="G136" s="16" t="inlineStr">
        <is>
          <t>Price↑(24552.85&gt;24383.6) &amp; EMA9↑(24241.06&gt;24165.12)</t>
        </is>
      </c>
      <c r="H136" s="16" t="n">
        <v>24241.06</v>
      </c>
      <c r="I136" s="16" t="n">
        <v>24165.12</v>
      </c>
      <c r="J136" s="16" t="inlineStr">
        <is>
          <t>2026-08-06</t>
        </is>
      </c>
      <c r="K136" s="16" t="inlineStr">
        <is>
          <t>WEEKLY</t>
        </is>
      </c>
      <c r="L136" s="16" t="n">
        <v>2</v>
      </c>
      <c r="M136" s="16" t="inlineStr">
        <is>
          <t>09:20 IST</t>
        </is>
      </c>
      <c r="N136" s="16" t="inlineStr">
        <is>
          <t>15:01 IST</t>
        </is>
      </c>
      <c r="O136" s="16" t="n">
        <v>24552.85</v>
      </c>
      <c r="P136" s="16" t="n">
        <v>24383.6</v>
      </c>
      <c r="Q136" s="16" t="inlineStr">
        <is>
          <t>24600 PE</t>
        </is>
      </c>
      <c r="R136" s="16" t="inlineStr">
        <is>
          <t>24500 PE</t>
        </is>
      </c>
      <c r="S136" s="16" t="n">
        <v>36</v>
      </c>
      <c r="T136" s="16" t="n">
        <v>65</v>
      </c>
      <c r="U136" s="16" t="n">
        <v>2340</v>
      </c>
      <c r="V136" s="16" t="n">
        <v>20.6</v>
      </c>
      <c r="W136" s="16" t="n">
        <v>19.85</v>
      </c>
      <c r="X136" s="16" t="n">
        <v>48204</v>
      </c>
      <c r="Y136" s="16" t="n">
        <v>48258.79</v>
      </c>
      <c r="Z136" s="16" t="n">
        <v>185796</v>
      </c>
      <c r="AA136" s="16" t="n">
        <v>14461.2</v>
      </c>
      <c r="AB136" s="16" t="n">
        <v>14461.2</v>
      </c>
      <c r="AC136" s="16" t="n">
        <v>-1755</v>
      </c>
      <c r="AD136" s="16" t="n">
        <v>-3.6</v>
      </c>
      <c r="AE136" s="16" t="n">
        <v>40</v>
      </c>
      <c r="AF136" s="16" t="n">
        <v>6.03</v>
      </c>
      <c r="AG136" s="16" t="n">
        <v>0.1</v>
      </c>
      <c r="AH136" s="16" t="n">
        <v>1.45</v>
      </c>
      <c r="AI136" s="16" t="n">
        <v>7.22</v>
      </c>
      <c r="AJ136" s="16" t="n">
        <v>54.79</v>
      </c>
      <c r="AK136" s="16" t="n">
        <v>-1809.79</v>
      </c>
      <c r="AL136" s="16" t="inlineStr">
        <is>
          <t>FLAT</t>
        </is>
      </c>
      <c r="AM136" s="16" t="n">
        <v>50000</v>
      </c>
      <c r="AN136" s="16" t="inlineStr">
        <is>
          <t>PAPER TRADING</t>
        </is>
      </c>
    </row>
    <row r="137">
      <c r="A137" s="15" t="inlineStr">
        <is>
          <t>2026-08-04</t>
        </is>
      </c>
      <c r="B137" s="15" t="inlineStr">
        <is>
          <t>NIFTY</t>
        </is>
      </c>
      <c r="C137" s="15" t="inlineStr">
        <is>
          <t>Both Spreads</t>
        </is>
      </c>
      <c r="D137" s="15" t="inlineStr">
        <is>
          <t>Bull Call Spread</t>
        </is>
      </c>
      <c r="E137" s="15" t="inlineStr">
        <is>
          <t>SIMULATED</t>
        </is>
      </c>
      <c r="F137" s="15" t="inlineStr">
        <is>
          <t>SKIP</t>
        </is>
      </c>
      <c r="G137" s="15" t="inlineStr">
        <is>
          <t>Conflicting — Price:BEARISH EMA:BULLISH</t>
        </is>
      </c>
      <c r="H137" s="15" t="n">
        <v>24351.26</v>
      </c>
      <c r="I137" s="15" t="n">
        <v>24224.31</v>
      </c>
      <c r="J137" s="15" t="inlineStr">
        <is>
          <t>2026-08-06</t>
        </is>
      </c>
      <c r="K137" s="15" t="inlineStr">
        <is>
          <t>WEEKLY</t>
        </is>
      </c>
      <c r="L137" s="15" t="n">
        <v>2</v>
      </c>
      <c r="M137" s="15" t="inlineStr">
        <is>
          <t>09:20 IST</t>
        </is>
      </c>
      <c r="N137" s="15" t="inlineStr">
        <is>
          <t>11:09 IST</t>
        </is>
      </c>
      <c r="O137" s="15" t="n">
        <v>24614.9</v>
      </c>
      <c r="P137" s="15" t="n">
        <v>24774.3</v>
      </c>
      <c r="Q137" s="15" t="inlineStr">
        <is>
          <t>24600 CE</t>
        </is>
      </c>
      <c r="R137" s="15" t="inlineStr">
        <is>
          <t>24700 CE</t>
        </is>
      </c>
      <c r="S137" s="15" t="n">
        <v>36</v>
      </c>
      <c r="T137" s="15" t="n">
        <v>65</v>
      </c>
      <c r="U137" s="15" t="n">
        <v>2340</v>
      </c>
      <c r="V137" s="15" t="n">
        <v>20.4</v>
      </c>
      <c r="W137" s="15" t="n">
        <v>14.28</v>
      </c>
      <c r="X137" s="15" t="n">
        <v>47736</v>
      </c>
      <c r="Y137" s="15" t="n">
        <v>47790.71</v>
      </c>
      <c r="Z137" s="15" t="n">
        <v>186264</v>
      </c>
      <c r="AA137" s="15" t="n">
        <v>14320.8</v>
      </c>
      <c r="AB137" s="15" t="n">
        <v>14320.8</v>
      </c>
      <c r="AC137" s="15" t="n">
        <v>-14320.8</v>
      </c>
      <c r="AD137" s="15" t="n">
        <v>-30</v>
      </c>
      <c r="AE137" s="15" t="n">
        <v>40</v>
      </c>
      <c r="AF137" s="15" t="n">
        <v>5.97</v>
      </c>
      <c r="AG137" s="15" t="n">
        <v>0.1</v>
      </c>
      <c r="AH137" s="15" t="n">
        <v>1.43</v>
      </c>
      <c r="AI137" s="15" t="n">
        <v>7.22</v>
      </c>
      <c r="AJ137" s="15" t="n">
        <v>54.71</v>
      </c>
      <c r="AK137" s="15" t="n">
        <v>-14375.51</v>
      </c>
      <c r="AL137" s="15" t="inlineStr">
        <is>
          <t>STOP LOSS</t>
        </is>
      </c>
      <c r="AM137" s="15" t="n">
        <v>50000</v>
      </c>
      <c r="AN137" s="15" t="inlineStr">
        <is>
          <t>PAPER TRADING</t>
        </is>
      </c>
    </row>
    <row r="138">
      <c r="A138" s="16" t="inlineStr">
        <is>
          <t>2026-08-04</t>
        </is>
      </c>
      <c r="B138" s="16" t="inlineStr">
        <is>
          <t>NIFTY</t>
        </is>
      </c>
      <c r="C138" s="16" t="inlineStr">
        <is>
          <t>Both Spreads</t>
        </is>
      </c>
      <c r="D138" s="16" t="inlineStr">
        <is>
          <t>Bear Put Spread</t>
        </is>
      </c>
      <c r="E138" s="16" t="inlineStr">
        <is>
          <t>SIMULATED</t>
        </is>
      </c>
      <c r="F138" s="16" t="inlineStr">
        <is>
          <t>SKIP</t>
        </is>
      </c>
      <c r="G138" s="16" t="inlineStr">
        <is>
          <t>Conflicting — Price:BEARISH EMA:BULLISH</t>
        </is>
      </c>
      <c r="H138" s="16" t="n">
        <v>24351.26</v>
      </c>
      <c r="I138" s="16" t="n">
        <v>24224.31</v>
      </c>
      <c r="J138" s="16" t="inlineStr">
        <is>
          <t>2026-08-06</t>
        </is>
      </c>
      <c r="K138" s="16" t="inlineStr">
        <is>
          <t>WEEKLY</t>
        </is>
      </c>
      <c r="L138" s="16" t="n">
        <v>2</v>
      </c>
      <c r="M138" s="16" t="inlineStr">
        <is>
          <t>09:20 IST</t>
        </is>
      </c>
      <c r="N138" s="16" t="inlineStr">
        <is>
          <t>14:08 IST</t>
        </is>
      </c>
      <c r="O138" s="16" t="n">
        <v>24614.9</v>
      </c>
      <c r="P138" s="16" t="n">
        <v>24774.3</v>
      </c>
      <c r="Q138" s="16" t="inlineStr">
        <is>
          <t>24700 PE</t>
        </is>
      </c>
      <c r="R138" s="16" t="inlineStr">
        <is>
          <t>24600 PE</t>
        </is>
      </c>
      <c r="S138" s="16" t="n">
        <v>36</v>
      </c>
      <c r="T138" s="16" t="n">
        <v>65</v>
      </c>
      <c r="U138" s="16" t="n">
        <v>2340</v>
      </c>
      <c r="V138" s="16" t="n">
        <v>20.34</v>
      </c>
      <c r="W138" s="16" t="n">
        <v>20.21</v>
      </c>
      <c r="X138" s="16" t="n">
        <v>47595.6</v>
      </c>
      <c r="Y138" s="16" t="n">
        <v>47650.29</v>
      </c>
      <c r="Z138" s="16" t="n">
        <v>186404.4</v>
      </c>
      <c r="AA138" s="16" t="n">
        <v>14278.68</v>
      </c>
      <c r="AB138" s="16" t="n">
        <v>14278.68</v>
      </c>
      <c r="AC138" s="16" t="n">
        <v>-304.2</v>
      </c>
      <c r="AD138" s="16" t="n">
        <v>-0.6</v>
      </c>
      <c r="AE138" s="16" t="n">
        <v>40</v>
      </c>
      <c r="AF138" s="16" t="n">
        <v>5.95</v>
      </c>
      <c r="AG138" s="16" t="n">
        <v>0.1</v>
      </c>
      <c r="AH138" s="16" t="n">
        <v>1.43</v>
      </c>
      <c r="AI138" s="16" t="n">
        <v>7.22</v>
      </c>
      <c r="AJ138" s="16" t="n">
        <v>54.69</v>
      </c>
      <c r="AK138" s="16" t="n">
        <v>-358.89</v>
      </c>
      <c r="AL138" s="16" t="inlineStr">
        <is>
          <t>FLAT</t>
        </is>
      </c>
      <c r="AM138" s="16" t="n">
        <v>50000</v>
      </c>
      <c r="AN138" s="16" t="inlineStr">
        <is>
          <t>PAPER TRADING</t>
        </is>
      </c>
    </row>
    <row r="139">
      <c r="A139" s="15" t="inlineStr">
        <is>
          <t>2026-08-05</t>
        </is>
      </c>
      <c r="B139" s="15" t="inlineStr">
        <is>
          <t>NIFTY</t>
        </is>
      </c>
      <c r="C139" s="15" t="inlineStr">
        <is>
          <t>Both Spreads</t>
        </is>
      </c>
      <c r="D139" s="15" t="inlineStr">
        <is>
          <t>Bull Call Spread</t>
        </is>
      </c>
      <c r="E139" s="15" t="inlineStr">
        <is>
          <t>SIMULATED</t>
        </is>
      </c>
      <c r="F139" s="15" t="inlineStr">
        <is>
          <t>SKIP</t>
        </is>
      </c>
      <c r="G139" s="15" t="inlineStr">
        <is>
          <t>Conflicting — Price:BEARISH EMA:BULLISH</t>
        </is>
      </c>
      <c r="H139" s="15" t="n">
        <v>24401.02</v>
      </c>
      <c r="I139" s="15" t="n">
        <v>24267.08</v>
      </c>
      <c r="J139" s="15" t="inlineStr">
        <is>
          <t>2026-08-06</t>
        </is>
      </c>
      <c r="K139" s="15" t="inlineStr">
        <is>
          <t>WEEKLY</t>
        </is>
      </c>
      <c r="L139" s="15" t="n">
        <v>1</v>
      </c>
      <c r="M139" s="15" t="inlineStr">
        <is>
          <t>09:20 IST</t>
        </is>
      </c>
      <c r="N139" s="15" t="inlineStr">
        <is>
          <t>10:36 IST</t>
        </is>
      </c>
      <c r="O139" s="15" t="n">
        <v>24598.1</v>
      </c>
      <c r="P139" s="15" t="n">
        <v>24614.9</v>
      </c>
      <c r="Q139" s="15" t="inlineStr">
        <is>
          <t>24500 CE</t>
        </is>
      </c>
      <c r="R139" s="15" t="inlineStr">
        <is>
          <t>24600 CE</t>
        </is>
      </c>
      <c r="S139" s="15" t="n">
        <v>31</v>
      </c>
      <c r="T139" s="15" t="n">
        <v>65</v>
      </c>
      <c r="U139" s="15" t="n">
        <v>2015</v>
      </c>
      <c r="V139" s="15" t="n">
        <v>23.72</v>
      </c>
      <c r="W139" s="15" t="n">
        <v>16.6</v>
      </c>
      <c r="X139" s="15" t="n">
        <v>47795.8</v>
      </c>
      <c r="Y139" s="15" t="n">
        <v>47850.52</v>
      </c>
      <c r="Z139" s="15" t="n">
        <v>153704.2</v>
      </c>
      <c r="AA139" s="15" t="n">
        <v>14338.74</v>
      </c>
      <c r="AB139" s="15" t="n">
        <v>14338.74</v>
      </c>
      <c r="AC139" s="15" t="n">
        <v>-14346.8</v>
      </c>
      <c r="AD139" s="15" t="n">
        <v>-30</v>
      </c>
      <c r="AE139" s="15" t="n">
        <v>40</v>
      </c>
      <c r="AF139" s="15" t="n">
        <v>5.97</v>
      </c>
      <c r="AG139" s="15" t="n">
        <v>0.1</v>
      </c>
      <c r="AH139" s="15" t="n">
        <v>1.43</v>
      </c>
      <c r="AI139" s="15" t="n">
        <v>7.22</v>
      </c>
      <c r="AJ139" s="15" t="n">
        <v>54.72</v>
      </c>
      <c r="AK139" s="15" t="n">
        <v>-14401.52</v>
      </c>
      <c r="AL139" s="15" t="inlineStr">
        <is>
          <t>STOP LOSS</t>
        </is>
      </c>
      <c r="AM139" s="15" t="n">
        <v>50000</v>
      </c>
      <c r="AN139" s="15" t="inlineStr">
        <is>
          <t>PAPER TRADING</t>
        </is>
      </c>
    </row>
    <row r="140">
      <c r="A140" s="17" t="inlineStr">
        <is>
          <t>2026-08-05</t>
        </is>
      </c>
      <c r="B140" s="17" t="inlineStr">
        <is>
          <t>NIFTY</t>
        </is>
      </c>
      <c r="C140" s="17" t="inlineStr">
        <is>
          <t>Both Spreads</t>
        </is>
      </c>
      <c r="D140" s="17" t="inlineStr">
        <is>
          <t>Bear Put Spread</t>
        </is>
      </c>
      <c r="E140" s="17" t="inlineStr">
        <is>
          <t>SIMULATED</t>
        </is>
      </c>
      <c r="F140" s="17" t="inlineStr">
        <is>
          <t>SKIP</t>
        </is>
      </c>
      <c r="G140" s="17" t="inlineStr">
        <is>
          <t>Conflicting — Price:BEARISH EMA:BULLISH</t>
        </is>
      </c>
      <c r="H140" s="17" t="n">
        <v>24401.02</v>
      </c>
      <c r="I140" s="17" t="n">
        <v>24267.08</v>
      </c>
      <c r="J140" s="17" t="inlineStr">
        <is>
          <t>2026-08-06</t>
        </is>
      </c>
      <c r="K140" s="17" t="inlineStr">
        <is>
          <t>WEEKLY</t>
        </is>
      </c>
      <c r="L140" s="17" t="n">
        <v>1</v>
      </c>
      <c r="M140" s="17" t="inlineStr">
        <is>
          <t>09:20 IST</t>
        </is>
      </c>
      <c r="N140" s="17" t="inlineStr">
        <is>
          <t>11:17 IST</t>
        </is>
      </c>
      <c r="O140" s="17" t="n">
        <v>24598.1</v>
      </c>
      <c r="P140" s="17" t="n">
        <v>24614.9</v>
      </c>
      <c r="Q140" s="17" t="inlineStr">
        <is>
          <t>24600 PE</t>
        </is>
      </c>
      <c r="R140" s="17" t="inlineStr">
        <is>
          <t>24500 PE</t>
        </is>
      </c>
      <c r="S140" s="17" t="n">
        <v>47</v>
      </c>
      <c r="T140" s="17" t="n">
        <v>65</v>
      </c>
      <c r="U140" s="17" t="n">
        <v>3055</v>
      </c>
      <c r="V140" s="17" t="n">
        <v>15.59</v>
      </c>
      <c r="W140" s="17" t="n">
        <v>20.27</v>
      </c>
      <c r="X140" s="17" t="n">
        <v>47627.45</v>
      </c>
      <c r="Y140" s="17" t="n">
        <v>47682.14</v>
      </c>
      <c r="Z140" s="17" t="n">
        <v>257872.55</v>
      </c>
      <c r="AA140" s="17" t="n">
        <v>14288.23</v>
      </c>
      <c r="AB140" s="17" t="n">
        <v>14288.23</v>
      </c>
      <c r="AC140" s="17" t="n">
        <v>14297.4</v>
      </c>
      <c r="AD140" s="17" t="n">
        <v>30</v>
      </c>
      <c r="AE140" s="17" t="n">
        <v>40</v>
      </c>
      <c r="AF140" s="17" t="n">
        <v>5.95</v>
      </c>
      <c r="AG140" s="17" t="n">
        <v>0.1</v>
      </c>
      <c r="AH140" s="17" t="n">
        <v>1.43</v>
      </c>
      <c r="AI140" s="17" t="n">
        <v>7.22</v>
      </c>
      <c r="AJ140" s="17" t="n">
        <v>54.69</v>
      </c>
      <c r="AK140" s="17" t="n">
        <v>14242.71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2026-08-05</t>
        </is>
      </c>
      <c r="B141" s="17" t="inlineStr">
        <is>
          <t>NIFTY</t>
        </is>
      </c>
      <c r="C141" s="17" t="inlineStr">
        <is>
          <t>Both Spreads</t>
        </is>
      </c>
      <c r="D141" s="17" t="inlineStr">
        <is>
          <t>Bull Call Spread</t>
        </is>
      </c>
      <c r="E141" s="17" t="inlineStr">
        <is>
          <t>SIMULATED</t>
        </is>
      </c>
      <c r="F141" s="17" t="inlineStr">
        <is>
          <t>BULLISH</t>
        </is>
      </c>
      <c r="G141" s="17" t="inlineStr">
        <is>
          <t>Price↑(24624.65&gt;24614.9) &amp; EMA9↑(24406.33&gt;24269.49)</t>
        </is>
      </c>
      <c r="H141" s="17" t="n">
        <v>24406.33</v>
      </c>
      <c r="I141" s="17" t="n">
        <v>24269.49</v>
      </c>
      <c r="J141" s="17" t="inlineStr">
        <is>
          <t>2026-08-06</t>
        </is>
      </c>
      <c r="K141" s="17" t="inlineStr">
        <is>
          <t>WEEKLY</t>
        </is>
      </c>
      <c r="L141" s="17" t="n">
        <v>1</v>
      </c>
      <c r="M141" s="17" t="inlineStr">
        <is>
          <t>09:20 IST</t>
        </is>
      </c>
      <c r="N141" s="17" t="inlineStr">
        <is>
          <t>11:28 IST</t>
        </is>
      </c>
      <c r="O141" s="17" t="n">
        <v>24624.65</v>
      </c>
      <c r="P141" s="17" t="n">
        <v>24614.9</v>
      </c>
      <c r="Q141" s="17" t="inlineStr">
        <is>
          <t>24600 CE</t>
        </is>
      </c>
      <c r="R141" s="17" t="inlineStr">
        <is>
          <t>24700 CE</t>
        </is>
      </c>
      <c r="S141" s="17" t="n">
        <v>38</v>
      </c>
      <c r="T141" s="17" t="n">
        <v>65</v>
      </c>
      <c r="U141" s="17" t="n">
        <v>2470</v>
      </c>
      <c r="V141" s="17" t="n">
        <v>19.2</v>
      </c>
      <c r="W141" s="17" t="n">
        <v>24.96</v>
      </c>
      <c r="X141" s="17" t="n">
        <v>47424</v>
      </c>
      <c r="Y141" s="17" t="n">
        <v>47478.66</v>
      </c>
      <c r="Z141" s="17" t="n">
        <v>199576</v>
      </c>
      <c r="AA141" s="17" t="n">
        <v>14227.2</v>
      </c>
      <c r="AB141" s="17" t="n">
        <v>14227.2</v>
      </c>
      <c r="AC141" s="17" t="n">
        <v>14227.2</v>
      </c>
      <c r="AD141" s="17" t="n">
        <v>30</v>
      </c>
      <c r="AE141" s="17" t="n">
        <v>40</v>
      </c>
      <c r="AF141" s="17" t="n">
        <v>5.93</v>
      </c>
      <c r="AG141" s="17" t="n">
        <v>0.09</v>
      </c>
      <c r="AH141" s="17" t="n">
        <v>1.42</v>
      </c>
      <c r="AI141" s="17" t="n">
        <v>7.22</v>
      </c>
      <c r="AJ141" s="17" t="n">
        <v>54.66</v>
      </c>
      <c r="AK141" s="17" t="n">
        <v>14172.54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BULLISH</t>
        </is>
      </c>
      <c r="G142" s="17" t="inlineStr">
        <is>
          <t>Price↑(24624.65&gt;24614.9) &amp; EMA9↑(24406.33&gt;24269.49)</t>
        </is>
      </c>
      <c r="H142" s="17" t="n">
        <v>24406.33</v>
      </c>
      <c r="I142" s="17" t="n">
        <v>24269.49</v>
      </c>
      <c r="J142" s="17" t="inlineStr">
        <is>
          <t>2026-08-06</t>
        </is>
      </c>
      <c r="K142" s="17" t="inlineStr">
        <is>
          <t>WEEKLY</t>
        </is>
      </c>
      <c r="L142" s="17" t="n">
        <v>1</v>
      </c>
      <c r="M142" s="17" t="inlineStr">
        <is>
          <t>09:20 IST</t>
        </is>
      </c>
      <c r="N142" s="17" t="inlineStr">
        <is>
          <t>10:55 IST</t>
        </is>
      </c>
      <c r="O142" s="17" t="n">
        <v>24624.65</v>
      </c>
      <c r="P142" s="17" t="n">
        <v>24614.9</v>
      </c>
      <c r="Q142" s="17" t="inlineStr">
        <is>
          <t>24700 PE</t>
        </is>
      </c>
      <c r="R142" s="17" t="inlineStr">
        <is>
          <t>24600 PE</t>
        </is>
      </c>
      <c r="S142" s="17" t="n">
        <v>36</v>
      </c>
      <c r="T142" s="17" t="n">
        <v>65</v>
      </c>
      <c r="U142" s="17" t="n">
        <v>2340</v>
      </c>
      <c r="V142" s="17" t="n">
        <v>20.46</v>
      </c>
      <c r="W142" s="17" t="n">
        <v>26.6</v>
      </c>
      <c r="X142" s="17" t="n">
        <v>47876.4</v>
      </c>
      <c r="Y142" s="17" t="n">
        <v>47931.13</v>
      </c>
      <c r="Z142" s="17" t="n">
        <v>186123.6</v>
      </c>
      <c r="AA142" s="17" t="n">
        <v>14362.92</v>
      </c>
      <c r="AB142" s="17" t="n">
        <v>14362.92</v>
      </c>
      <c r="AC142" s="17" t="n">
        <v>14367.6</v>
      </c>
      <c r="AD142" s="17" t="n">
        <v>30</v>
      </c>
      <c r="AE142" s="17" t="n">
        <v>40</v>
      </c>
      <c r="AF142" s="17" t="n">
        <v>5.98</v>
      </c>
      <c r="AG142" s="17" t="n">
        <v>0.1</v>
      </c>
      <c r="AH142" s="17" t="n">
        <v>1.44</v>
      </c>
      <c r="AI142" s="17" t="n">
        <v>7.22</v>
      </c>
      <c r="AJ142" s="17" t="n">
        <v>54.73</v>
      </c>
      <c r="AK142" s="17" t="n">
        <v>14312.87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BULLISH</t>
        </is>
      </c>
      <c r="G143" s="15" t="inlineStr">
        <is>
          <t>Price↑(24630.75&gt;24624.65) &amp; EMA9↑(24451.45&gt;24305.23)</t>
        </is>
      </c>
      <c r="H143" s="15" t="n">
        <v>24451.45</v>
      </c>
      <c r="I143" s="15" t="n">
        <v>24305.23</v>
      </c>
      <c r="J143" s="15" t="inlineStr">
        <is>
          <t>2026-08-06</t>
        </is>
      </c>
      <c r="K143" s="15" t="inlineStr">
        <is>
          <t>WEEKLY</t>
        </is>
      </c>
      <c r="L143" s="15" t="n">
        <v>0</v>
      </c>
      <c r="M143" s="15" t="inlineStr">
        <is>
          <t>09:20 IST</t>
        </is>
      </c>
      <c r="N143" s="15" t="inlineStr">
        <is>
          <t>09:43 IST</t>
        </is>
      </c>
      <c r="O143" s="15" t="n">
        <v>24630.75</v>
      </c>
      <c r="P143" s="15" t="n">
        <v>24624.65</v>
      </c>
      <c r="Q143" s="15" t="inlineStr">
        <is>
          <t>24600 CE</t>
        </is>
      </c>
      <c r="R143" s="15" t="inlineStr">
        <is>
          <t>24700 CE</t>
        </is>
      </c>
      <c r="S143" s="15" t="n">
        <v>33</v>
      </c>
      <c r="T143" s="15" t="n">
        <v>65</v>
      </c>
      <c r="U143" s="15" t="n">
        <v>2145</v>
      </c>
      <c r="V143" s="15" t="n">
        <v>22.4</v>
      </c>
      <c r="W143" s="15" t="n">
        <v>15.68</v>
      </c>
      <c r="X143" s="15" t="n">
        <v>48048</v>
      </c>
      <c r="Y143" s="15" t="n">
        <v>48102.76</v>
      </c>
      <c r="Z143" s="15" t="n">
        <v>166452</v>
      </c>
      <c r="AA143" s="15" t="n">
        <v>14414.4</v>
      </c>
      <c r="AB143" s="15" t="n">
        <v>14414.4</v>
      </c>
      <c r="AC143" s="15" t="n">
        <v>-14414.4</v>
      </c>
      <c r="AD143" s="15" t="n">
        <v>-30</v>
      </c>
      <c r="AE143" s="15" t="n">
        <v>40</v>
      </c>
      <c r="AF143" s="15" t="n">
        <v>6.01</v>
      </c>
      <c r="AG143" s="15" t="n">
        <v>0.1</v>
      </c>
      <c r="AH143" s="15" t="n">
        <v>1.44</v>
      </c>
      <c r="AI143" s="15" t="n">
        <v>7.22</v>
      </c>
      <c r="AJ143" s="15" t="n">
        <v>54.76</v>
      </c>
      <c r="AK143" s="15" t="n">
        <v>-14469.16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BULLISH</t>
        </is>
      </c>
      <c r="G144" s="17" t="inlineStr">
        <is>
          <t>Price↑(24630.75&gt;24624.65) &amp; EMA9↑(24451.45&gt;24305.23)</t>
        </is>
      </c>
      <c r="H144" s="17" t="n">
        <v>24451.45</v>
      </c>
      <c r="I144" s="17" t="n">
        <v>24305.23</v>
      </c>
      <c r="J144" s="17" t="inlineStr">
        <is>
          <t>2026-08-06</t>
        </is>
      </c>
      <c r="K144" s="17" t="inlineStr">
        <is>
          <t>WEEKLY</t>
        </is>
      </c>
      <c r="L144" s="17" t="n">
        <v>0</v>
      </c>
      <c r="M144" s="17" t="inlineStr">
        <is>
          <t>09:20 IST</t>
        </is>
      </c>
      <c r="N144" s="17" t="inlineStr">
        <is>
          <t>09:52 IST</t>
        </is>
      </c>
      <c r="O144" s="17" t="n">
        <v>24630.75</v>
      </c>
      <c r="P144" s="17" t="n">
        <v>24624.65</v>
      </c>
      <c r="Q144" s="17" t="inlineStr">
        <is>
          <t>24700 PE</t>
        </is>
      </c>
      <c r="R144" s="17" t="inlineStr">
        <is>
          <t>24600 PE</t>
        </is>
      </c>
      <c r="S144" s="17" t="n">
        <v>32</v>
      </c>
      <c r="T144" s="17" t="n">
        <v>65</v>
      </c>
      <c r="U144" s="17" t="n">
        <v>2080</v>
      </c>
      <c r="V144" s="17" t="n">
        <v>23</v>
      </c>
      <c r="W144" s="17" t="n">
        <v>29.9</v>
      </c>
      <c r="X144" s="17" t="n">
        <v>47840</v>
      </c>
      <c r="Y144" s="17" t="n">
        <v>47894.73</v>
      </c>
      <c r="Z144" s="17" t="n">
        <v>160160</v>
      </c>
      <c r="AA144" s="17" t="n">
        <v>14352</v>
      </c>
      <c r="AB144" s="17" t="n">
        <v>14352</v>
      </c>
      <c r="AC144" s="17" t="n">
        <v>14352</v>
      </c>
      <c r="AD144" s="17" t="n">
        <v>30</v>
      </c>
      <c r="AE144" s="17" t="n">
        <v>40</v>
      </c>
      <c r="AF144" s="17" t="n">
        <v>5.98</v>
      </c>
      <c r="AG144" s="17" t="n">
        <v>0.1</v>
      </c>
      <c r="AH144" s="17" t="n">
        <v>1.44</v>
      </c>
      <c r="AI144" s="17" t="n">
        <v>7.22</v>
      </c>
      <c r="AJ144" s="17" t="n">
        <v>54.73</v>
      </c>
      <c r="AK144" s="17" t="n">
        <v>14297.27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24478.6</v>
      </c>
      <c r="I145" s="17" t="n">
        <v>24330.91</v>
      </c>
      <c r="J145" s="17" t="inlineStr">
        <is>
          <t>2026-08-13</t>
        </is>
      </c>
      <c r="K145" s="17" t="inlineStr">
        <is>
          <t>WEEKLY</t>
        </is>
      </c>
      <c r="L145" s="17" t="n">
        <v>6</v>
      </c>
      <c r="M145" s="17" t="inlineStr">
        <is>
          <t>09:20 IST</t>
        </is>
      </c>
      <c r="N145" s="17" t="inlineStr">
        <is>
          <t>09:43 IST</t>
        </is>
      </c>
      <c r="O145" s="17" t="n">
        <v>24583</v>
      </c>
      <c r="P145" s="17" t="n">
        <v>24636</v>
      </c>
      <c r="Q145" s="17" t="inlineStr">
        <is>
          <t>24500 CE</t>
        </is>
      </c>
      <c r="R145" s="17" t="inlineStr">
        <is>
          <t>24600 CE</t>
        </is>
      </c>
      <c r="S145" s="17" t="n">
        <v>20</v>
      </c>
      <c r="T145" s="17" t="n">
        <v>65</v>
      </c>
      <c r="U145" s="17" t="n">
        <v>1300</v>
      </c>
      <c r="V145" s="17" t="n">
        <v>36.98</v>
      </c>
      <c r="W145" s="17" t="n">
        <v>48.07</v>
      </c>
      <c r="X145" s="17" t="n">
        <v>48074</v>
      </c>
      <c r="Y145" s="17" t="n">
        <v>48128.76</v>
      </c>
      <c r="Z145" s="17" t="n">
        <v>81926</v>
      </c>
      <c r="AA145" s="17" t="n">
        <v>14422.2</v>
      </c>
      <c r="AB145" s="17" t="n">
        <v>14422.2</v>
      </c>
      <c r="AC145" s="17" t="n">
        <v>14417</v>
      </c>
      <c r="AD145" s="17" t="n">
        <v>30</v>
      </c>
      <c r="AE145" s="17" t="n">
        <v>40</v>
      </c>
      <c r="AF145" s="17" t="n">
        <v>6.01</v>
      </c>
      <c r="AG145" s="17" t="n">
        <v>0.1</v>
      </c>
      <c r="AH145" s="17" t="n">
        <v>1.44</v>
      </c>
      <c r="AI145" s="17" t="n">
        <v>7.22</v>
      </c>
      <c r="AJ145" s="17" t="n">
        <v>54.76</v>
      </c>
      <c r="AK145" s="17" t="n">
        <v>14362.24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24478.6</v>
      </c>
      <c r="I146" s="17" t="n">
        <v>24330.91</v>
      </c>
      <c r="J146" s="17" t="inlineStr">
        <is>
          <t>2026-08-13</t>
        </is>
      </c>
      <c r="K146" s="17" t="inlineStr">
        <is>
          <t>WEEKLY</t>
        </is>
      </c>
      <c r="L146" s="17" t="n">
        <v>6</v>
      </c>
      <c r="M146" s="17" t="inlineStr">
        <is>
          <t>09:20 IST</t>
        </is>
      </c>
      <c r="N146" s="17" t="inlineStr">
        <is>
          <t>11:37 IST</t>
        </is>
      </c>
      <c r="O146" s="17" t="n">
        <v>24583</v>
      </c>
      <c r="P146" s="17" t="n">
        <v>24636</v>
      </c>
      <c r="Q146" s="17" t="inlineStr">
        <is>
          <t>24600 PE</t>
        </is>
      </c>
      <c r="R146" s="17" t="inlineStr">
        <is>
          <t>24500 PE</t>
        </is>
      </c>
      <c r="S146" s="17" t="n">
        <v>26</v>
      </c>
      <c r="T146" s="17" t="n">
        <v>65</v>
      </c>
      <c r="U146" s="17" t="n">
        <v>1690</v>
      </c>
      <c r="V146" s="17" t="n">
        <v>28.03</v>
      </c>
      <c r="W146" s="17" t="n">
        <v>36.44</v>
      </c>
      <c r="X146" s="17" t="n">
        <v>47370.7</v>
      </c>
      <c r="Y146" s="17" t="n">
        <v>47425.35</v>
      </c>
      <c r="Z146" s="17" t="n">
        <v>121629.3</v>
      </c>
      <c r="AA146" s="17" t="n">
        <v>14211.21</v>
      </c>
      <c r="AB146" s="17" t="n">
        <v>14211.21</v>
      </c>
      <c r="AC146" s="17" t="n">
        <v>14212.9</v>
      </c>
      <c r="AD146" s="17" t="n">
        <v>30</v>
      </c>
      <c r="AE146" s="17" t="n">
        <v>40</v>
      </c>
      <c r="AF146" s="17" t="n">
        <v>5.92</v>
      </c>
      <c r="AG146" s="17" t="n">
        <v>0.09</v>
      </c>
      <c r="AH146" s="17" t="n">
        <v>1.42</v>
      </c>
      <c r="AI146" s="17" t="n">
        <v>7.22</v>
      </c>
      <c r="AJ146" s="17" t="n">
        <v>54.65</v>
      </c>
      <c r="AK146" s="17" t="n">
        <v>14158.25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7" t="inlineStr">
        <is>
          <t>2026-08-07</t>
        </is>
      </c>
      <c r="B147" s="17" t="inlineStr">
        <is>
          <t>NIFTY</t>
        </is>
      </c>
      <c r="C147" s="17" t="inlineStr">
        <is>
          <t>Both Spreads</t>
        </is>
      </c>
      <c r="D147" s="17" t="inlineStr">
        <is>
          <t>Bull Call Spread</t>
        </is>
      </c>
      <c r="E147" s="17" t="inlineStr">
        <is>
          <t>SIMULATED</t>
        </is>
      </c>
      <c r="F147" s="17" t="inlineStr">
        <is>
          <t>SKIP</t>
        </is>
      </c>
      <c r="G147" s="17" t="inlineStr">
        <is>
          <t>Conflicting — Price:BEARISH EMA:BULLISH</t>
        </is>
      </c>
      <c r="H147" s="17" t="n">
        <v>24476.13</v>
      </c>
      <c r="I147" s="17" t="n">
        <v>24329.79</v>
      </c>
      <c r="J147" s="17" t="inlineStr">
        <is>
          <t>2026-08-13</t>
        </is>
      </c>
      <c r="K147" s="17" t="inlineStr">
        <is>
          <t>WEEKLY</t>
        </is>
      </c>
      <c r="L147" s="17" t="n">
        <v>6</v>
      </c>
      <c r="M147" s="17" t="inlineStr">
        <is>
          <t>09:20 IST</t>
        </is>
      </c>
      <c r="N147" s="17" t="inlineStr">
        <is>
          <t>10:07 IST</t>
        </is>
      </c>
      <c r="O147" s="17" t="n">
        <v>24570.65</v>
      </c>
      <c r="P147" s="17" t="n">
        <v>24636</v>
      </c>
      <c r="Q147" s="17" t="inlineStr">
        <is>
          <t>24500 CE</t>
        </is>
      </c>
      <c r="R147" s="17" t="inlineStr">
        <is>
          <t>24600 CE</t>
        </is>
      </c>
      <c r="S147" s="17" t="n">
        <v>25</v>
      </c>
      <c r="T147" s="17" t="n">
        <v>65</v>
      </c>
      <c r="U147" s="17" t="n">
        <v>1625</v>
      </c>
      <c r="V147" s="17" t="n">
        <v>29.98</v>
      </c>
      <c r="W147" s="17" t="n">
        <v>38.97</v>
      </c>
      <c r="X147" s="17" t="n">
        <v>48717.5</v>
      </c>
      <c r="Y147" s="17" t="n">
        <v>48772.37</v>
      </c>
      <c r="Z147" s="17" t="n">
        <v>113782.5</v>
      </c>
      <c r="AA147" s="17" t="n">
        <v>14615.25</v>
      </c>
      <c r="AB147" s="17" t="n">
        <v>14615.25</v>
      </c>
      <c r="AC147" s="17" t="n">
        <v>14608.75</v>
      </c>
      <c r="AD147" s="17" t="n">
        <v>30</v>
      </c>
      <c r="AE147" s="17" t="n">
        <v>40</v>
      </c>
      <c r="AF147" s="17" t="n">
        <v>6.09</v>
      </c>
      <c r="AG147" s="17" t="n">
        <v>0.1</v>
      </c>
      <c r="AH147" s="17" t="n">
        <v>1.46</v>
      </c>
      <c r="AI147" s="17" t="n">
        <v>7.22</v>
      </c>
      <c r="AJ147" s="17" t="n">
        <v>54.87</v>
      </c>
      <c r="AK147" s="17" t="n">
        <v>14553.88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7" t="inlineStr">
        <is>
          <t>2026-08-07</t>
        </is>
      </c>
      <c r="B148" s="17" t="inlineStr">
        <is>
          <t>NIFTY</t>
        </is>
      </c>
      <c r="C148" s="17" t="inlineStr">
        <is>
          <t>Both Spreads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Price:BEARISH EMA:BULLISH</t>
        </is>
      </c>
      <c r="H148" s="17" t="n">
        <v>24476.13</v>
      </c>
      <c r="I148" s="17" t="n">
        <v>24329.79</v>
      </c>
      <c r="J148" s="17" t="inlineStr">
        <is>
          <t>2026-08-13</t>
        </is>
      </c>
      <c r="K148" s="17" t="inlineStr">
        <is>
          <t>WEEKLY</t>
        </is>
      </c>
      <c r="L148" s="17" t="n">
        <v>6</v>
      </c>
      <c r="M148" s="17" t="inlineStr">
        <is>
          <t>09:20 IST</t>
        </is>
      </c>
      <c r="N148" s="17" t="inlineStr">
        <is>
          <t>10:24 IST</t>
        </is>
      </c>
      <c r="O148" s="17" t="n">
        <v>24570.65</v>
      </c>
      <c r="P148" s="17" t="n">
        <v>24636</v>
      </c>
      <c r="Q148" s="17" t="inlineStr">
        <is>
          <t>24600 PE</t>
        </is>
      </c>
      <c r="R148" s="17" t="inlineStr">
        <is>
          <t>24500 PE</t>
        </is>
      </c>
      <c r="S148" s="17" t="n">
        <v>21</v>
      </c>
      <c r="T148" s="17" t="n">
        <v>65</v>
      </c>
      <c r="U148" s="17" t="n">
        <v>1365</v>
      </c>
      <c r="V148" s="17" t="n">
        <v>34.42</v>
      </c>
      <c r="W148" s="17" t="n">
        <v>44.75</v>
      </c>
      <c r="X148" s="17" t="n">
        <v>46983.3</v>
      </c>
      <c r="Y148" s="17" t="n">
        <v>47037.89</v>
      </c>
      <c r="Z148" s="17" t="n">
        <v>89516.7</v>
      </c>
      <c r="AA148" s="17" t="n">
        <v>14094.99</v>
      </c>
      <c r="AB148" s="17" t="n">
        <v>14094.99</v>
      </c>
      <c r="AC148" s="17" t="n">
        <v>14100.45</v>
      </c>
      <c r="AD148" s="17" t="n">
        <v>30</v>
      </c>
      <c r="AE148" s="17" t="n">
        <v>40</v>
      </c>
      <c r="AF148" s="17" t="n">
        <v>5.87</v>
      </c>
      <c r="AG148" s="17" t="n">
        <v>0.09</v>
      </c>
      <c r="AH148" s="17" t="n">
        <v>1.41</v>
      </c>
      <c r="AI148" s="17" t="n">
        <v>7.22</v>
      </c>
      <c r="AJ148" s="17" t="n">
        <v>54.59</v>
      </c>
      <c r="AK148" s="17" t="n">
        <v>14045.86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7" t="inlineStr">
        <is>
          <t>2026-08-10</t>
        </is>
      </c>
      <c r="B149" s="17" t="inlineStr">
        <is>
          <t>NIFTY</t>
        </is>
      </c>
      <c r="C149" s="17" t="inlineStr">
        <is>
          <t>Both Spreads</t>
        </is>
      </c>
      <c r="D149" s="17" t="inlineStr">
        <is>
          <t>Bull Call Spread</t>
        </is>
      </c>
      <c r="E149" s="17" t="inlineStr">
        <is>
          <t>SIMULATED</t>
        </is>
      </c>
      <c r="F149" s="17" t="inlineStr">
        <is>
          <t>BULLISH</t>
        </is>
      </c>
      <c r="G149" s="17" t="inlineStr">
        <is>
          <t>Price↑(24597.3&gt;24570.65) &amp; EMA9↑(24500.44&gt;24359.04)</t>
        </is>
      </c>
      <c r="H149" s="17" t="n">
        <v>24500.44</v>
      </c>
      <c r="I149" s="17" t="n">
        <v>24359.04</v>
      </c>
      <c r="J149" s="17" t="inlineStr">
        <is>
          <t>2026-08-13</t>
        </is>
      </c>
      <c r="K149" s="17" t="inlineStr">
        <is>
          <t>WEEKLY</t>
        </is>
      </c>
      <c r="L149" s="17" t="n">
        <v>3</v>
      </c>
      <c r="M149" s="17" t="inlineStr">
        <is>
          <t>09:20 IST</t>
        </is>
      </c>
      <c r="N149" s="17" t="inlineStr">
        <is>
          <t>11:29 IST</t>
        </is>
      </c>
      <c r="O149" s="17" t="n">
        <v>24597.3</v>
      </c>
      <c r="P149" s="17" t="n">
        <v>24570.65</v>
      </c>
      <c r="Q149" s="17" t="inlineStr">
        <is>
          <t>24500 CE</t>
        </is>
      </c>
      <c r="R149" s="17" t="inlineStr">
        <is>
          <t>24600 CE</t>
        </is>
      </c>
      <c r="S149" s="17" t="n">
        <v>25</v>
      </c>
      <c r="T149" s="17" t="n">
        <v>65</v>
      </c>
      <c r="U149" s="17" t="n">
        <v>1625</v>
      </c>
      <c r="V149" s="17" t="n">
        <v>29.91</v>
      </c>
      <c r="W149" s="17" t="n">
        <v>38.88</v>
      </c>
      <c r="X149" s="17" t="n">
        <v>48603.75</v>
      </c>
      <c r="Y149" s="17" t="n">
        <v>48658.6</v>
      </c>
      <c r="Z149" s="17" t="n">
        <v>113896.25</v>
      </c>
      <c r="AA149" s="17" t="n">
        <v>14581.12</v>
      </c>
      <c r="AB149" s="17" t="n">
        <v>14581.12</v>
      </c>
      <c r="AC149" s="17" t="n">
        <v>14576.25</v>
      </c>
      <c r="AD149" s="17" t="n">
        <v>30</v>
      </c>
      <c r="AE149" s="17" t="n">
        <v>40</v>
      </c>
      <c r="AF149" s="17" t="n">
        <v>6.08</v>
      </c>
      <c r="AG149" s="17" t="n">
        <v>0.1</v>
      </c>
      <c r="AH149" s="17" t="n">
        <v>1.46</v>
      </c>
      <c r="AI149" s="17" t="n">
        <v>7.22</v>
      </c>
      <c r="AJ149" s="17" t="n">
        <v>54.85</v>
      </c>
      <c r="AK149" s="17" t="n">
        <v>14521.4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7" t="inlineStr">
        <is>
          <t>2026-08-10</t>
        </is>
      </c>
      <c r="B150" s="17" t="inlineStr">
        <is>
          <t>NIFTY</t>
        </is>
      </c>
      <c r="C150" s="17" t="inlineStr">
        <is>
          <t>Both Spreads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BULLISH</t>
        </is>
      </c>
      <c r="G150" s="17" t="inlineStr">
        <is>
          <t>Price↑(24597.3&gt;24570.65) &amp; EMA9↑(24500.44&gt;24359.04)</t>
        </is>
      </c>
      <c r="H150" s="17" t="n">
        <v>24500.44</v>
      </c>
      <c r="I150" s="17" t="n">
        <v>24359.04</v>
      </c>
      <c r="J150" s="17" t="inlineStr">
        <is>
          <t>2026-08-13</t>
        </is>
      </c>
      <c r="K150" s="17" t="inlineStr">
        <is>
          <t>WEEKLY</t>
        </is>
      </c>
      <c r="L150" s="17" t="n">
        <v>3</v>
      </c>
      <c r="M150" s="17" t="inlineStr">
        <is>
          <t>09:20 IST</t>
        </is>
      </c>
      <c r="N150" s="17" t="inlineStr">
        <is>
          <t>10:06 IST</t>
        </is>
      </c>
      <c r="O150" s="17" t="n">
        <v>24597.3</v>
      </c>
      <c r="P150" s="17" t="n">
        <v>24570.65</v>
      </c>
      <c r="Q150" s="17" t="inlineStr">
        <is>
          <t>24600 PE</t>
        </is>
      </c>
      <c r="R150" s="17" t="inlineStr">
        <is>
          <t>24500 PE</t>
        </is>
      </c>
      <c r="S150" s="17" t="n">
        <v>18</v>
      </c>
      <c r="T150" s="17" t="n">
        <v>65</v>
      </c>
      <c r="U150" s="17" t="n">
        <v>1170</v>
      </c>
      <c r="V150" s="17" t="n">
        <v>39.93</v>
      </c>
      <c r="W150" s="17" t="n">
        <v>51.91</v>
      </c>
      <c r="X150" s="17" t="n">
        <v>46718.1</v>
      </c>
      <c r="Y150" s="17" t="n">
        <v>46772.65</v>
      </c>
      <c r="Z150" s="17" t="n">
        <v>70281.89999999999</v>
      </c>
      <c r="AA150" s="17" t="n">
        <v>14015.43</v>
      </c>
      <c r="AB150" s="17" t="n">
        <v>14015.43</v>
      </c>
      <c r="AC150" s="17" t="n">
        <v>14016.6</v>
      </c>
      <c r="AD150" s="17" t="n">
        <v>30</v>
      </c>
      <c r="AE150" s="17" t="n">
        <v>40</v>
      </c>
      <c r="AF150" s="17" t="n">
        <v>5.84</v>
      </c>
      <c r="AG150" s="17" t="n">
        <v>0.09</v>
      </c>
      <c r="AH150" s="17" t="n">
        <v>1.4</v>
      </c>
      <c r="AI150" s="17" t="n">
        <v>7.22</v>
      </c>
      <c r="AJ150" s="17" t="n">
        <v>54.55</v>
      </c>
      <c r="AK150" s="17" t="n">
        <v>13962.05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6" t="inlineStr">
        <is>
          <t>2026-08-10</t>
        </is>
      </c>
      <c r="B151" s="16" t="inlineStr">
        <is>
          <t>NIFTY</t>
        </is>
      </c>
      <c r="C151" s="16" t="inlineStr">
        <is>
          <t>Both Spreads</t>
        </is>
      </c>
      <c r="D151" s="16" t="inlineStr">
        <is>
          <t>Bull Call Spread</t>
        </is>
      </c>
      <c r="E151" s="16" t="inlineStr">
        <is>
          <t>SIMULATED</t>
        </is>
      </c>
      <c r="F151" s="16" t="inlineStr">
        <is>
          <t>BULLISH</t>
        </is>
      </c>
      <c r="G151" s="16" t="inlineStr">
        <is>
          <t>Price↑(24583.8&gt;24570.65) &amp; EMA9↑(24497.74&gt;24357.82)</t>
        </is>
      </c>
      <c r="H151" s="16" t="n">
        <v>24497.74</v>
      </c>
      <c r="I151" s="16" t="n">
        <v>24357.82</v>
      </c>
      <c r="J151" s="16" t="inlineStr">
        <is>
          <t>2026-08-13</t>
        </is>
      </c>
      <c r="K151" s="16" t="inlineStr">
        <is>
          <t>WEEKLY</t>
        </is>
      </c>
      <c r="L151" s="16" t="n">
        <v>3</v>
      </c>
      <c r="M151" s="16" t="inlineStr">
        <is>
          <t>09:20 IST</t>
        </is>
      </c>
      <c r="N151" s="16" t="inlineStr">
        <is>
          <t>14:00 IST</t>
        </is>
      </c>
      <c r="O151" s="16" t="n">
        <v>24583.8</v>
      </c>
      <c r="P151" s="16" t="n">
        <v>24570.65</v>
      </c>
      <c r="Q151" s="16" t="inlineStr">
        <is>
          <t>24500 CE</t>
        </is>
      </c>
      <c r="R151" s="16" t="inlineStr">
        <is>
          <t>24600 CE</t>
        </is>
      </c>
      <c r="S151" s="16" t="n">
        <v>20</v>
      </c>
      <c r="T151" s="16" t="n">
        <v>65</v>
      </c>
      <c r="U151" s="16" t="n">
        <v>1300</v>
      </c>
      <c r="V151" s="16" t="n">
        <v>37.61</v>
      </c>
      <c r="W151" s="16" t="n">
        <v>38.74</v>
      </c>
      <c r="X151" s="16" t="n">
        <v>48893</v>
      </c>
      <c r="Y151" s="16" t="n">
        <v>48947.89</v>
      </c>
      <c r="Z151" s="16" t="n">
        <v>81107</v>
      </c>
      <c r="AA151" s="16" t="n">
        <v>14667.9</v>
      </c>
      <c r="AB151" s="16" t="n">
        <v>14667.9</v>
      </c>
      <c r="AC151" s="16" t="n">
        <v>1469</v>
      </c>
      <c r="AD151" s="16" t="n">
        <v>3</v>
      </c>
      <c r="AE151" s="16" t="n">
        <v>40</v>
      </c>
      <c r="AF151" s="16" t="n">
        <v>6.11</v>
      </c>
      <c r="AG151" s="16" t="n">
        <v>0.1</v>
      </c>
      <c r="AH151" s="16" t="n">
        <v>1.47</v>
      </c>
      <c r="AI151" s="16" t="n">
        <v>7.22</v>
      </c>
      <c r="AJ151" s="16" t="n">
        <v>54.89</v>
      </c>
      <c r="AK151" s="16" t="n">
        <v>1414.11</v>
      </c>
      <c r="AL151" s="16" t="inlineStr">
        <is>
          <t>FLAT</t>
        </is>
      </c>
      <c r="AM151" s="16" t="n">
        <v>50000</v>
      </c>
      <c r="AN151" s="16" t="inlineStr">
        <is>
          <t>PAPER TRADING</t>
        </is>
      </c>
    </row>
    <row r="152">
      <c r="A152" s="16" t="inlineStr">
        <is>
          <t>2026-08-10</t>
        </is>
      </c>
      <c r="B152" s="16" t="inlineStr">
        <is>
          <t>NIFTY</t>
        </is>
      </c>
      <c r="C152" s="16" t="inlineStr">
        <is>
          <t>Both Spreads</t>
        </is>
      </c>
      <c r="D152" s="16" t="inlineStr">
        <is>
          <t>Bear Put Spread</t>
        </is>
      </c>
      <c r="E152" s="16" t="inlineStr">
        <is>
          <t>SIMULATED</t>
        </is>
      </c>
      <c r="F152" s="16" t="inlineStr">
        <is>
          <t>BULLISH</t>
        </is>
      </c>
      <c r="G152" s="16" t="inlineStr">
        <is>
          <t>Price↑(24583.8&gt;24570.65) &amp; EMA9↑(24497.74&gt;24357.82)</t>
        </is>
      </c>
      <c r="H152" s="16" t="n">
        <v>24497.74</v>
      </c>
      <c r="I152" s="16" t="n">
        <v>24357.82</v>
      </c>
      <c r="J152" s="16" t="inlineStr">
        <is>
          <t>2026-08-13</t>
        </is>
      </c>
      <c r="K152" s="16" t="inlineStr">
        <is>
          <t>WEEKLY</t>
        </is>
      </c>
      <c r="L152" s="16" t="n">
        <v>3</v>
      </c>
      <c r="M152" s="16" t="inlineStr">
        <is>
          <t>09:20 IST</t>
        </is>
      </c>
      <c r="N152" s="16" t="inlineStr">
        <is>
          <t>13:38 IST</t>
        </is>
      </c>
      <c r="O152" s="16" t="n">
        <v>24583.8</v>
      </c>
      <c r="P152" s="16" t="n">
        <v>24570.65</v>
      </c>
      <c r="Q152" s="16" t="inlineStr">
        <is>
          <t>24600 PE</t>
        </is>
      </c>
      <c r="R152" s="16" t="inlineStr">
        <is>
          <t>24500 PE</t>
        </is>
      </c>
      <c r="S152" s="16" t="n">
        <v>26</v>
      </c>
      <c r="T152" s="16" t="n">
        <v>65</v>
      </c>
      <c r="U152" s="16" t="n">
        <v>1690</v>
      </c>
      <c r="V152" s="16" t="n">
        <v>28.29</v>
      </c>
      <c r="W152" s="16" t="n">
        <v>29</v>
      </c>
      <c r="X152" s="16" t="n">
        <v>47810.1</v>
      </c>
      <c r="Y152" s="16" t="n">
        <v>47864.82</v>
      </c>
      <c r="Z152" s="16" t="n">
        <v>121189.9</v>
      </c>
      <c r="AA152" s="16" t="n">
        <v>14343.03</v>
      </c>
      <c r="AB152" s="16" t="n">
        <v>14343.03</v>
      </c>
      <c r="AC152" s="16" t="n">
        <v>1199.9</v>
      </c>
      <c r="AD152" s="16" t="n">
        <v>2.5</v>
      </c>
      <c r="AE152" s="16" t="n">
        <v>40</v>
      </c>
      <c r="AF152" s="16" t="n">
        <v>5.98</v>
      </c>
      <c r="AG152" s="16" t="n">
        <v>0.1</v>
      </c>
      <c r="AH152" s="16" t="n">
        <v>1.43</v>
      </c>
      <c r="AI152" s="16" t="n">
        <v>7.22</v>
      </c>
      <c r="AJ152" s="16" t="n">
        <v>54.72</v>
      </c>
      <c r="AK152" s="16" t="n">
        <v>1145.18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5" t="inlineStr">
        <is>
          <t>2026-08-11</t>
        </is>
      </c>
      <c r="B153" s="15" t="inlineStr">
        <is>
          <t>NIFTY</t>
        </is>
      </c>
      <c r="C153" s="15" t="inlineStr">
        <is>
          <t>Both Spreads</t>
        </is>
      </c>
      <c r="D153" s="15" t="inlineStr">
        <is>
          <t>Bull Call Spread</t>
        </is>
      </c>
      <c r="E153" s="15" t="inlineStr">
        <is>
          <t>SIMULATED</t>
        </is>
      </c>
      <c r="F153" s="15" t="inlineStr">
        <is>
          <t>SKIP</t>
        </is>
      </c>
      <c r="G153" s="15" t="inlineStr">
        <is>
          <t>Conflicting — Price:BEARISH EMA:BULLISH</t>
        </is>
      </c>
      <c r="H153" s="15" t="n">
        <v>24492.52</v>
      </c>
      <c r="I153" s="15" t="n">
        <v>24369.84</v>
      </c>
      <c r="J153" s="15" t="inlineStr">
        <is>
          <t>2026-08-13</t>
        </is>
      </c>
      <c r="K153" s="15" t="inlineStr">
        <is>
          <t>WEEKLY</t>
        </is>
      </c>
      <c r="L153" s="15" t="n">
        <v>2</v>
      </c>
      <c r="M153" s="15" t="inlineStr">
        <is>
          <t>09:20 IST</t>
        </is>
      </c>
      <c r="N153" s="15" t="inlineStr">
        <is>
          <t>10:21 IST</t>
        </is>
      </c>
      <c r="O153" s="15" t="n">
        <v>24470.6</v>
      </c>
      <c r="P153" s="15" t="n">
        <v>24583.8</v>
      </c>
      <c r="Q153" s="15" t="inlineStr">
        <is>
          <t>24400 CE</t>
        </is>
      </c>
      <c r="R153" s="15" t="inlineStr">
        <is>
          <t>24500 CE</t>
        </is>
      </c>
      <c r="S153" s="15" t="n">
        <v>35</v>
      </c>
      <c r="T153" s="15" t="n">
        <v>65</v>
      </c>
      <c r="U153" s="15" t="n">
        <v>2275</v>
      </c>
      <c r="V153" s="15" t="n">
        <v>21.33</v>
      </c>
      <c r="W153" s="15" t="n">
        <v>14.93</v>
      </c>
      <c r="X153" s="15" t="n">
        <v>48525.75</v>
      </c>
      <c r="Y153" s="15" t="n">
        <v>48580.59</v>
      </c>
      <c r="Z153" s="15" t="n">
        <v>178974.25</v>
      </c>
      <c r="AA153" s="15" t="n">
        <v>14557.73</v>
      </c>
      <c r="AB153" s="15" t="n">
        <v>14557.73</v>
      </c>
      <c r="AC153" s="15" t="n">
        <v>-14560</v>
      </c>
      <c r="AD153" s="15" t="n">
        <v>-30</v>
      </c>
      <c r="AE153" s="15" t="n">
        <v>40</v>
      </c>
      <c r="AF153" s="15" t="n">
        <v>6.07</v>
      </c>
      <c r="AG153" s="15" t="n">
        <v>0.1</v>
      </c>
      <c r="AH153" s="15" t="n">
        <v>1.46</v>
      </c>
      <c r="AI153" s="15" t="n">
        <v>7.22</v>
      </c>
      <c r="AJ153" s="15" t="n">
        <v>54.84</v>
      </c>
      <c r="AK153" s="15" t="n">
        <v>-14614.84</v>
      </c>
      <c r="AL153" s="15" t="inlineStr">
        <is>
          <t>STOP LOSS</t>
        </is>
      </c>
      <c r="AM153" s="15" t="n">
        <v>50000</v>
      </c>
      <c r="AN153" s="15" t="inlineStr">
        <is>
          <t>PAPER TRADING</t>
        </is>
      </c>
    </row>
    <row r="154">
      <c r="A154" s="16" t="inlineStr">
        <is>
          <t>2026-08-11</t>
        </is>
      </c>
      <c r="B154" s="16" t="inlineStr">
        <is>
          <t>NIFTY</t>
        </is>
      </c>
      <c r="C154" s="16" t="inlineStr">
        <is>
          <t>Both Spreads</t>
        </is>
      </c>
      <c r="D154" s="16" t="inlineStr">
        <is>
          <t>Bear Put Spread</t>
        </is>
      </c>
      <c r="E154" s="16" t="inlineStr">
        <is>
          <t>SIMULATED</t>
        </is>
      </c>
      <c r="F154" s="16" t="inlineStr">
        <is>
          <t>SKIP</t>
        </is>
      </c>
      <c r="G154" s="16" t="inlineStr">
        <is>
          <t>Conflicting — Price:BEARISH EMA:BULLISH</t>
        </is>
      </c>
      <c r="H154" s="16" t="n">
        <v>24492.52</v>
      </c>
      <c r="I154" s="16" t="n">
        <v>24369.84</v>
      </c>
      <c r="J154" s="16" t="inlineStr">
        <is>
          <t>2026-08-13</t>
        </is>
      </c>
      <c r="K154" s="16" t="inlineStr">
        <is>
          <t>WEEKLY</t>
        </is>
      </c>
      <c r="L154" s="16" t="n">
        <v>2</v>
      </c>
      <c r="M154" s="16" t="inlineStr">
        <is>
          <t>09:20 IST</t>
        </is>
      </c>
      <c r="N154" s="16" t="inlineStr">
        <is>
          <t>15:11 IST</t>
        </is>
      </c>
      <c r="O154" s="16" t="n">
        <v>24470.6</v>
      </c>
      <c r="P154" s="16" t="n">
        <v>24583.8</v>
      </c>
      <c r="Q154" s="16" t="inlineStr">
        <is>
          <t>24500 PE</t>
        </is>
      </c>
      <c r="R154" s="16" t="inlineStr">
        <is>
          <t>24400 PE</t>
        </is>
      </c>
      <c r="S154" s="16" t="n">
        <v>42</v>
      </c>
      <c r="T154" s="16" t="n">
        <v>65</v>
      </c>
      <c r="U154" s="16" t="n">
        <v>2730</v>
      </c>
      <c r="V154" s="16" t="n">
        <v>17.51</v>
      </c>
      <c r="W154" s="16" t="n">
        <v>17.36</v>
      </c>
      <c r="X154" s="16" t="n">
        <v>47802.3</v>
      </c>
      <c r="Y154" s="16" t="n">
        <v>47857.02</v>
      </c>
      <c r="Z154" s="16" t="n">
        <v>225197.7</v>
      </c>
      <c r="AA154" s="16" t="n">
        <v>14340.69</v>
      </c>
      <c r="AB154" s="16" t="n">
        <v>14340.69</v>
      </c>
      <c r="AC154" s="16" t="n">
        <v>-409.5</v>
      </c>
      <c r="AD154" s="16" t="n">
        <v>-0.9</v>
      </c>
      <c r="AE154" s="16" t="n">
        <v>40</v>
      </c>
      <c r="AF154" s="16" t="n">
        <v>5.98</v>
      </c>
      <c r="AG154" s="16" t="n">
        <v>0.1</v>
      </c>
      <c r="AH154" s="16" t="n">
        <v>1.43</v>
      </c>
      <c r="AI154" s="16" t="n">
        <v>7.22</v>
      </c>
      <c r="AJ154" s="16" t="n">
        <v>54.72</v>
      </c>
      <c r="AK154" s="16" t="n">
        <v>-464.22</v>
      </c>
      <c r="AL154" s="16" t="inlineStr">
        <is>
          <t>FLAT</t>
        </is>
      </c>
      <c r="AM154" s="16" t="n">
        <v>50000</v>
      </c>
      <c r="AN154" s="16" t="inlineStr">
        <is>
          <t>PAPER TRADING</t>
        </is>
      </c>
    </row>
    <row r="155">
      <c r="A155" s="17" t="inlineStr">
        <is>
          <t>2026-08-11</t>
        </is>
      </c>
      <c r="B155" s="17" t="inlineStr">
        <is>
          <t>NIFTY</t>
        </is>
      </c>
      <c r="C155" s="17" t="inlineStr">
        <is>
          <t>Both Spreads</t>
        </is>
      </c>
      <c r="D155" s="17" t="inlineStr">
        <is>
          <t>Bull Call Spread</t>
        </is>
      </c>
      <c r="E155" s="17" t="inlineStr">
        <is>
          <t>SIMULATED</t>
        </is>
      </c>
      <c r="F155" s="17" t="inlineStr">
        <is>
          <t>SKIP</t>
        </is>
      </c>
      <c r="G155" s="17" t="inlineStr">
        <is>
          <t>Conflicting — Price:BEARISH EMA:BULLISH</t>
        </is>
      </c>
      <c r="H155" s="17" t="n">
        <v>24492.74</v>
      </c>
      <c r="I155" s="17" t="n">
        <v>24369.94</v>
      </c>
      <c r="J155" s="17" t="inlineStr">
        <is>
          <t>2026-08-13</t>
        </is>
      </c>
      <c r="K155" s="17" t="inlineStr">
        <is>
          <t>WEEKLY</t>
        </is>
      </c>
      <c r="L155" s="17" t="n">
        <v>2</v>
      </c>
      <c r="M155" s="17" t="inlineStr">
        <is>
          <t>09:20 IST</t>
        </is>
      </c>
      <c r="N155" s="17" t="inlineStr">
        <is>
          <t>12:04 IST</t>
        </is>
      </c>
      <c r="O155" s="17" t="n">
        <v>24471.7</v>
      </c>
      <c r="P155" s="17" t="n">
        <v>24583.8</v>
      </c>
      <c r="Q155" s="17" t="inlineStr">
        <is>
          <t>24400 CE</t>
        </is>
      </c>
      <c r="R155" s="17" t="inlineStr">
        <is>
          <t>24500 CE</t>
        </is>
      </c>
      <c r="S155" s="17" t="n">
        <v>38</v>
      </c>
      <c r="T155" s="17" t="n">
        <v>65</v>
      </c>
      <c r="U155" s="17" t="n">
        <v>2470</v>
      </c>
      <c r="V155" s="17" t="n">
        <v>19.36</v>
      </c>
      <c r="W155" s="17" t="n">
        <v>25.17</v>
      </c>
      <c r="X155" s="17" t="n">
        <v>47819.2</v>
      </c>
      <c r="Y155" s="17" t="n">
        <v>47873.92</v>
      </c>
      <c r="Z155" s="17" t="n">
        <v>199180.8</v>
      </c>
      <c r="AA155" s="17" t="n">
        <v>14345.76</v>
      </c>
      <c r="AB155" s="17" t="n">
        <v>14345.76</v>
      </c>
      <c r="AC155" s="17" t="n">
        <v>14350.7</v>
      </c>
      <c r="AD155" s="17" t="n">
        <v>30</v>
      </c>
      <c r="AE155" s="17" t="n">
        <v>40</v>
      </c>
      <c r="AF155" s="17" t="n">
        <v>5.98</v>
      </c>
      <c r="AG155" s="17" t="n">
        <v>0.1</v>
      </c>
      <c r="AH155" s="17" t="n">
        <v>1.43</v>
      </c>
      <c r="AI155" s="17" t="n">
        <v>7.22</v>
      </c>
      <c r="AJ155" s="17" t="n">
        <v>54.72</v>
      </c>
      <c r="AK155" s="17" t="n">
        <v>14295.98</v>
      </c>
      <c r="AL155" s="17" t="inlineStr">
        <is>
          <t>PROFIT</t>
        </is>
      </c>
      <c r="AM155" s="17" t="n">
        <v>50000</v>
      </c>
      <c r="AN155" s="17" t="inlineStr">
        <is>
          <t>PAPER TRADING</t>
        </is>
      </c>
    </row>
    <row r="156">
      <c r="A156" s="15" t="inlineStr">
        <is>
          <t>2026-08-11</t>
        </is>
      </c>
      <c r="B156" s="15" t="inlineStr">
        <is>
          <t>NIFTY</t>
        </is>
      </c>
      <c r="C156" s="15" t="inlineStr">
        <is>
          <t>Both Spreads</t>
        </is>
      </c>
      <c r="D156" s="15" t="inlineStr">
        <is>
          <t>Bear Put Spread</t>
        </is>
      </c>
      <c r="E156" s="15" t="inlineStr">
        <is>
          <t>SIMULATED</t>
        </is>
      </c>
      <c r="F156" s="15" t="inlineStr">
        <is>
          <t>SKIP</t>
        </is>
      </c>
      <c r="G156" s="15" t="inlineStr">
        <is>
          <t>Conflicting — Price:BEARISH EMA:BULLISH</t>
        </is>
      </c>
      <c r="H156" s="15" t="n">
        <v>24492.74</v>
      </c>
      <c r="I156" s="15" t="n">
        <v>24369.94</v>
      </c>
      <c r="J156" s="15" t="inlineStr">
        <is>
          <t>2026-08-13</t>
        </is>
      </c>
      <c r="K156" s="15" t="inlineStr">
        <is>
          <t>WEEKLY</t>
        </is>
      </c>
      <c r="L156" s="15" t="n">
        <v>2</v>
      </c>
      <c r="M156" s="15" t="inlineStr">
        <is>
          <t>09:20 IST</t>
        </is>
      </c>
      <c r="N156" s="15" t="inlineStr">
        <is>
          <t>09:45 IST</t>
        </is>
      </c>
      <c r="O156" s="15" t="n">
        <v>24471.7</v>
      </c>
      <c r="P156" s="15" t="n">
        <v>24583.8</v>
      </c>
      <c r="Q156" s="15" t="inlineStr">
        <is>
          <t>24500 PE</t>
        </is>
      </c>
      <c r="R156" s="15" t="inlineStr">
        <is>
          <t>24400 PE</t>
        </is>
      </c>
      <c r="S156" s="15" t="n">
        <v>38</v>
      </c>
      <c r="T156" s="15" t="n">
        <v>65</v>
      </c>
      <c r="U156" s="15" t="n">
        <v>2470</v>
      </c>
      <c r="V156" s="15" t="n">
        <v>19.17</v>
      </c>
      <c r="W156" s="15" t="n">
        <v>13.42</v>
      </c>
      <c r="X156" s="15" t="n">
        <v>47349.9</v>
      </c>
      <c r="Y156" s="15" t="n">
        <v>47404.55</v>
      </c>
      <c r="Z156" s="15" t="n">
        <v>199650.1</v>
      </c>
      <c r="AA156" s="15" t="n">
        <v>14204.97</v>
      </c>
      <c r="AB156" s="15" t="n">
        <v>14204.97</v>
      </c>
      <c r="AC156" s="15" t="n">
        <v>-14202.5</v>
      </c>
      <c r="AD156" s="15" t="n">
        <v>-30</v>
      </c>
      <c r="AE156" s="15" t="n">
        <v>40</v>
      </c>
      <c r="AF156" s="15" t="n">
        <v>5.92</v>
      </c>
      <c r="AG156" s="15" t="n">
        <v>0.09</v>
      </c>
      <c r="AH156" s="15" t="n">
        <v>1.42</v>
      </c>
      <c r="AI156" s="15" t="n">
        <v>7.22</v>
      </c>
      <c r="AJ156" s="15" t="n">
        <v>54.65</v>
      </c>
      <c r="AK156" s="15" t="n">
        <v>-14257.15</v>
      </c>
      <c r="AL156" s="15" t="inlineStr">
        <is>
          <t>STOP LOSS</t>
        </is>
      </c>
      <c r="AM156" s="15" t="n">
        <v>50000</v>
      </c>
      <c r="AN156" s="15" t="inlineStr">
        <is>
          <t>PAPER TRADING</t>
        </is>
      </c>
    </row>
    <row r="157">
      <c r="A157" s="16" t="inlineStr">
        <is>
          <t>2026-08-12</t>
        </is>
      </c>
      <c r="B157" s="16" t="inlineStr">
        <is>
          <t>NIFTY</t>
        </is>
      </c>
      <c r="C157" s="16" t="inlineStr">
        <is>
          <t>Both Spreads</t>
        </is>
      </c>
      <c r="D157" s="16" t="inlineStr">
        <is>
          <t>Bull Call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Price:BEARISH EMA:BULLISH</t>
        </is>
      </c>
      <c r="H157" s="16" t="n">
        <v>24465.48</v>
      </c>
      <c r="I157" s="16" t="n">
        <v>24367</v>
      </c>
      <c r="J157" s="16" t="inlineStr">
        <is>
          <t>2026-08-13</t>
        </is>
      </c>
      <c r="K157" s="16" t="inlineStr">
        <is>
          <t>WEEKLY</t>
        </is>
      </c>
      <c r="L157" s="16" t="n">
        <v>1</v>
      </c>
      <c r="M157" s="16" t="inlineStr">
        <is>
          <t>09:20 IST</t>
        </is>
      </c>
      <c r="N157" s="16" t="inlineStr">
        <is>
          <t>13:57 IST</t>
        </is>
      </c>
      <c r="O157" s="16" t="n">
        <v>24355.1</v>
      </c>
      <c r="P157" s="16" t="n">
        <v>24471.7</v>
      </c>
      <c r="Q157" s="16" t="inlineStr">
        <is>
          <t>24300 CE</t>
        </is>
      </c>
      <c r="R157" s="16" t="inlineStr">
        <is>
          <t>24400 CE</t>
        </is>
      </c>
      <c r="S157" s="16" t="n">
        <v>35</v>
      </c>
      <c r="T157" s="16" t="n">
        <v>65</v>
      </c>
      <c r="U157" s="16" t="n">
        <v>2275</v>
      </c>
      <c r="V157" s="16" t="n">
        <v>20.76</v>
      </c>
      <c r="W157" s="16" t="n">
        <v>19.75</v>
      </c>
      <c r="X157" s="16" t="n">
        <v>47229</v>
      </c>
      <c r="Y157" s="16" t="n">
        <v>47283.63</v>
      </c>
      <c r="Z157" s="16" t="n">
        <v>180271</v>
      </c>
      <c r="AA157" s="16" t="n">
        <v>14168.7</v>
      </c>
      <c r="AB157" s="16" t="n">
        <v>14168.7</v>
      </c>
      <c r="AC157" s="16" t="n">
        <v>-2297.75</v>
      </c>
      <c r="AD157" s="16" t="n">
        <v>-4.9</v>
      </c>
      <c r="AE157" s="16" t="n">
        <v>40</v>
      </c>
      <c r="AF157" s="16" t="n">
        <v>5.9</v>
      </c>
      <c r="AG157" s="16" t="n">
        <v>0.09</v>
      </c>
      <c r="AH157" s="16" t="n">
        <v>1.42</v>
      </c>
      <c r="AI157" s="16" t="n">
        <v>7.22</v>
      </c>
      <c r="AJ157" s="16" t="n">
        <v>54.63</v>
      </c>
      <c r="AK157" s="16" t="n">
        <v>-2352.38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6" t="inlineStr">
        <is>
          <t>2026-08-12</t>
        </is>
      </c>
      <c r="B158" s="16" t="inlineStr">
        <is>
          <t>NIFTY</t>
        </is>
      </c>
      <c r="C158" s="16" t="inlineStr">
        <is>
          <t>Both Spreads</t>
        </is>
      </c>
      <c r="D158" s="16" t="inlineStr">
        <is>
          <t>Bear Put Spread</t>
        </is>
      </c>
      <c r="E158" s="16" t="inlineStr">
        <is>
          <t>SIMULATED</t>
        </is>
      </c>
      <c r="F158" s="16" t="inlineStr">
        <is>
          <t>SKIP</t>
        </is>
      </c>
      <c r="G158" s="16" t="inlineStr">
        <is>
          <t>Conflicting — Price:BEARISH EMA:BULLISH</t>
        </is>
      </c>
      <c r="H158" s="16" t="n">
        <v>24465.48</v>
      </c>
      <c r="I158" s="16" t="n">
        <v>24367</v>
      </c>
      <c r="J158" s="16" t="inlineStr">
        <is>
          <t>2026-08-13</t>
        </is>
      </c>
      <c r="K158" s="16" t="inlineStr">
        <is>
          <t>WEEKLY</t>
        </is>
      </c>
      <c r="L158" s="16" t="n">
        <v>1</v>
      </c>
      <c r="M158" s="16" t="inlineStr">
        <is>
          <t>09:20 IST</t>
        </is>
      </c>
      <c r="N158" s="16" t="inlineStr">
        <is>
          <t>14:43 IST</t>
        </is>
      </c>
      <c r="O158" s="16" t="n">
        <v>24355.1</v>
      </c>
      <c r="P158" s="16" t="n">
        <v>24471.7</v>
      </c>
      <c r="Q158" s="16" t="inlineStr">
        <is>
          <t>24400 PE</t>
        </is>
      </c>
      <c r="R158" s="16" t="inlineStr">
        <is>
          <t>24300 PE</t>
        </is>
      </c>
      <c r="S158" s="16" t="n">
        <v>39</v>
      </c>
      <c r="T158" s="16" t="n">
        <v>65</v>
      </c>
      <c r="U158" s="16" t="n">
        <v>2535</v>
      </c>
      <c r="V158" s="16" t="n">
        <v>18.69</v>
      </c>
      <c r="W158" s="16" t="n">
        <v>18.54</v>
      </c>
      <c r="X158" s="16" t="n">
        <v>47379.15</v>
      </c>
      <c r="Y158" s="16" t="n">
        <v>47433.81</v>
      </c>
      <c r="Z158" s="16" t="n">
        <v>206120.85</v>
      </c>
      <c r="AA158" s="16" t="n">
        <v>14213.75</v>
      </c>
      <c r="AB158" s="16" t="n">
        <v>14213.75</v>
      </c>
      <c r="AC158" s="16" t="n">
        <v>-380.25</v>
      </c>
      <c r="AD158" s="16" t="n">
        <v>-0.8</v>
      </c>
      <c r="AE158" s="16" t="n">
        <v>40</v>
      </c>
      <c r="AF158" s="16" t="n">
        <v>5.92</v>
      </c>
      <c r="AG158" s="16" t="n">
        <v>0.09</v>
      </c>
      <c r="AH158" s="16" t="n">
        <v>1.42</v>
      </c>
      <c r="AI158" s="16" t="n">
        <v>7.22</v>
      </c>
      <c r="AJ158" s="16" t="n">
        <v>54.66</v>
      </c>
      <c r="AK158" s="16" t="n">
        <v>-434.91</v>
      </c>
      <c r="AL158" s="16" t="inlineStr">
        <is>
          <t>FLAT</t>
        </is>
      </c>
      <c r="AM158" s="16" t="n">
        <v>50000</v>
      </c>
      <c r="AN158" s="16" t="inlineStr">
        <is>
          <t>PAPER TRADING</t>
        </is>
      </c>
    </row>
    <row r="159">
      <c r="A159" s="17" t="inlineStr">
        <is>
          <t>2026-08-12</t>
        </is>
      </c>
      <c r="B159" s="17" t="inlineStr">
        <is>
          <t>NIFTY</t>
        </is>
      </c>
      <c r="C159" s="17" t="inlineStr">
        <is>
          <t>Both Spreads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SKIP</t>
        </is>
      </c>
      <c r="G159" s="17" t="inlineStr">
        <is>
          <t>Conflicting — Price:BEARISH EMA:BULLISH</t>
        </is>
      </c>
      <c r="H159" s="17" t="n">
        <v>24474.32</v>
      </c>
      <c r="I159" s="17" t="n">
        <v>24340.75</v>
      </c>
      <c r="J159" s="17" t="inlineStr">
        <is>
          <t>2026-08-13</t>
        </is>
      </c>
      <c r="K159" s="17" t="inlineStr">
        <is>
          <t>WEEKLY</t>
        </is>
      </c>
      <c r="L159" s="17" t="n">
        <v>1</v>
      </c>
      <c r="M159" s="17" t="inlineStr">
        <is>
          <t>09:20 IST</t>
        </is>
      </c>
      <c r="N159" s="17" t="inlineStr">
        <is>
          <t>10:02 IST</t>
        </is>
      </c>
      <c r="O159" s="17" t="n">
        <v>24435.95</v>
      </c>
      <c r="P159" s="17" t="n">
        <v>24471.7</v>
      </c>
      <c r="Q159" s="17" t="inlineStr">
        <is>
          <t>24400 CE</t>
        </is>
      </c>
      <c r="R159" s="17" t="inlineStr">
        <is>
          <t>24500 CE</t>
        </is>
      </c>
      <c r="S159" s="17" t="n">
        <v>37</v>
      </c>
      <c r="T159" s="17" t="n">
        <v>65</v>
      </c>
      <c r="U159" s="17" t="n">
        <v>2405</v>
      </c>
      <c r="V159" s="17" t="n">
        <v>19.67</v>
      </c>
      <c r="W159" s="17" t="n">
        <v>25.57</v>
      </c>
      <c r="X159" s="17" t="n">
        <v>47306.35</v>
      </c>
      <c r="Y159" s="17" t="n">
        <v>47360.99</v>
      </c>
      <c r="Z159" s="17" t="n">
        <v>193193.65</v>
      </c>
      <c r="AA159" s="17" t="n">
        <v>14191.9</v>
      </c>
      <c r="AB159" s="17" t="n">
        <v>14191.9</v>
      </c>
      <c r="AC159" s="17" t="n">
        <v>14189.5</v>
      </c>
      <c r="AD159" s="17" t="n">
        <v>30</v>
      </c>
      <c r="AE159" s="17" t="n">
        <v>40</v>
      </c>
      <c r="AF159" s="17" t="n">
        <v>5.91</v>
      </c>
      <c r="AG159" s="17" t="n">
        <v>0.09</v>
      </c>
      <c r="AH159" s="17" t="n">
        <v>1.42</v>
      </c>
      <c r="AI159" s="17" t="n">
        <v>7.22</v>
      </c>
      <c r="AJ159" s="17" t="n">
        <v>54.64</v>
      </c>
      <c r="AK159" s="17" t="n">
        <v>14134.86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2026-08-12</t>
        </is>
      </c>
      <c r="B160" s="17" t="inlineStr">
        <is>
          <t>NIFTY</t>
        </is>
      </c>
      <c r="C160" s="17" t="inlineStr">
        <is>
          <t>Both Spreads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SKIP</t>
        </is>
      </c>
      <c r="G160" s="17" t="inlineStr">
        <is>
          <t>Conflicting — Price:BEARISH EMA:BULLISH</t>
        </is>
      </c>
      <c r="H160" s="17" t="n">
        <v>24474.32</v>
      </c>
      <c r="I160" s="17" t="n">
        <v>24340.75</v>
      </c>
      <c r="J160" s="17" t="inlineStr">
        <is>
          <t>2026-08-13</t>
        </is>
      </c>
      <c r="K160" s="17" t="inlineStr">
        <is>
          <t>WEEKLY</t>
        </is>
      </c>
      <c r="L160" s="17" t="n">
        <v>1</v>
      </c>
      <c r="M160" s="17" t="inlineStr">
        <is>
          <t>09:20 IST</t>
        </is>
      </c>
      <c r="N160" s="17" t="inlineStr">
        <is>
          <t>11:34 IST</t>
        </is>
      </c>
      <c r="O160" s="17" t="n">
        <v>24435.95</v>
      </c>
      <c r="P160" s="17" t="n">
        <v>24471.7</v>
      </c>
      <c r="Q160" s="17" t="inlineStr">
        <is>
          <t>24500 PE</t>
        </is>
      </c>
      <c r="R160" s="17" t="inlineStr">
        <is>
          <t>24400 PE</t>
        </is>
      </c>
      <c r="S160" s="17" t="n">
        <v>42</v>
      </c>
      <c r="T160" s="17" t="n">
        <v>65</v>
      </c>
      <c r="U160" s="17" t="n">
        <v>2730</v>
      </c>
      <c r="V160" s="17" t="n">
        <v>17.5</v>
      </c>
      <c r="W160" s="17" t="n">
        <v>22.75</v>
      </c>
      <c r="X160" s="17" t="n">
        <v>47775</v>
      </c>
      <c r="Y160" s="17" t="n">
        <v>47829.72</v>
      </c>
      <c r="Z160" s="17" t="n">
        <v>225225</v>
      </c>
      <c r="AA160" s="17" t="n">
        <v>14332.5</v>
      </c>
      <c r="AB160" s="17" t="n">
        <v>14332.5</v>
      </c>
      <c r="AC160" s="17" t="n">
        <v>14332.5</v>
      </c>
      <c r="AD160" s="17" t="n">
        <v>30</v>
      </c>
      <c r="AE160" s="17" t="n">
        <v>40</v>
      </c>
      <c r="AF160" s="17" t="n">
        <v>5.97</v>
      </c>
      <c r="AG160" s="17" t="n">
        <v>0.1</v>
      </c>
      <c r="AH160" s="17" t="n">
        <v>1.43</v>
      </c>
      <c r="AI160" s="17" t="n">
        <v>7.22</v>
      </c>
      <c r="AJ160" s="17" t="n">
        <v>54.72</v>
      </c>
      <c r="AK160" s="17" t="n">
        <v>14277.78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7" t="inlineStr">
        <is>
          <t>2026-08-13</t>
        </is>
      </c>
      <c r="B161" s="17" t="inlineStr">
        <is>
          <t>NIFTY</t>
        </is>
      </c>
      <c r="C161" s="17" t="inlineStr">
        <is>
          <t>Both Spreads</t>
        </is>
      </c>
      <c r="D161" s="17" t="inlineStr">
        <is>
          <t>Bull Call Spread</t>
        </is>
      </c>
      <c r="E161" s="17" t="inlineStr">
        <is>
          <t>SIMULATED</t>
        </is>
      </c>
      <c r="F161" s="17" t="inlineStr">
        <is>
          <t>SKIP</t>
        </is>
      </c>
      <c r="G161" s="17" t="inlineStr">
        <is>
          <t>Conflicting — Price:BEARISH EMA:BULLISH</t>
        </is>
      </c>
      <c r="H161" s="17" t="n">
        <v>24454.35</v>
      </c>
      <c r="I161" s="17" t="n">
        <v>24366</v>
      </c>
      <c r="J161" s="17" t="inlineStr">
        <is>
          <t>2026-08-13</t>
        </is>
      </c>
      <c r="K161" s="17" t="inlineStr">
        <is>
          <t>WEEKLY</t>
        </is>
      </c>
      <c r="L161" s="17" t="n">
        <v>0</v>
      </c>
      <c r="M161" s="17" t="inlineStr">
        <is>
          <t>09:20 IST</t>
        </is>
      </c>
      <c r="N161" s="17" t="inlineStr">
        <is>
          <t>10:23 IST</t>
        </is>
      </c>
      <c r="O161" s="17" t="n">
        <v>24344.75</v>
      </c>
      <c r="P161" s="17" t="n">
        <v>24435.95</v>
      </c>
      <c r="Q161" s="17" t="inlineStr">
        <is>
          <t>24300 CE</t>
        </is>
      </c>
      <c r="R161" s="17" t="inlineStr">
        <is>
          <t>24400 CE</t>
        </is>
      </c>
      <c r="S161" s="17" t="n">
        <v>30</v>
      </c>
      <c r="T161" s="17" t="n">
        <v>65</v>
      </c>
      <c r="U161" s="17" t="n">
        <v>1950</v>
      </c>
      <c r="V161" s="17" t="n">
        <v>24.89</v>
      </c>
      <c r="W161" s="17" t="n">
        <v>32.36</v>
      </c>
      <c r="X161" s="17" t="n">
        <v>48535.5</v>
      </c>
      <c r="Y161" s="17" t="n">
        <v>48590.34</v>
      </c>
      <c r="Z161" s="17" t="n">
        <v>146464.5</v>
      </c>
      <c r="AA161" s="17" t="n">
        <v>14560.65</v>
      </c>
      <c r="AB161" s="17" t="n">
        <v>14560.65</v>
      </c>
      <c r="AC161" s="17" t="n">
        <v>14566.5</v>
      </c>
      <c r="AD161" s="17" t="n">
        <v>30</v>
      </c>
      <c r="AE161" s="17" t="n">
        <v>40</v>
      </c>
      <c r="AF161" s="17" t="n">
        <v>6.07</v>
      </c>
      <c r="AG161" s="17" t="n">
        <v>0.1</v>
      </c>
      <c r="AH161" s="17" t="n">
        <v>1.46</v>
      </c>
      <c r="AI161" s="17" t="n">
        <v>7.22</v>
      </c>
      <c r="AJ161" s="17" t="n">
        <v>54.84</v>
      </c>
      <c r="AK161" s="17" t="n">
        <v>14511.66</v>
      </c>
      <c r="AL161" s="17" t="inlineStr">
        <is>
          <t>PROFIT</t>
        </is>
      </c>
      <c r="AM161" s="17" t="n">
        <v>50000</v>
      </c>
      <c r="AN161" s="17" t="inlineStr">
        <is>
          <t>PAPER TRADING</t>
        </is>
      </c>
    </row>
    <row r="162">
      <c r="A162" s="17" t="inlineStr">
        <is>
          <t>2026-08-13</t>
        </is>
      </c>
      <c r="B162" s="17" t="inlineStr">
        <is>
          <t>NIFTY</t>
        </is>
      </c>
      <c r="C162" s="17" t="inlineStr">
        <is>
          <t>Both Spreads</t>
        </is>
      </c>
      <c r="D162" s="17" t="inlineStr">
        <is>
          <t>Bear Put Spread</t>
        </is>
      </c>
      <c r="E162" s="17" t="inlineStr">
        <is>
          <t>SIMULATED</t>
        </is>
      </c>
      <c r="F162" s="17" t="inlineStr">
        <is>
          <t>SKIP</t>
        </is>
      </c>
      <c r="G162" s="17" t="inlineStr">
        <is>
          <t>Conflicting — Price:BEARISH EMA:BULLISH</t>
        </is>
      </c>
      <c r="H162" s="17" t="n">
        <v>24454.35</v>
      </c>
      <c r="I162" s="17" t="n">
        <v>24366</v>
      </c>
      <c r="J162" s="17" t="inlineStr">
        <is>
          <t>2026-08-13</t>
        </is>
      </c>
      <c r="K162" s="17" t="inlineStr">
        <is>
          <t>WEEKLY</t>
        </is>
      </c>
      <c r="L162" s="17" t="n">
        <v>0</v>
      </c>
      <c r="M162" s="17" t="inlineStr">
        <is>
          <t>09:20 IST</t>
        </is>
      </c>
      <c r="N162" s="17" t="inlineStr">
        <is>
          <t>12:19 IST</t>
        </is>
      </c>
      <c r="O162" s="17" t="n">
        <v>24344.75</v>
      </c>
      <c r="P162" s="17" t="n">
        <v>24435.95</v>
      </c>
      <c r="Q162" s="17" t="inlineStr">
        <is>
          <t>24400 PE</t>
        </is>
      </c>
      <c r="R162" s="17" t="inlineStr">
        <is>
          <t>24300 PE</t>
        </is>
      </c>
      <c r="S162" s="17" t="n">
        <v>38</v>
      </c>
      <c r="T162" s="17" t="n">
        <v>65</v>
      </c>
      <c r="U162" s="17" t="n">
        <v>2470</v>
      </c>
      <c r="V162" s="17" t="n">
        <v>19.42</v>
      </c>
      <c r="W162" s="17" t="n">
        <v>25.25</v>
      </c>
      <c r="X162" s="17" t="n">
        <v>47967.4</v>
      </c>
      <c r="Y162" s="17" t="n">
        <v>48022.15</v>
      </c>
      <c r="Z162" s="17" t="n">
        <v>199032.6</v>
      </c>
      <c r="AA162" s="17" t="n">
        <v>14390.22</v>
      </c>
      <c r="AB162" s="17" t="n">
        <v>14390.22</v>
      </c>
      <c r="AC162" s="17" t="n">
        <v>14400.1</v>
      </c>
      <c r="AD162" s="17" t="n">
        <v>30</v>
      </c>
      <c r="AE162" s="17" t="n">
        <v>40</v>
      </c>
      <c r="AF162" s="17" t="n">
        <v>6</v>
      </c>
      <c r="AG162" s="17" t="n">
        <v>0.1</v>
      </c>
      <c r="AH162" s="17" t="n">
        <v>1.44</v>
      </c>
      <c r="AI162" s="17" t="n">
        <v>7.22</v>
      </c>
      <c r="AJ162" s="17" t="n">
        <v>54.75</v>
      </c>
      <c r="AK162" s="17" t="n">
        <v>14345.35</v>
      </c>
      <c r="AL162" s="17" t="inlineStr">
        <is>
          <t>PROFIT</t>
        </is>
      </c>
      <c r="AM162" s="17" t="n">
        <v>50000</v>
      </c>
      <c r="AN162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N4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2026-06-18</t>
        </is>
      </c>
      <c r="B3" s="17" t="inlineStr">
        <is>
          <t>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Price↑(24168.0&gt;24085.7) &amp; EMA9↑(23778.35&gt;23687.38)</t>
        </is>
      </c>
      <c r="G3" s="17" t="n">
        <v>23778.35</v>
      </c>
      <c r="H3" s="17" t="n">
        <v>23687.38</v>
      </c>
      <c r="I3" s="17" t="inlineStr">
        <is>
          <t>2026-06-18</t>
        </is>
      </c>
      <c r="J3" s="17" t="inlineStr">
        <is>
          <t>WEEKLY</t>
        </is>
      </c>
      <c r="K3" s="17" t="n">
        <v>0</v>
      </c>
      <c r="L3" s="17" t="inlineStr">
        <is>
          <t>09:20 IST</t>
        </is>
      </c>
      <c r="M3" s="17" t="inlineStr">
        <is>
          <t>11:59 IST</t>
        </is>
      </c>
      <c r="N3" s="17" t="n">
        <v>24168</v>
      </c>
      <c r="O3" s="17" t="n">
        <v>24085.7</v>
      </c>
      <c r="P3" s="17" t="inlineStr">
        <is>
          <t>24100 CE</t>
        </is>
      </c>
      <c r="Q3" s="17" t="inlineStr">
        <is>
          <t>24200 CE</t>
        </is>
      </c>
      <c r="R3" s="17" t="n">
        <v>31</v>
      </c>
      <c r="S3" s="17" t="n">
        <v>75</v>
      </c>
      <c r="T3" s="17" t="n">
        <v>2325</v>
      </c>
      <c r="U3" s="17" t="n">
        <v>20.44</v>
      </c>
      <c r="V3" s="17" t="n">
        <v>26.57</v>
      </c>
      <c r="W3" s="17" t="n">
        <v>47523</v>
      </c>
      <c r="X3" s="17" t="n">
        <v>47577.68</v>
      </c>
      <c r="Y3" s="17" t="n">
        <v>184977</v>
      </c>
      <c r="Z3" s="17" t="n">
        <v>14256.9</v>
      </c>
      <c r="AA3" s="17" t="n">
        <v>14256.9</v>
      </c>
      <c r="AB3" s="17" t="n">
        <v>14252.25</v>
      </c>
      <c r="AC3" s="17" t="n">
        <v>30</v>
      </c>
      <c r="AD3" s="17" t="n">
        <v>40</v>
      </c>
      <c r="AE3" s="17" t="n">
        <v>5.94</v>
      </c>
      <c r="AF3" s="17" t="n">
        <v>0.1</v>
      </c>
      <c r="AG3" s="17" t="n">
        <v>1.43</v>
      </c>
      <c r="AH3" s="17" t="n">
        <v>7.22</v>
      </c>
      <c r="AI3" s="17" t="n">
        <v>54.68</v>
      </c>
      <c r="AJ3" s="17" t="n">
        <v>14197.57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2026-06-20</t>
        </is>
      </c>
      <c r="B4" s="17" t="inlineStr">
        <is>
          <t>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EMA9↑(23777.57&gt;23682.14)</t>
        </is>
      </c>
      <c r="G4" s="17" t="n">
        <v>23777.57</v>
      </c>
      <c r="H4" s="17" t="n">
        <v>23682.14</v>
      </c>
      <c r="I4" s="17" t="inlineStr">
        <is>
          <t>2026-06-25</t>
        </is>
      </c>
      <c r="J4" s="17" t="inlineStr">
        <is>
          <t>WEEKLY</t>
        </is>
      </c>
      <c r="K4" s="17" t="n">
        <v>6</v>
      </c>
      <c r="L4" s="17" t="inlineStr">
        <is>
          <t>09:20 IST</t>
        </is>
      </c>
      <c r="M4" s="17" t="inlineStr">
        <is>
          <t>10:03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25</v>
      </c>
      <c r="S4" s="17" t="n">
        <v>75</v>
      </c>
      <c r="T4" s="17" t="n">
        <v>1875</v>
      </c>
      <c r="U4" s="17" t="n">
        <v>26.1</v>
      </c>
      <c r="V4" s="17" t="n">
        <v>33.93</v>
      </c>
      <c r="W4" s="17" t="n">
        <v>48937.5</v>
      </c>
      <c r="X4" s="17" t="n">
        <v>48992.4</v>
      </c>
      <c r="Y4" s="17" t="n">
        <v>138562.5</v>
      </c>
      <c r="Z4" s="17" t="n">
        <v>14681.25</v>
      </c>
      <c r="AA4" s="17" t="n">
        <v>14681.25</v>
      </c>
      <c r="AB4" s="17" t="n">
        <v>14681.25</v>
      </c>
      <c r="AC4" s="17" t="n">
        <v>30</v>
      </c>
      <c r="AD4" s="17" t="n">
        <v>40</v>
      </c>
      <c r="AE4" s="17" t="n">
        <v>6.12</v>
      </c>
      <c r="AF4" s="17" t="n">
        <v>0.1</v>
      </c>
      <c r="AG4" s="17" t="n">
        <v>1.47</v>
      </c>
      <c r="AH4" s="17" t="n">
        <v>7.22</v>
      </c>
      <c r="AI4" s="17" t="n">
        <v>54.9</v>
      </c>
      <c r="AJ4" s="17" t="n">
        <v>14626.35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7" t="inlineStr">
        <is>
          <t>2026-06-24</t>
        </is>
      </c>
      <c r="B5" s="17" t="inlineStr">
        <is>
          <t>NIFTY</t>
        </is>
      </c>
      <c r="C5" s="17" t="inlineStr">
        <is>
          <t>Smart Trend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Price↑(24102.9&gt;24013.1) &amp; EMA9↑(23879.76&gt;23762.23)</t>
        </is>
      </c>
      <c r="G5" s="17" t="n">
        <v>23879.76</v>
      </c>
      <c r="H5" s="17" t="n">
        <v>23762.23</v>
      </c>
      <c r="I5" s="17" t="inlineStr">
        <is>
          <t>2026-06-25</t>
        </is>
      </c>
      <c r="J5" s="17" t="inlineStr">
        <is>
          <t>WEEKLY</t>
        </is>
      </c>
      <c r="K5" s="17" t="n">
        <v>2</v>
      </c>
      <c r="L5" s="17" t="inlineStr">
        <is>
          <t>09:20 IST</t>
        </is>
      </c>
      <c r="M5" s="17" t="inlineStr">
        <is>
          <t>11:10 IST</t>
        </is>
      </c>
      <c r="N5" s="17" t="n">
        <v>24102.9</v>
      </c>
      <c r="O5" s="17" t="n">
        <v>24013.1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21.13</v>
      </c>
      <c r="V5" s="17" t="n">
        <v>27.47</v>
      </c>
      <c r="W5" s="17" t="n">
        <v>47542.5</v>
      </c>
      <c r="X5" s="17" t="n">
        <v>47597.18</v>
      </c>
      <c r="Y5" s="17" t="n">
        <v>177457.5</v>
      </c>
      <c r="Z5" s="17" t="n">
        <v>14262.75</v>
      </c>
      <c r="AA5" s="17" t="n">
        <v>14262.75</v>
      </c>
      <c r="AB5" s="17" t="n">
        <v>14265</v>
      </c>
      <c r="AC5" s="17" t="n">
        <v>30</v>
      </c>
      <c r="AD5" s="17" t="n">
        <v>40</v>
      </c>
      <c r="AE5" s="17" t="n">
        <v>5.94</v>
      </c>
      <c r="AF5" s="17" t="n">
        <v>0.1</v>
      </c>
      <c r="AG5" s="17" t="n">
        <v>1.43</v>
      </c>
      <c r="AH5" s="17" t="n">
        <v>7.22</v>
      </c>
      <c r="AI5" s="17" t="n">
        <v>54.68</v>
      </c>
      <c r="AJ5" s="17" t="n">
        <v>14210.32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SIMULATED</t>
        </is>
      </c>
      <c r="F6" s="17" t="inlineStr">
        <is>
          <t>BULLISH</t>
        </is>
      </c>
      <c r="G6" s="17" t="inlineStr">
        <is>
          <t>Price↑(24021.65&gt;23824.1) &amp; EMA9↑(23899.33&gt;23791.89)</t>
        </is>
      </c>
      <c r="H6" s="17" t="n">
        <v>23899.33</v>
      </c>
      <c r="I6" s="17" t="n">
        <v>23791.89</v>
      </c>
      <c r="J6" s="17" t="inlineStr">
        <is>
          <t>2026-06-25</t>
        </is>
      </c>
      <c r="K6" s="17" t="inlineStr">
        <is>
          <t>WEEKLY</t>
        </is>
      </c>
      <c r="L6" s="17" t="n">
        <v>1</v>
      </c>
      <c r="M6" s="17" t="inlineStr">
        <is>
          <t>09:20 IST</t>
        </is>
      </c>
      <c r="N6" s="17" t="inlineStr">
        <is>
          <t>10:54 IST</t>
        </is>
      </c>
      <c r="O6" s="17" t="n">
        <v>24021.65</v>
      </c>
      <c r="P6" s="17" t="n">
        <v>23824.1</v>
      </c>
      <c r="Q6" s="17" t="inlineStr">
        <is>
          <t>24000 CE</t>
        </is>
      </c>
      <c r="R6" s="17" t="inlineStr">
        <is>
          <t>24100 CE</t>
        </is>
      </c>
      <c r="S6" s="17" t="n">
        <v>38</v>
      </c>
      <c r="T6" s="17" t="n">
        <v>65</v>
      </c>
      <c r="U6" s="17" t="n">
        <v>2470</v>
      </c>
      <c r="V6" s="17" t="n">
        <v>19.58</v>
      </c>
      <c r="W6" s="17" t="n">
        <v>25.45</v>
      </c>
      <c r="X6" s="17" t="n">
        <v>48362.6</v>
      </c>
      <c r="Y6" s="17" t="n">
        <v>48417.41</v>
      </c>
      <c r="Z6" s="17" t="n">
        <v>198637.4</v>
      </c>
      <c r="AA6" s="17" t="n">
        <v>14508.78</v>
      </c>
      <c r="AB6" s="17" t="n">
        <v>14508.78</v>
      </c>
      <c r="AC6" s="17" t="n">
        <v>14498.9</v>
      </c>
      <c r="AD6" s="17" t="n">
        <v>30</v>
      </c>
      <c r="AE6" s="17" t="n">
        <v>40</v>
      </c>
      <c r="AF6" s="17" t="n">
        <v>6.05</v>
      </c>
      <c r="AG6" s="17" t="n">
        <v>0.1</v>
      </c>
      <c r="AH6" s="17" t="n">
        <v>1.45</v>
      </c>
      <c r="AI6" s="17" t="n">
        <v>7.22</v>
      </c>
      <c r="AJ6" s="17" t="n">
        <v>54.81</v>
      </c>
      <c r="AK6" s="17" t="n">
        <v>14444.09</v>
      </c>
      <c r="AL6" s="17" t="inlineStr">
        <is>
          <t>PROFIT</t>
        </is>
      </c>
      <c r="AM6" s="17" t="n">
        <v>50000</v>
      </c>
      <c r="AN6" s="17" t="inlineStr">
        <is>
          <t>PAPER TRADING</t>
        </is>
      </c>
    </row>
    <row r="7">
      <c r="A7" s="17" t="inlineStr">
        <is>
          <t>2026-06-25</t>
        </is>
      </c>
      <c r="B7" s="17" t="inlineStr">
        <is>
          <t>NIFTY</t>
        </is>
      </c>
      <c r="C7" s="17" t="inlineStr">
        <is>
          <t>Smart Trend</t>
        </is>
      </c>
      <c r="D7" s="17" t="inlineStr">
        <is>
          <t>Bull Call Spread</t>
        </is>
      </c>
      <c r="E7" s="17" t="inlineStr">
        <is>
          <t>SIMULATED</t>
        </is>
      </c>
      <c r="F7" s="17" t="inlineStr">
        <is>
          <t>BULLISH</t>
        </is>
      </c>
      <c r="G7" s="17" t="inlineStr">
        <is>
          <t>Price↑(24056.0&gt;24021.65) &amp; EMA9↑(23930.53&gt;23806.47)</t>
        </is>
      </c>
      <c r="H7" s="17" t="n">
        <v>23930.53</v>
      </c>
      <c r="I7" s="17" t="n">
        <v>23806.47</v>
      </c>
      <c r="J7" s="17" t="inlineStr">
        <is>
          <t>2026-06-25</t>
        </is>
      </c>
      <c r="K7" s="17" t="inlineStr">
        <is>
          <t>WEEKLY</t>
        </is>
      </c>
      <c r="L7" s="17" t="n">
        <v>0</v>
      </c>
      <c r="M7" s="17" t="inlineStr">
        <is>
          <t>09:20 IST</t>
        </is>
      </c>
      <c r="N7" s="17" t="inlineStr">
        <is>
          <t>10:56 IST</t>
        </is>
      </c>
      <c r="O7" s="17" t="n">
        <v>24056</v>
      </c>
      <c r="P7" s="17" t="n">
        <v>24021.65</v>
      </c>
      <c r="Q7" s="17" t="inlineStr">
        <is>
          <t>24000 CE</t>
        </is>
      </c>
      <c r="R7" s="17" t="inlineStr">
        <is>
          <t>24100 CE</t>
        </is>
      </c>
      <c r="S7" s="17" t="n">
        <v>39</v>
      </c>
      <c r="T7" s="17" t="n">
        <v>65</v>
      </c>
      <c r="U7" s="17" t="n">
        <v>2535</v>
      </c>
      <c r="V7" s="17" t="n">
        <v>18.79</v>
      </c>
      <c r="W7" s="17" t="n">
        <v>24.43</v>
      </c>
      <c r="X7" s="17" t="n">
        <v>47632.65</v>
      </c>
      <c r="Y7" s="17" t="n">
        <v>47687.35</v>
      </c>
      <c r="Z7" s="17" t="n">
        <v>205867.35</v>
      </c>
      <c r="AA7" s="17" t="n">
        <v>14289.8</v>
      </c>
      <c r="AB7" s="17" t="n">
        <v>14289.8</v>
      </c>
      <c r="AC7" s="17" t="n">
        <v>14297.4</v>
      </c>
      <c r="AD7" s="17" t="n">
        <v>30</v>
      </c>
      <c r="AE7" s="17" t="n">
        <v>40</v>
      </c>
      <c r="AF7" s="17" t="n">
        <v>5.95</v>
      </c>
      <c r="AG7" s="17" t="n">
        <v>0.1</v>
      </c>
      <c r="AH7" s="17" t="n">
        <v>1.43</v>
      </c>
      <c r="AI7" s="17" t="n">
        <v>7.22</v>
      </c>
      <c r="AJ7" s="17" t="n">
        <v>54.7</v>
      </c>
      <c r="AK7" s="17" t="n">
        <v>14242.7</v>
      </c>
      <c r="AL7" s="17" t="inlineStr">
        <is>
          <t>PROFIT</t>
        </is>
      </c>
      <c r="AM7" s="17" t="n">
        <v>50000</v>
      </c>
      <c r="AN7" s="17" t="inlineStr">
        <is>
          <t>PAPER TRADING</t>
        </is>
      </c>
    </row>
    <row r="8">
      <c r="A8" s="17" t="inlineStr">
        <is>
          <t>2026-06-26</t>
        </is>
      </c>
      <c r="B8" s="17" t="inlineStr">
        <is>
          <t>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Price↑(24021.65&gt;23824.1) &amp; EMA9↑(23899.17&gt;23781.51)</t>
        </is>
      </c>
      <c r="H8" s="17" t="n">
        <v>23899.17</v>
      </c>
      <c r="I8" s="17" t="n">
        <v>23781.51</v>
      </c>
      <c r="J8" s="17" t="inlineStr">
        <is>
          <t>2026-06-25</t>
        </is>
      </c>
      <c r="K8" s="17" t="inlineStr">
        <is>
          <t>WEEKLY</t>
        </is>
      </c>
      <c r="L8" s="17" t="n">
        <v>0</v>
      </c>
      <c r="M8" s="17" t="inlineStr">
        <is>
          <t>09:20 IST</t>
        </is>
      </c>
      <c r="N8" s="17" t="inlineStr">
        <is>
          <t>09:53 IST</t>
        </is>
      </c>
      <c r="O8" s="17" t="n">
        <v>24021.65</v>
      </c>
      <c r="P8" s="17" t="n">
        <v>23824.1</v>
      </c>
      <c r="Q8" s="17" t="inlineStr">
        <is>
          <t>24000 CE</t>
        </is>
      </c>
      <c r="R8" s="17" t="inlineStr">
        <is>
          <t>24100 CE</t>
        </is>
      </c>
      <c r="S8" s="17" t="n">
        <v>41</v>
      </c>
      <c r="T8" s="17" t="n">
        <v>65</v>
      </c>
      <c r="U8" s="17" t="n">
        <v>2665</v>
      </c>
      <c r="V8" s="17" t="n">
        <v>17.74</v>
      </c>
      <c r="W8" s="17" t="n">
        <v>23.06</v>
      </c>
      <c r="X8" s="17" t="n">
        <v>47277.1</v>
      </c>
      <c r="Y8" s="17" t="n">
        <v>47331.74</v>
      </c>
      <c r="Z8" s="17" t="n">
        <v>219222.9</v>
      </c>
      <c r="AA8" s="17" t="n">
        <v>14183.13</v>
      </c>
      <c r="AB8" s="17" t="n">
        <v>14183.13</v>
      </c>
      <c r="AC8" s="17" t="n">
        <v>14177.8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14123.16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5" t="inlineStr">
        <is>
          <t>2026-06-26</t>
        </is>
      </c>
      <c r="B9" s="15" t="inlineStr">
        <is>
          <t>NIFTY</t>
        </is>
      </c>
      <c r="C9" s="15" t="inlineStr">
        <is>
          <t>Smart Trend</t>
        </is>
      </c>
      <c r="D9" s="15" t="inlineStr">
        <is>
          <t>Bull Call Spread</t>
        </is>
      </c>
      <c r="E9" s="15" t="inlineStr">
        <is>
          <t>SIMULATED</t>
        </is>
      </c>
      <c r="F9" s="15" t="inlineStr">
        <is>
          <t>BULLISH</t>
        </is>
      </c>
      <c r="G9" s="15" t="inlineStr">
        <is>
          <t>Price↑(24056.0&gt;24021.65) &amp; EMA9↑(23930.98&gt;23794.58)</t>
        </is>
      </c>
      <c r="H9" s="15" t="n">
        <v>23930.98</v>
      </c>
      <c r="I9" s="15" t="n">
        <v>23794.58</v>
      </c>
      <c r="J9" s="15" t="inlineStr">
        <is>
          <t>2026-07-02</t>
        </is>
      </c>
      <c r="K9" s="15" t="inlineStr">
        <is>
          <t>WEEKLY</t>
        </is>
      </c>
      <c r="L9" s="15" t="n">
        <v>6</v>
      </c>
      <c r="M9" s="15" t="inlineStr">
        <is>
          <t>09:20 IST</t>
        </is>
      </c>
      <c r="N9" s="15" t="inlineStr">
        <is>
          <t>09:56 IST</t>
        </is>
      </c>
      <c r="O9" s="15" t="n">
        <v>24056</v>
      </c>
      <c r="P9" s="15" t="n">
        <v>24021.65</v>
      </c>
      <c r="Q9" s="15" t="inlineStr">
        <is>
          <t>24000 CE</t>
        </is>
      </c>
      <c r="R9" s="15" t="inlineStr">
        <is>
          <t>24100 CE</t>
        </is>
      </c>
      <c r="S9" s="15" t="n">
        <v>24</v>
      </c>
      <c r="T9" s="15" t="n">
        <v>65</v>
      </c>
      <c r="U9" s="15" t="n">
        <v>1560</v>
      </c>
      <c r="V9" s="15" t="n">
        <v>30.85</v>
      </c>
      <c r="W9" s="15" t="n">
        <v>21.59</v>
      </c>
      <c r="X9" s="15" t="n">
        <v>48126</v>
      </c>
      <c r="Y9" s="15" t="n">
        <v>48180.77</v>
      </c>
      <c r="Z9" s="15" t="n">
        <v>107874</v>
      </c>
      <c r="AA9" s="15" t="n">
        <v>14437.8</v>
      </c>
      <c r="AB9" s="15" t="n">
        <v>14437.8</v>
      </c>
      <c r="AC9" s="15" t="n">
        <v>-14445.6</v>
      </c>
      <c r="AD9" s="15" t="n">
        <v>-30</v>
      </c>
      <c r="AE9" s="15" t="n">
        <v>40</v>
      </c>
      <c r="AF9" s="15" t="n">
        <v>6.02</v>
      </c>
      <c r="AG9" s="15" t="n">
        <v>0.1</v>
      </c>
      <c r="AH9" s="15" t="n">
        <v>1.44</v>
      </c>
      <c r="AI9" s="15" t="n">
        <v>7.22</v>
      </c>
      <c r="AJ9" s="15" t="n">
        <v>54.77</v>
      </c>
      <c r="AK9" s="15" t="n">
        <v>-14500.37</v>
      </c>
      <c r="AL9" s="15" t="inlineStr">
        <is>
          <t>STOP LOSS</t>
        </is>
      </c>
      <c r="AM9" s="15" t="n">
        <v>50000</v>
      </c>
      <c r="AN9" s="15" t="inlineStr">
        <is>
          <t>PAPER TRADING</t>
        </is>
      </c>
    </row>
    <row r="10">
      <c r="A10" s="17" t="inlineStr">
        <is>
          <t>2026-06-27</t>
        </is>
      </c>
      <c r="B10" s="17" t="inlineStr">
        <is>
          <t>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Price↑(24056.0&gt;24021.65) &amp; EMA9↑(23930.98&gt;23794.58)</t>
        </is>
      </c>
      <c r="H10" s="17" t="n">
        <v>23930.98</v>
      </c>
      <c r="I10" s="17" t="n">
        <v>23794.58</v>
      </c>
      <c r="J10" s="17" t="inlineStr">
        <is>
          <t>2026-07-02</t>
        </is>
      </c>
      <c r="K10" s="17" t="inlineStr">
        <is>
          <t>WEEKLY</t>
        </is>
      </c>
      <c r="L10" s="17" t="n">
        <v>6</v>
      </c>
      <c r="M10" s="17" t="inlineStr">
        <is>
          <t>09:20 IST</t>
        </is>
      </c>
      <c r="N10" s="17" t="inlineStr">
        <is>
          <t>11:06 IST</t>
        </is>
      </c>
      <c r="O10" s="17" t="n">
        <v>24056</v>
      </c>
      <c r="P10" s="17" t="n">
        <v>24021.65</v>
      </c>
      <c r="Q10" s="17" t="inlineStr">
        <is>
          <t>24000 CE</t>
        </is>
      </c>
      <c r="R10" s="17" t="inlineStr">
        <is>
          <t>24100 CE</t>
        </is>
      </c>
      <c r="S10" s="17" t="n">
        <v>19</v>
      </c>
      <c r="T10" s="17" t="n">
        <v>65</v>
      </c>
      <c r="U10" s="17" t="n">
        <v>1235</v>
      </c>
      <c r="V10" s="17" t="n">
        <v>38.8</v>
      </c>
      <c r="W10" s="17" t="n">
        <v>50.44</v>
      </c>
      <c r="X10" s="17" t="n">
        <v>47918</v>
      </c>
      <c r="Y10" s="17" t="n">
        <v>47972.74</v>
      </c>
      <c r="Z10" s="17" t="n">
        <v>75582</v>
      </c>
      <c r="AA10" s="17" t="n">
        <v>14375.4</v>
      </c>
      <c r="AB10" s="17" t="n">
        <v>14375.4</v>
      </c>
      <c r="AC10" s="17" t="n">
        <v>14375.4</v>
      </c>
      <c r="AD10" s="17" t="n">
        <v>30</v>
      </c>
      <c r="AE10" s="17" t="n">
        <v>40</v>
      </c>
      <c r="AF10" s="17" t="n">
        <v>5.99</v>
      </c>
      <c r="AG10" s="17" t="n">
        <v>0.1</v>
      </c>
      <c r="AH10" s="17" t="n">
        <v>1.44</v>
      </c>
      <c r="AI10" s="17" t="n">
        <v>7.22</v>
      </c>
      <c r="AJ10" s="17" t="n">
        <v>54.74</v>
      </c>
      <c r="AK10" s="17" t="n">
        <v>14320.66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5" t="inlineStr">
        <is>
          <t>2026-06-30</t>
        </is>
      </c>
      <c r="B11" s="15" t="inlineStr">
        <is>
          <t>NIFTY</t>
        </is>
      </c>
      <c r="C11" s="15" t="inlineStr">
        <is>
          <t>Smart Trend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Price↑(24056.0&gt;24021.65) &amp; EMA9↑(23931.75&gt;23779.81)</t>
        </is>
      </c>
      <c r="H11" s="15" t="n">
        <v>23931.75</v>
      </c>
      <c r="I11" s="15" t="n">
        <v>23779.81</v>
      </c>
      <c r="J11" s="15" t="inlineStr">
        <is>
          <t>2026-07-02</t>
        </is>
      </c>
      <c r="K11" s="15" t="inlineStr">
        <is>
          <t>WEEKLY</t>
        </is>
      </c>
      <c r="L11" s="15" t="n">
        <v>3</v>
      </c>
      <c r="M11" s="15" t="inlineStr">
        <is>
          <t>09:20 IST</t>
        </is>
      </c>
      <c r="N11" s="15" t="inlineStr">
        <is>
          <t>09:42 IST</t>
        </is>
      </c>
      <c r="O11" s="15" t="n">
        <v>24056</v>
      </c>
      <c r="P11" s="15" t="n">
        <v>24021.65</v>
      </c>
      <c r="Q11" s="15" t="inlineStr">
        <is>
          <t>24000 CE</t>
        </is>
      </c>
      <c r="R11" s="15" t="inlineStr">
        <is>
          <t>24100 CE</t>
        </is>
      </c>
      <c r="S11" s="15" t="n">
        <v>25</v>
      </c>
      <c r="T11" s="15" t="n">
        <v>65</v>
      </c>
      <c r="U11" s="15" t="n">
        <v>1625</v>
      </c>
      <c r="V11" s="15" t="n">
        <v>29.99</v>
      </c>
      <c r="W11" s="15" t="n">
        <v>20.99</v>
      </c>
      <c r="X11" s="15" t="n">
        <v>48733.75</v>
      </c>
      <c r="Y11" s="15" t="n">
        <v>48788.62</v>
      </c>
      <c r="Z11" s="15" t="n">
        <v>113766.25</v>
      </c>
      <c r="AA11" s="15" t="n">
        <v>14620.12</v>
      </c>
      <c r="AB11" s="15" t="n">
        <v>14620.12</v>
      </c>
      <c r="AC11" s="15" t="n">
        <v>-14625</v>
      </c>
      <c r="AD11" s="15" t="n">
        <v>-30</v>
      </c>
      <c r="AE11" s="15" t="n">
        <v>40</v>
      </c>
      <c r="AF11" s="15" t="n">
        <v>6.09</v>
      </c>
      <c r="AG11" s="15" t="n">
        <v>0.1</v>
      </c>
      <c r="AH11" s="15" t="n">
        <v>1.46</v>
      </c>
      <c r="AI11" s="15" t="n">
        <v>7.22</v>
      </c>
      <c r="AJ11" s="15" t="n">
        <v>54.87</v>
      </c>
      <c r="AK11" s="15" t="n">
        <v>-14679.87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7" t="inlineStr">
        <is>
          <t>2026-07-01</t>
        </is>
      </c>
      <c r="B12" s="17" t="inlineStr">
        <is>
          <t>NIFTY</t>
        </is>
      </c>
      <c r="C12" s="17" t="inlineStr">
        <is>
          <t>Smart Trend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BULLISH</t>
        </is>
      </c>
      <c r="G12" s="17" t="inlineStr">
        <is>
          <t>Price↑(24005.85&gt;23865.75) &amp; EMA9↑(23938.67&gt;23797.85)</t>
        </is>
      </c>
      <c r="H12" s="17" t="n">
        <v>23938.67</v>
      </c>
      <c r="I12" s="17" t="n">
        <v>23797.85</v>
      </c>
      <c r="J12" s="17" t="inlineStr">
        <is>
          <t>2026-07-02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10:07 IST</t>
        </is>
      </c>
      <c r="O12" s="17" t="n">
        <v>24005.85</v>
      </c>
      <c r="P12" s="17" t="n">
        <v>23865.75</v>
      </c>
      <c r="Q12" s="17" t="inlineStr">
        <is>
          <t>24000 CE</t>
        </is>
      </c>
      <c r="R12" s="17" t="inlineStr">
        <is>
          <t>24100 CE</t>
        </is>
      </c>
      <c r="S12" s="17" t="n">
        <v>34</v>
      </c>
      <c r="T12" s="17" t="n">
        <v>65</v>
      </c>
      <c r="U12" s="17" t="n">
        <v>2210</v>
      </c>
      <c r="V12" s="17" t="n">
        <v>21.44</v>
      </c>
      <c r="W12" s="17" t="n">
        <v>27.87</v>
      </c>
      <c r="X12" s="17" t="n">
        <v>47382.4</v>
      </c>
      <c r="Y12" s="17" t="n">
        <v>47437.06</v>
      </c>
      <c r="Z12" s="17" t="n">
        <v>173617.6</v>
      </c>
      <c r="AA12" s="17" t="n">
        <v>14214.72</v>
      </c>
      <c r="AB12" s="17" t="n">
        <v>14214.72</v>
      </c>
      <c r="AC12" s="17" t="n">
        <v>14210.3</v>
      </c>
      <c r="AD12" s="17" t="n">
        <v>30</v>
      </c>
      <c r="AE12" s="17" t="n">
        <v>40</v>
      </c>
      <c r="AF12" s="17" t="n">
        <v>5.92</v>
      </c>
      <c r="AG12" s="17" t="n">
        <v>0.09</v>
      </c>
      <c r="AH12" s="17" t="n">
        <v>1.42</v>
      </c>
      <c r="AI12" s="17" t="n">
        <v>7.22</v>
      </c>
      <c r="AJ12" s="17" t="n">
        <v>54.66</v>
      </c>
      <c r="AK12" s="17" t="n">
        <v>14155.64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2026-07-02</t>
        </is>
      </c>
      <c r="B13" s="17" t="inlineStr">
        <is>
          <t>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Price↑(24175.7&gt;24005.85) &amp; EMA9↑(23986.43&gt;23821.26)</t>
        </is>
      </c>
      <c r="H13" s="17" t="n">
        <v>23986.43</v>
      </c>
      <c r="I13" s="17" t="n">
        <v>23821.26</v>
      </c>
      <c r="J13" s="17" t="inlineStr">
        <is>
          <t>2026-07-02</t>
        </is>
      </c>
      <c r="K13" s="17" t="inlineStr">
        <is>
          <t>WEEKLY</t>
        </is>
      </c>
      <c r="L13" s="17" t="n">
        <v>0</v>
      </c>
      <c r="M13" s="17" t="inlineStr">
        <is>
          <t>09:20 IST</t>
        </is>
      </c>
      <c r="N13" s="17" t="inlineStr">
        <is>
          <t>11:21 IST</t>
        </is>
      </c>
      <c r="O13" s="17" t="n">
        <v>24175.7</v>
      </c>
      <c r="P13" s="17" t="n">
        <v>24005.85</v>
      </c>
      <c r="Q13" s="17" t="inlineStr">
        <is>
          <t>24100 CE</t>
        </is>
      </c>
      <c r="R13" s="17" t="inlineStr">
        <is>
          <t>24200 CE</t>
        </is>
      </c>
      <c r="S13" s="17" t="n">
        <v>36</v>
      </c>
      <c r="T13" s="17" t="n">
        <v>65</v>
      </c>
      <c r="U13" s="17" t="n">
        <v>2340</v>
      </c>
      <c r="V13" s="17" t="n">
        <v>20.39</v>
      </c>
      <c r="W13" s="17" t="n">
        <v>26.51</v>
      </c>
      <c r="X13" s="17" t="n">
        <v>47712.6</v>
      </c>
      <c r="Y13" s="17" t="n">
        <v>47767.31</v>
      </c>
      <c r="Z13" s="17" t="n">
        <v>186287.4</v>
      </c>
      <c r="AA13" s="17" t="n">
        <v>14313.78</v>
      </c>
      <c r="AB13" s="17" t="n">
        <v>14313.78</v>
      </c>
      <c r="AC13" s="17" t="n">
        <v>14320.8</v>
      </c>
      <c r="AD13" s="17" t="n">
        <v>30</v>
      </c>
      <c r="AE13" s="17" t="n">
        <v>40</v>
      </c>
      <c r="AF13" s="17" t="n">
        <v>5.96</v>
      </c>
      <c r="AG13" s="17" t="n">
        <v>0.1</v>
      </c>
      <c r="AH13" s="17" t="n">
        <v>1.43</v>
      </c>
      <c r="AI13" s="17" t="n">
        <v>7.22</v>
      </c>
      <c r="AJ13" s="17" t="n">
        <v>54.71</v>
      </c>
      <c r="AK13" s="17" t="n">
        <v>14266.09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Price↑(24005.85&gt;23865.75) &amp; EMA9↑(23939.11&gt;23785.81)</t>
        </is>
      </c>
      <c r="H14" s="17" t="n">
        <v>23939.11</v>
      </c>
      <c r="I14" s="17" t="n">
        <v>23785.81</v>
      </c>
      <c r="J14" s="17" t="inlineStr">
        <is>
          <t>2026-07-02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10:03 IST</t>
        </is>
      </c>
      <c r="O14" s="17" t="n">
        <v>24005.85</v>
      </c>
      <c r="P14" s="17" t="n">
        <v>23865.75</v>
      </c>
      <c r="Q14" s="17" t="inlineStr">
        <is>
          <t>24000 CE</t>
        </is>
      </c>
      <c r="R14" s="17" t="inlineStr">
        <is>
          <t>24100 CE</t>
        </is>
      </c>
      <c r="S14" s="17" t="n">
        <v>47</v>
      </c>
      <c r="T14" s="17" t="n">
        <v>65</v>
      </c>
      <c r="U14" s="17" t="n">
        <v>3055</v>
      </c>
      <c r="V14" s="17" t="n">
        <v>15.71</v>
      </c>
      <c r="W14" s="17" t="n">
        <v>20.42</v>
      </c>
      <c r="X14" s="17" t="n">
        <v>47994.05</v>
      </c>
      <c r="Y14" s="17" t="n">
        <v>48048.8</v>
      </c>
      <c r="Z14" s="17" t="n">
        <v>257505.95</v>
      </c>
      <c r="AA14" s="17" t="n">
        <v>14398.22</v>
      </c>
      <c r="AB14" s="17" t="n">
        <v>14398.22</v>
      </c>
      <c r="AC14" s="17" t="n">
        <v>14389.05</v>
      </c>
      <c r="AD14" s="17" t="n">
        <v>30</v>
      </c>
      <c r="AE14" s="17" t="n">
        <v>40</v>
      </c>
      <c r="AF14" s="17" t="n">
        <v>6</v>
      </c>
      <c r="AG14" s="17" t="n">
        <v>0.1</v>
      </c>
      <c r="AH14" s="17" t="n">
        <v>1.44</v>
      </c>
      <c r="AI14" s="17" t="n">
        <v>7.22</v>
      </c>
      <c r="AJ14" s="17" t="n">
        <v>54.75</v>
      </c>
      <c r="AK14" s="17" t="n">
        <v>14334.3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2026-07-03</t>
        </is>
      </c>
      <c r="B15" s="16" t="inlineStr">
        <is>
          <t>NIFTY</t>
        </is>
      </c>
      <c r="C15" s="16" t="inlineStr">
        <is>
          <t>Smart Trend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Price↑(24270.85&gt;24175.7) &amp; EMA9↑(24043.55&gt;23856.79)</t>
        </is>
      </c>
      <c r="H15" s="16" t="n">
        <v>24043.55</v>
      </c>
      <c r="I15" s="16" t="n">
        <v>23856.79</v>
      </c>
      <c r="J15" s="16" t="inlineStr">
        <is>
          <t>2026-07-09</t>
        </is>
      </c>
      <c r="K15" s="16" t="inlineStr">
        <is>
          <t>WEEKLY</t>
        </is>
      </c>
      <c r="L15" s="16" t="n">
        <v>6</v>
      </c>
      <c r="M15" s="16" t="inlineStr">
        <is>
          <t>09:20 IST</t>
        </is>
      </c>
      <c r="N15" s="16" t="inlineStr">
        <is>
          <t>15:01 IST</t>
        </is>
      </c>
      <c r="O15" s="16" t="n">
        <v>24270.85</v>
      </c>
      <c r="P15" s="16" t="n">
        <v>24175.7</v>
      </c>
      <c r="Q15" s="16" t="inlineStr">
        <is>
          <t>24200 CE</t>
        </is>
      </c>
      <c r="R15" s="16" t="inlineStr">
        <is>
          <t>24300 CE</t>
        </is>
      </c>
      <c r="S15" s="16" t="n">
        <v>26</v>
      </c>
      <c r="T15" s="16" t="n">
        <v>65</v>
      </c>
      <c r="U15" s="16" t="n">
        <v>1690</v>
      </c>
      <c r="V15" s="16" t="n">
        <v>28.75</v>
      </c>
      <c r="W15" s="16" t="n">
        <v>27.86</v>
      </c>
      <c r="X15" s="16" t="n">
        <v>48587.5</v>
      </c>
      <c r="Y15" s="16" t="n">
        <v>48642.35</v>
      </c>
      <c r="Z15" s="16" t="n">
        <v>120412.5</v>
      </c>
      <c r="AA15" s="16" t="n">
        <v>14576.25</v>
      </c>
      <c r="AB15" s="16" t="n">
        <v>14576.25</v>
      </c>
      <c r="AC15" s="16" t="n">
        <v>-1504.1</v>
      </c>
      <c r="AD15" s="16" t="n">
        <v>-3.1</v>
      </c>
      <c r="AE15" s="16" t="n">
        <v>40</v>
      </c>
      <c r="AF15" s="16" t="n">
        <v>6.07</v>
      </c>
      <c r="AG15" s="16" t="n">
        <v>0.1</v>
      </c>
      <c r="AH15" s="16" t="n">
        <v>1.46</v>
      </c>
      <c r="AI15" s="16" t="n">
        <v>7.22</v>
      </c>
      <c r="AJ15" s="16" t="n">
        <v>54.85</v>
      </c>
      <c r="AK15" s="16" t="n">
        <v>-1558.95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2026-07-04</t>
        </is>
      </c>
      <c r="B16" s="17" t="inlineStr">
        <is>
          <t>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Price↑(24175.7&gt;24005.85) &amp; EMA9↑(23986.73&gt;23815.39)</t>
        </is>
      </c>
      <c r="H16" s="17" t="n">
        <v>23986.73</v>
      </c>
      <c r="I16" s="17" t="n">
        <v>23815.39</v>
      </c>
      <c r="J16" s="17" t="inlineStr">
        <is>
          <t>2026-07-09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12:16 IST</t>
        </is>
      </c>
      <c r="O16" s="17" t="n">
        <v>24175.7</v>
      </c>
      <c r="P16" s="17" t="n">
        <v>24005.85</v>
      </c>
      <c r="Q16" s="17" t="inlineStr">
        <is>
          <t>24100 CE</t>
        </is>
      </c>
      <c r="R16" s="17" t="inlineStr">
        <is>
          <t>24200 CE</t>
        </is>
      </c>
      <c r="S16" s="17" t="n">
        <v>21</v>
      </c>
      <c r="T16" s="17" t="n">
        <v>65</v>
      </c>
      <c r="U16" s="17" t="n">
        <v>1365</v>
      </c>
      <c r="V16" s="17" t="n">
        <v>35.04</v>
      </c>
      <c r="W16" s="17" t="n">
        <v>45.55</v>
      </c>
      <c r="X16" s="17" t="n">
        <v>47829.6</v>
      </c>
      <c r="Y16" s="17" t="n">
        <v>47884.33</v>
      </c>
      <c r="Z16" s="17" t="n">
        <v>88670.39999999999</v>
      </c>
      <c r="AA16" s="17" t="n">
        <v>14348.88</v>
      </c>
      <c r="AB16" s="17" t="n">
        <v>14348.88</v>
      </c>
      <c r="AC16" s="17" t="n">
        <v>14346.15</v>
      </c>
      <c r="AD16" s="17" t="n">
        <v>30</v>
      </c>
      <c r="AE16" s="17" t="n">
        <v>40</v>
      </c>
      <c r="AF16" s="17" t="n">
        <v>5.98</v>
      </c>
      <c r="AG16" s="17" t="n">
        <v>0.1</v>
      </c>
      <c r="AH16" s="17" t="n">
        <v>1.43</v>
      </c>
      <c r="AI16" s="17" t="n">
        <v>7.22</v>
      </c>
      <c r="AJ16" s="17" t="n">
        <v>54.73</v>
      </c>
      <c r="AK16" s="17" t="n">
        <v>14291.42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7" t="inlineStr">
        <is>
          <t>2026-07-06</t>
        </is>
      </c>
      <c r="B17" s="17" t="inlineStr">
        <is>
          <t>NIFTY</t>
        </is>
      </c>
      <c r="C17" s="17" t="inlineStr">
        <is>
          <t>Smart Trend</t>
        </is>
      </c>
      <c r="D17" s="17" t="inlineStr">
        <is>
          <t>Bull Call Spread</t>
        </is>
      </c>
      <c r="E17" s="17" t="inlineStr">
        <is>
          <t>SIMULATED</t>
        </is>
      </c>
      <c r="F17" s="17" t="inlineStr">
        <is>
          <t>BULLISH</t>
        </is>
      </c>
      <c r="G17" s="17" t="inlineStr">
        <is>
          <t>Price↑(24430.35&gt;24270.85) &amp; EMA9↑(24120.85&gt;23891.81)</t>
        </is>
      </c>
      <c r="H17" s="17" t="n">
        <v>24120.85</v>
      </c>
      <c r="I17" s="17" t="n">
        <v>23891.81</v>
      </c>
      <c r="J17" s="17" t="inlineStr">
        <is>
          <t>2026-07-09</t>
        </is>
      </c>
      <c r="K17" s="17" t="inlineStr">
        <is>
          <t>WEEKLY</t>
        </is>
      </c>
      <c r="L17" s="17" t="n">
        <v>3</v>
      </c>
      <c r="M17" s="17" t="inlineStr">
        <is>
          <t>09:20 IST</t>
        </is>
      </c>
      <c r="N17" s="17" t="inlineStr">
        <is>
          <t>10:01 IST</t>
        </is>
      </c>
      <c r="O17" s="17" t="n">
        <v>24430.35</v>
      </c>
      <c r="P17" s="17" t="n">
        <v>24270.85</v>
      </c>
      <c r="Q17" s="17" t="inlineStr">
        <is>
          <t>24400 CE</t>
        </is>
      </c>
      <c r="R17" s="17" t="inlineStr">
        <is>
          <t>24500 CE</t>
        </is>
      </c>
      <c r="S17" s="17" t="n">
        <v>21</v>
      </c>
      <c r="T17" s="17" t="n">
        <v>65</v>
      </c>
      <c r="U17" s="17" t="n">
        <v>1365</v>
      </c>
      <c r="V17" s="17" t="n">
        <v>34.79</v>
      </c>
      <c r="W17" s="17" t="n">
        <v>45.23</v>
      </c>
      <c r="X17" s="17" t="n">
        <v>47488.35</v>
      </c>
      <c r="Y17" s="17" t="n">
        <v>47543.02</v>
      </c>
      <c r="Z17" s="17" t="n">
        <v>89011.64999999999</v>
      </c>
      <c r="AA17" s="17" t="n">
        <v>14246.5</v>
      </c>
      <c r="AB17" s="17" t="n">
        <v>14246.5</v>
      </c>
      <c r="AC17" s="17" t="n">
        <v>14250.6</v>
      </c>
      <c r="AD17" s="17" t="n">
        <v>30</v>
      </c>
      <c r="AE17" s="17" t="n">
        <v>40</v>
      </c>
      <c r="AF17" s="17" t="n">
        <v>5.94</v>
      </c>
      <c r="AG17" s="17" t="n">
        <v>0.09</v>
      </c>
      <c r="AH17" s="17" t="n">
        <v>1.42</v>
      </c>
      <c r="AI17" s="17" t="n">
        <v>7.22</v>
      </c>
      <c r="AJ17" s="17" t="n">
        <v>54.67</v>
      </c>
      <c r="AK17" s="17" t="n">
        <v>14195.93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7" t="inlineStr">
        <is>
          <t>2026-07-07</t>
        </is>
      </c>
      <c r="B18" s="17" t="inlineStr">
        <is>
          <t>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Price↑(24270.85&gt;24175.7) &amp; EMA9↑(24043.47&gt;23837.96)</t>
        </is>
      </c>
      <c r="H18" s="17" t="n">
        <v>24043.47</v>
      </c>
      <c r="I18" s="17" t="n">
        <v>23837.96</v>
      </c>
      <c r="J18" s="17" t="inlineStr">
        <is>
          <t>2026-07-09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11:22 IST</t>
        </is>
      </c>
      <c r="O18" s="17" t="n">
        <v>24270.85</v>
      </c>
      <c r="P18" s="17" t="n">
        <v>24175.7</v>
      </c>
      <c r="Q18" s="17" t="inlineStr">
        <is>
          <t>24200 CE</t>
        </is>
      </c>
      <c r="R18" s="17" t="inlineStr">
        <is>
          <t>24300 CE</t>
        </is>
      </c>
      <c r="S18" s="17" t="n">
        <v>26</v>
      </c>
      <c r="T18" s="17" t="n">
        <v>65</v>
      </c>
      <c r="U18" s="17" t="n">
        <v>1690</v>
      </c>
      <c r="V18" s="17" t="n">
        <v>28.39</v>
      </c>
      <c r="W18" s="17" t="n">
        <v>36.91</v>
      </c>
      <c r="X18" s="17" t="n">
        <v>47979.1</v>
      </c>
      <c r="Y18" s="17" t="n">
        <v>48033.85</v>
      </c>
      <c r="Z18" s="17" t="n">
        <v>121020.9</v>
      </c>
      <c r="AA18" s="17" t="n">
        <v>14393.73</v>
      </c>
      <c r="AB18" s="17" t="n">
        <v>14393.73</v>
      </c>
      <c r="AC18" s="17" t="n">
        <v>14398.8</v>
      </c>
      <c r="AD18" s="17" t="n">
        <v>30</v>
      </c>
      <c r="AE18" s="17" t="n">
        <v>40</v>
      </c>
      <c r="AF18" s="17" t="n">
        <v>6</v>
      </c>
      <c r="AG18" s="17" t="n">
        <v>0.1</v>
      </c>
      <c r="AH18" s="17" t="n">
        <v>1.44</v>
      </c>
      <c r="AI18" s="17" t="n">
        <v>7.22</v>
      </c>
      <c r="AJ18" s="17" t="n">
        <v>54.75</v>
      </c>
      <c r="AK18" s="17" t="n">
        <v>14344.05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6" t="inlineStr">
        <is>
          <t>2026-07-08</t>
        </is>
      </c>
      <c r="B19" s="16" t="inlineStr">
        <is>
          <t>NIFTY</t>
        </is>
      </c>
      <c r="C19" s="16" t="inlineStr">
        <is>
          <t>Smart Trend</t>
        </is>
      </c>
      <c r="D19" s="16" t="inlineStr">
        <is>
          <t>Bull Call Spread</t>
        </is>
      </c>
      <c r="E19" s="16" t="inlineStr">
        <is>
          <t>SIMULATED</t>
        </is>
      </c>
      <c r="F19" s="16" t="inlineStr">
        <is>
          <t>BULLISH</t>
        </is>
      </c>
      <c r="G19" s="16" t="inlineStr">
        <is>
          <t>Price↑(24430.35&gt;24270.85) &amp; EMA9↑(24120.45&gt;23875.28)</t>
        </is>
      </c>
      <c r="H19" s="16" t="n">
        <v>24120.45</v>
      </c>
      <c r="I19" s="16" t="n">
        <v>23875.28</v>
      </c>
      <c r="J19" s="16" t="inlineStr">
        <is>
          <t>2026-07-09</t>
        </is>
      </c>
      <c r="K19" s="16" t="inlineStr">
        <is>
          <t>WEEKLY</t>
        </is>
      </c>
      <c r="L19" s="16" t="n">
        <v>2</v>
      </c>
      <c r="M19" s="16" t="inlineStr">
        <is>
          <t>09:20 IST</t>
        </is>
      </c>
      <c r="N19" s="16" t="inlineStr">
        <is>
          <t>14:34 IST</t>
        </is>
      </c>
      <c r="O19" s="16" t="n">
        <v>24430.35</v>
      </c>
      <c r="P19" s="16" t="n">
        <v>24270.85</v>
      </c>
      <c r="Q19" s="16" t="inlineStr">
        <is>
          <t>24400 CE</t>
        </is>
      </c>
      <c r="R19" s="16" t="inlineStr">
        <is>
          <t>24500 CE</t>
        </is>
      </c>
      <c r="S19" s="16" t="n">
        <v>31</v>
      </c>
      <c r="T19" s="16" t="n">
        <v>65</v>
      </c>
      <c r="U19" s="16" t="n">
        <v>2015</v>
      </c>
      <c r="V19" s="16" t="n">
        <v>23.55</v>
      </c>
      <c r="W19" s="16" t="n">
        <v>24.03</v>
      </c>
      <c r="X19" s="16" t="n">
        <v>47453.25</v>
      </c>
      <c r="Y19" s="16" t="n">
        <v>47507.92</v>
      </c>
      <c r="Z19" s="16" t="n">
        <v>154046.75</v>
      </c>
      <c r="AA19" s="16" t="n">
        <v>14235.98</v>
      </c>
      <c r="AB19" s="16" t="n">
        <v>14235.98</v>
      </c>
      <c r="AC19" s="16" t="n">
        <v>967.2</v>
      </c>
      <c r="AD19" s="16" t="n">
        <v>2</v>
      </c>
      <c r="AE19" s="16" t="n">
        <v>40</v>
      </c>
      <c r="AF19" s="16" t="n">
        <v>5.93</v>
      </c>
      <c r="AG19" s="16" t="n">
        <v>0.09</v>
      </c>
      <c r="AH19" s="16" t="n">
        <v>1.42</v>
      </c>
      <c r="AI19" s="16" t="n">
        <v>7.22</v>
      </c>
      <c r="AJ19" s="16" t="n">
        <v>54.67</v>
      </c>
      <c r="AK19" s="16" t="n">
        <v>912.53</v>
      </c>
      <c r="AL19" s="16" t="inlineStr">
        <is>
          <t>FLAT</t>
        </is>
      </c>
      <c r="AM19" s="16" t="n">
        <v>50000</v>
      </c>
      <c r="AN19" s="16" t="inlineStr">
        <is>
          <t>PAPER TRADING</t>
        </is>
      </c>
    </row>
    <row r="20">
      <c r="A20" s="15" t="inlineStr">
        <is>
          <t>2026-07-09</t>
        </is>
      </c>
      <c r="B20" s="15" t="inlineStr">
        <is>
          <t>NIFTY</t>
        </is>
      </c>
      <c r="C20" s="15" t="inlineStr">
        <is>
          <t>Smart Trend</t>
        </is>
      </c>
      <c r="D20" s="15" t="inlineStr">
        <is>
          <t>Bull Call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Price↑(23962.8&gt;23882.05) &amp; EMA9↑(24086.0&gt;23912.11)</t>
        </is>
      </c>
      <c r="H20" s="15" t="n">
        <v>24086</v>
      </c>
      <c r="I20" s="15" t="n">
        <v>23912.11</v>
      </c>
      <c r="J20" s="15" t="inlineStr">
        <is>
          <t>2026-07-09</t>
        </is>
      </c>
      <c r="K20" s="15" t="inlineStr">
        <is>
          <t>WEEKLY</t>
        </is>
      </c>
      <c r="L20" s="15" t="n">
        <v>0</v>
      </c>
      <c r="M20" s="15" t="inlineStr">
        <is>
          <t>09:20 IST</t>
        </is>
      </c>
      <c r="N20" s="15" t="inlineStr">
        <is>
          <t>10:32 IST</t>
        </is>
      </c>
      <c r="O20" s="15" t="n">
        <v>23962.8</v>
      </c>
      <c r="P20" s="15" t="n">
        <v>23882.05</v>
      </c>
      <c r="Q20" s="15" t="inlineStr">
        <is>
          <t>23900 CE</t>
        </is>
      </c>
      <c r="R20" s="15" t="inlineStr">
        <is>
          <t>24000 CE</t>
        </is>
      </c>
      <c r="S20" s="15" t="n">
        <v>30</v>
      </c>
      <c r="T20" s="15" t="n">
        <v>65</v>
      </c>
      <c r="U20" s="15" t="n">
        <v>1950</v>
      </c>
      <c r="V20" s="15" t="n">
        <v>24.5</v>
      </c>
      <c r="W20" s="15" t="n">
        <v>17.15</v>
      </c>
      <c r="X20" s="15" t="n">
        <v>47775</v>
      </c>
      <c r="Y20" s="15" t="n">
        <v>47829.72</v>
      </c>
      <c r="Z20" s="15" t="n">
        <v>147225</v>
      </c>
      <c r="AA20" s="15" t="n">
        <v>14332.5</v>
      </c>
      <c r="AB20" s="15" t="n">
        <v>14332.5</v>
      </c>
      <c r="AC20" s="15" t="n">
        <v>-14332.5</v>
      </c>
      <c r="AD20" s="15" t="n">
        <v>-30</v>
      </c>
      <c r="AE20" s="15" t="n">
        <v>40</v>
      </c>
      <c r="AF20" s="15" t="n">
        <v>5.97</v>
      </c>
      <c r="AG20" s="15" t="n">
        <v>0.1</v>
      </c>
      <c r="AH20" s="15" t="n">
        <v>1.43</v>
      </c>
      <c r="AI20" s="15" t="n">
        <v>7.22</v>
      </c>
      <c r="AJ20" s="15" t="n">
        <v>54.72</v>
      </c>
      <c r="AK20" s="15" t="n">
        <v>-14387.22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5" t="inlineStr">
        <is>
          <t>2026-07-10</t>
        </is>
      </c>
      <c r="B21" s="15" t="inlineStr">
        <is>
          <t>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Price↑(24206.9&gt;23962.8) &amp; EMA9↑(24110.13&gt;23937.59)</t>
        </is>
      </c>
      <c r="H21" s="15" t="n">
        <v>24110.13</v>
      </c>
      <c r="I21" s="15" t="n">
        <v>23937.59</v>
      </c>
      <c r="J21" s="15" t="inlineStr">
        <is>
          <t>2026-07-16</t>
        </is>
      </c>
      <c r="K21" s="15" t="inlineStr">
        <is>
          <t>WEEKLY</t>
        </is>
      </c>
      <c r="L21" s="15" t="n">
        <v>6</v>
      </c>
      <c r="M21" s="15" t="inlineStr">
        <is>
          <t>09:20 IST</t>
        </is>
      </c>
      <c r="N21" s="15" t="inlineStr">
        <is>
          <t>10:24 IST</t>
        </is>
      </c>
      <c r="O21" s="15" t="n">
        <v>24206.9</v>
      </c>
      <c r="P21" s="15" t="n">
        <v>23962.8</v>
      </c>
      <c r="Q21" s="15" t="inlineStr">
        <is>
          <t>24200 CE</t>
        </is>
      </c>
      <c r="R21" s="15" t="inlineStr">
        <is>
          <t>24300 CE</t>
        </is>
      </c>
      <c r="S21" s="15" t="n">
        <v>19</v>
      </c>
      <c r="T21" s="15" t="n">
        <v>65</v>
      </c>
      <c r="U21" s="15" t="n">
        <v>1235</v>
      </c>
      <c r="V21" s="15" t="n">
        <v>39.02</v>
      </c>
      <c r="W21" s="15" t="n">
        <v>27.31</v>
      </c>
      <c r="X21" s="15" t="n">
        <v>48189.7</v>
      </c>
      <c r="Y21" s="15" t="n">
        <v>48244.48</v>
      </c>
      <c r="Z21" s="15" t="n">
        <v>75310.3</v>
      </c>
      <c r="AA21" s="15" t="n">
        <v>14456.91</v>
      </c>
      <c r="AB21" s="15" t="n">
        <v>14456.91</v>
      </c>
      <c r="AC21" s="15" t="n">
        <v>-14461.85</v>
      </c>
      <c r="AD21" s="15" t="n">
        <v>-30</v>
      </c>
      <c r="AE21" s="15" t="n">
        <v>40</v>
      </c>
      <c r="AF21" s="15" t="n">
        <v>6.02</v>
      </c>
      <c r="AG21" s="15" t="n">
        <v>0.1</v>
      </c>
      <c r="AH21" s="15" t="n">
        <v>1.45</v>
      </c>
      <c r="AI21" s="15" t="n">
        <v>7.22</v>
      </c>
      <c r="AJ21" s="15" t="n">
        <v>54.78</v>
      </c>
      <c r="AK21" s="15" t="n">
        <v>-14516.63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2026-07-11</t>
        </is>
      </c>
      <c r="B22" s="17" t="inlineStr">
        <is>
          <t>NIFTY</t>
        </is>
      </c>
      <c r="C22" s="17" t="inlineStr">
        <is>
          <t>Smart Trend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BULLISH</t>
        </is>
      </c>
      <c r="G22" s="17" t="inlineStr">
        <is>
          <t>Price↑(23962.8&gt;23882.05) &amp; EMA9↑(24085.94&gt;23910.66)</t>
        </is>
      </c>
      <c r="H22" s="17" t="n">
        <v>24085.94</v>
      </c>
      <c r="I22" s="17" t="n">
        <v>23910.66</v>
      </c>
      <c r="J22" s="17" t="inlineStr">
        <is>
          <t>2026-07-16</t>
        </is>
      </c>
      <c r="K22" s="17" t="inlineStr">
        <is>
          <t>WEEKLY</t>
        </is>
      </c>
      <c r="L22" s="17" t="n">
        <v>6</v>
      </c>
      <c r="M22" s="17" t="inlineStr">
        <is>
          <t>09:20 IST</t>
        </is>
      </c>
      <c r="N22" s="17" t="inlineStr">
        <is>
          <t>12:10 IST</t>
        </is>
      </c>
      <c r="O22" s="17" t="n">
        <v>23962.8</v>
      </c>
      <c r="P22" s="17" t="n">
        <v>23882.05</v>
      </c>
      <c r="Q22" s="17" t="inlineStr">
        <is>
          <t>23900 CE</t>
        </is>
      </c>
      <c r="R22" s="17" t="inlineStr">
        <is>
          <t>24000 CE</t>
        </is>
      </c>
      <c r="S22" s="17" t="n">
        <v>23</v>
      </c>
      <c r="T22" s="17" t="n">
        <v>65</v>
      </c>
      <c r="U22" s="17" t="n">
        <v>1495</v>
      </c>
      <c r="V22" s="17" t="n">
        <v>31.83</v>
      </c>
      <c r="W22" s="17" t="n">
        <v>41.38</v>
      </c>
      <c r="X22" s="17" t="n">
        <v>47585.85</v>
      </c>
      <c r="Y22" s="17" t="n">
        <v>47640.54</v>
      </c>
      <c r="Z22" s="17" t="n">
        <v>101914.15</v>
      </c>
      <c r="AA22" s="17" t="n">
        <v>14275.75</v>
      </c>
      <c r="AB22" s="17" t="n">
        <v>14275.75</v>
      </c>
      <c r="AC22" s="17" t="n">
        <v>14277.25</v>
      </c>
      <c r="AD22" s="17" t="n">
        <v>30</v>
      </c>
      <c r="AE22" s="17" t="n">
        <v>40</v>
      </c>
      <c r="AF22" s="17" t="n">
        <v>5.95</v>
      </c>
      <c r="AG22" s="17" t="n">
        <v>0.1</v>
      </c>
      <c r="AH22" s="17" t="n">
        <v>1.43</v>
      </c>
      <c r="AI22" s="17" t="n">
        <v>7.22</v>
      </c>
      <c r="AJ22" s="17" t="n">
        <v>54.69</v>
      </c>
      <c r="AK22" s="17" t="n">
        <v>14222.56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2026-07-13</t>
        </is>
      </c>
      <c r="B23" s="15" t="inlineStr">
        <is>
          <t>NIFTY</t>
        </is>
      </c>
      <c r="C23" s="15" t="inlineStr">
        <is>
          <t>Smart Trend</t>
        </is>
      </c>
      <c r="D23" s="15" t="inlineStr">
        <is>
          <t>Bull Call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Price↑(24211.0&gt;24206.9) &amp; EMA9↑(24129.89&gt;23962.6)</t>
        </is>
      </c>
      <c r="H23" s="15" t="n">
        <v>24129.89</v>
      </c>
      <c r="I23" s="15" t="n">
        <v>23962.6</v>
      </c>
      <c r="J23" s="15" t="inlineStr">
        <is>
          <t>2026-07-16</t>
        </is>
      </c>
      <c r="K23" s="15" t="inlineStr">
        <is>
          <t>WEEKLY</t>
        </is>
      </c>
      <c r="L23" s="15" t="n">
        <v>3</v>
      </c>
      <c r="M23" s="15" t="inlineStr">
        <is>
          <t>09:20 IST</t>
        </is>
      </c>
      <c r="N23" s="15" t="inlineStr">
        <is>
          <t>11:01 IST</t>
        </is>
      </c>
      <c r="O23" s="15" t="n">
        <v>24211</v>
      </c>
      <c r="P23" s="15" t="n">
        <v>24206.9</v>
      </c>
      <c r="Q23" s="15" t="inlineStr">
        <is>
          <t>24200 CE</t>
        </is>
      </c>
      <c r="R23" s="15" t="inlineStr">
        <is>
          <t>24300 CE</t>
        </is>
      </c>
      <c r="S23" s="15" t="n">
        <v>25</v>
      </c>
      <c r="T23" s="15" t="n">
        <v>65</v>
      </c>
      <c r="U23" s="15" t="n">
        <v>1625</v>
      </c>
      <c r="V23" s="15" t="n">
        <v>29.96</v>
      </c>
      <c r="W23" s="15" t="n">
        <v>20.97</v>
      </c>
      <c r="X23" s="15" t="n">
        <v>48685</v>
      </c>
      <c r="Y23" s="15" t="n">
        <v>48739.86</v>
      </c>
      <c r="Z23" s="15" t="n">
        <v>113815</v>
      </c>
      <c r="AA23" s="15" t="n">
        <v>14605.5</v>
      </c>
      <c r="AB23" s="15" t="n">
        <v>14605.5</v>
      </c>
      <c r="AC23" s="15" t="n">
        <v>-14608.75</v>
      </c>
      <c r="AD23" s="15" t="n">
        <v>-30</v>
      </c>
      <c r="AE23" s="15" t="n">
        <v>40</v>
      </c>
      <c r="AF23" s="15" t="n">
        <v>6.09</v>
      </c>
      <c r="AG23" s="15" t="n">
        <v>0.1</v>
      </c>
      <c r="AH23" s="15" t="n">
        <v>1.46</v>
      </c>
      <c r="AI23" s="15" t="n">
        <v>7.22</v>
      </c>
      <c r="AJ23" s="15" t="n">
        <v>54.86</v>
      </c>
      <c r="AK23" s="15" t="n">
        <v>-14663.61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2026-07-14</t>
        </is>
      </c>
      <c r="B24" s="17" t="inlineStr">
        <is>
          <t>NIFTY</t>
        </is>
      </c>
      <c r="C24" s="17" t="inlineStr">
        <is>
          <t>Smart Trend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Price↑(24206.9&gt;23962.8) &amp; EMA9↑(24109.62&gt;23937.76)</t>
        </is>
      </c>
      <c r="H24" s="17" t="n">
        <v>24109.62</v>
      </c>
      <c r="I24" s="17" t="n">
        <v>23937.76</v>
      </c>
      <c r="J24" s="17" t="inlineStr">
        <is>
          <t>2026-07-16</t>
        </is>
      </c>
      <c r="K24" s="17" t="inlineStr">
        <is>
          <t>WEEKLY</t>
        </is>
      </c>
      <c r="L24" s="17" t="n">
        <v>3</v>
      </c>
      <c r="M24" s="17" t="inlineStr">
        <is>
          <t>09:20 IST</t>
        </is>
      </c>
      <c r="N24" s="17" t="inlineStr">
        <is>
          <t>10:57 IST</t>
        </is>
      </c>
      <c r="O24" s="17" t="n">
        <v>24206.9</v>
      </c>
      <c r="P24" s="17" t="n">
        <v>23962.8</v>
      </c>
      <c r="Q24" s="17" t="inlineStr">
        <is>
          <t>24200 CE</t>
        </is>
      </c>
      <c r="R24" s="17" t="inlineStr">
        <is>
          <t>24300 CE</t>
        </is>
      </c>
      <c r="S24" s="17" t="n">
        <v>20</v>
      </c>
      <c r="T24" s="17" t="n">
        <v>65</v>
      </c>
      <c r="U24" s="17" t="n">
        <v>1300</v>
      </c>
      <c r="V24" s="17" t="n">
        <v>36.94</v>
      </c>
      <c r="W24" s="17" t="n">
        <v>48.02</v>
      </c>
      <c r="X24" s="17" t="n">
        <v>48022</v>
      </c>
      <c r="Y24" s="17" t="n">
        <v>48076.76</v>
      </c>
      <c r="Z24" s="17" t="n">
        <v>81978</v>
      </c>
      <c r="AA24" s="17" t="n">
        <v>14406.6</v>
      </c>
      <c r="AB24" s="17" t="n">
        <v>14406.6</v>
      </c>
      <c r="AC24" s="17" t="n">
        <v>14404</v>
      </c>
      <c r="AD24" s="17" t="n">
        <v>30</v>
      </c>
      <c r="AE24" s="17" t="n">
        <v>40</v>
      </c>
      <c r="AF24" s="17" t="n">
        <v>6</v>
      </c>
      <c r="AG24" s="17" t="n">
        <v>0.1</v>
      </c>
      <c r="AH24" s="17" t="n">
        <v>1.44</v>
      </c>
      <c r="AI24" s="17" t="n">
        <v>7.22</v>
      </c>
      <c r="AJ24" s="17" t="n">
        <v>54.76</v>
      </c>
      <c r="AK24" s="17" t="n">
        <v>14349.24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6" t="inlineStr">
        <is>
          <t>2026-07-16</t>
        </is>
      </c>
      <c r="B25" s="16" t="inlineStr">
        <is>
          <t>NIFTY</t>
        </is>
      </c>
      <c r="C25" s="16" t="inlineStr">
        <is>
          <t>Smart Trend</t>
        </is>
      </c>
      <c r="D25" s="16" t="inlineStr">
        <is>
          <t>Bull Call Spread</t>
        </is>
      </c>
      <c r="E25" s="16" t="inlineStr">
        <is>
          <t>SIMULATED</t>
        </is>
      </c>
      <c r="F25" s="16" t="inlineStr">
        <is>
          <t>BULLISH</t>
        </is>
      </c>
      <c r="G25" s="16" t="inlineStr">
        <is>
          <t>Price↑(24152.45&gt;24078.5) &amp; EMA9↑(24114.61&gt;23985.11)</t>
        </is>
      </c>
      <c r="H25" s="16" t="n">
        <v>24114.61</v>
      </c>
      <c r="I25" s="16" t="n">
        <v>23985.11</v>
      </c>
      <c r="J25" s="16" t="inlineStr">
        <is>
          <t>2026-07-16</t>
        </is>
      </c>
      <c r="K25" s="16" t="inlineStr">
        <is>
          <t>WEEKLY</t>
        </is>
      </c>
      <c r="L25" s="16" t="n">
        <v>0</v>
      </c>
      <c r="M25" s="16" t="inlineStr">
        <is>
          <t>09:20 IST</t>
        </is>
      </c>
      <c r="N25" s="16" t="inlineStr">
        <is>
          <t>14:09 IST</t>
        </is>
      </c>
      <c r="O25" s="16" t="n">
        <v>24152.45</v>
      </c>
      <c r="P25" s="16" t="n">
        <v>24078.5</v>
      </c>
      <c r="Q25" s="16" t="inlineStr">
        <is>
          <t>24100 CE</t>
        </is>
      </c>
      <c r="R25" s="16" t="inlineStr">
        <is>
          <t>24200 CE</t>
        </is>
      </c>
      <c r="S25" s="16" t="n">
        <v>31</v>
      </c>
      <c r="T25" s="16" t="n">
        <v>65</v>
      </c>
      <c r="U25" s="16" t="n">
        <v>2015</v>
      </c>
      <c r="V25" s="16" t="n">
        <v>24.1</v>
      </c>
      <c r="W25" s="16" t="n">
        <v>23.26</v>
      </c>
      <c r="X25" s="16" t="n">
        <v>48561.5</v>
      </c>
      <c r="Y25" s="16" t="n">
        <v>48616.34</v>
      </c>
      <c r="Z25" s="16" t="n">
        <v>152938.5</v>
      </c>
      <c r="AA25" s="16" t="n">
        <v>14568.45</v>
      </c>
      <c r="AB25" s="16" t="n">
        <v>14568.45</v>
      </c>
      <c r="AC25" s="16" t="n">
        <v>-1692.6</v>
      </c>
      <c r="AD25" s="16" t="n">
        <v>-3.5</v>
      </c>
      <c r="AE25" s="16" t="n">
        <v>40</v>
      </c>
      <c r="AF25" s="16" t="n">
        <v>6.07</v>
      </c>
      <c r="AG25" s="16" t="n">
        <v>0.1</v>
      </c>
      <c r="AH25" s="16" t="n">
        <v>1.46</v>
      </c>
      <c r="AI25" s="16" t="n">
        <v>7.22</v>
      </c>
      <c r="AJ25" s="16" t="n">
        <v>54.84</v>
      </c>
      <c r="AK25" s="16" t="n">
        <v>-1747.44</v>
      </c>
      <c r="AL25" s="16" t="inlineStr">
        <is>
          <t>FLAT</t>
        </is>
      </c>
      <c r="AM25" s="16" t="n">
        <v>50000</v>
      </c>
      <c r="AN25" s="16" t="inlineStr">
        <is>
          <t>PAPER TRADING</t>
        </is>
      </c>
    </row>
    <row r="26">
      <c r="A26" s="16" t="inlineStr">
        <is>
          <t>2026-07-17</t>
        </is>
      </c>
      <c r="B26" s="16" t="inlineStr">
        <is>
          <t>NIFTY</t>
        </is>
      </c>
      <c r="C26" s="16" t="inlineStr">
        <is>
          <t>Smart Trend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BULLISH</t>
        </is>
      </c>
      <c r="G26" s="16" t="inlineStr">
        <is>
          <t>Price↑(24255.3&gt;24072.75) &amp; EMA9↑(24129.52&gt;24002.12)</t>
        </is>
      </c>
      <c r="H26" s="16" t="n">
        <v>24129.52</v>
      </c>
      <c r="I26" s="16" t="n">
        <v>24002.12</v>
      </c>
      <c r="J26" s="16" t="inlineStr">
        <is>
          <t>2026-07-23</t>
        </is>
      </c>
      <c r="K26" s="16" t="inlineStr">
        <is>
          <t>WEEKLY</t>
        </is>
      </c>
      <c r="L26" s="16" t="n">
        <v>6</v>
      </c>
      <c r="M26" s="16" t="inlineStr">
        <is>
          <t>09:20 IST</t>
        </is>
      </c>
      <c r="N26" s="16" t="inlineStr">
        <is>
          <t>14:01 IST</t>
        </is>
      </c>
      <c r="O26" s="16" t="n">
        <v>24255.3</v>
      </c>
      <c r="P26" s="16" t="n">
        <v>24072.75</v>
      </c>
      <c r="Q26" s="16" t="inlineStr">
        <is>
          <t>24200 CE</t>
        </is>
      </c>
      <c r="R26" s="16" t="inlineStr">
        <is>
          <t>24300 CE</t>
        </is>
      </c>
      <c r="S26" s="16" t="n">
        <v>23</v>
      </c>
      <c r="T26" s="16" t="n">
        <v>65</v>
      </c>
      <c r="U26" s="16" t="n">
        <v>1495</v>
      </c>
      <c r="V26" s="16" t="n">
        <v>31.92</v>
      </c>
      <c r="W26" s="16" t="n">
        <v>32.58</v>
      </c>
      <c r="X26" s="16" t="n">
        <v>47720.4</v>
      </c>
      <c r="Y26" s="16" t="n">
        <v>47775.11</v>
      </c>
      <c r="Z26" s="16" t="n">
        <v>101779.6</v>
      </c>
      <c r="AA26" s="16" t="n">
        <v>14316.12</v>
      </c>
      <c r="AB26" s="16" t="n">
        <v>14316.12</v>
      </c>
      <c r="AC26" s="16" t="n">
        <v>986.7</v>
      </c>
      <c r="AD26" s="16" t="n">
        <v>2.1</v>
      </c>
      <c r="AE26" s="16" t="n">
        <v>40</v>
      </c>
      <c r="AF26" s="16" t="n">
        <v>5.97</v>
      </c>
      <c r="AG26" s="16" t="n">
        <v>0.1</v>
      </c>
      <c r="AH26" s="16" t="n">
        <v>1.43</v>
      </c>
      <c r="AI26" s="16" t="n">
        <v>7.22</v>
      </c>
      <c r="AJ26" s="16" t="n">
        <v>54.71</v>
      </c>
      <c r="AK26" s="16" t="n">
        <v>931.99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2026-07-17</t>
        </is>
      </c>
      <c r="B27" s="17" t="inlineStr">
        <is>
          <t>NIFTY</t>
        </is>
      </c>
      <c r="C27" s="17" t="inlineStr">
        <is>
          <t>Smart Trend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Price↑(24334.3&gt;24072.75) &amp; EMA9↑(24145.32&gt;24009.3)</t>
        </is>
      </c>
      <c r="H27" s="17" t="n">
        <v>24145.32</v>
      </c>
      <c r="I27" s="17" t="n">
        <v>24009.3</v>
      </c>
      <c r="J27" s="17" t="inlineStr">
        <is>
          <t>2026-07-23</t>
        </is>
      </c>
      <c r="K27" s="17" t="inlineStr">
        <is>
          <t>WEEKLY</t>
        </is>
      </c>
      <c r="L27" s="17" t="n">
        <v>6</v>
      </c>
      <c r="M27" s="17" t="inlineStr">
        <is>
          <t>09:20 IST</t>
        </is>
      </c>
      <c r="N27" s="17" t="inlineStr">
        <is>
          <t>11:07 IST</t>
        </is>
      </c>
      <c r="O27" s="17" t="n">
        <v>24334.3</v>
      </c>
      <c r="P27" s="17" t="n">
        <v>24072.75</v>
      </c>
      <c r="Q27" s="17" t="inlineStr">
        <is>
          <t>24300 CE</t>
        </is>
      </c>
      <c r="R27" s="17" t="inlineStr">
        <is>
          <t>24400 CE</t>
        </is>
      </c>
      <c r="S27" s="17" t="n">
        <v>29</v>
      </c>
      <c r="T27" s="17" t="n">
        <v>65</v>
      </c>
      <c r="U27" s="17" t="n">
        <v>1885</v>
      </c>
      <c r="V27" s="17" t="n">
        <v>25.73</v>
      </c>
      <c r="W27" s="17" t="n">
        <v>33.45</v>
      </c>
      <c r="X27" s="17" t="n">
        <v>48501.05</v>
      </c>
      <c r="Y27" s="17" t="n">
        <v>48555.88</v>
      </c>
      <c r="Z27" s="17" t="n">
        <v>139998.95</v>
      </c>
      <c r="AA27" s="17" t="n">
        <v>14550.32</v>
      </c>
      <c r="AB27" s="17" t="n">
        <v>14550.32</v>
      </c>
      <c r="AC27" s="17" t="n">
        <v>14552.2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14497.37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2026-07-24</t>
        </is>
      </c>
      <c r="B28" s="16" t="inlineStr">
        <is>
          <t>NIFTY</t>
        </is>
      </c>
      <c r="C28" s="16" t="inlineStr">
        <is>
          <t>Smart Trend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BEARISH</t>
        </is>
      </c>
      <c r="G28" s="16" t="inlineStr">
        <is>
          <t>Price↓(23682.7&lt;23869.6) &amp; EMA9↓(24003.16&lt;24047.82)</t>
        </is>
      </c>
      <c r="H28" s="16" t="n">
        <v>24003.16</v>
      </c>
      <c r="I28" s="16" t="n">
        <v>24047.82</v>
      </c>
      <c r="J28" s="16" t="inlineStr">
        <is>
          <t>2026-07-30</t>
        </is>
      </c>
      <c r="K28" s="16" t="inlineStr">
        <is>
          <t>WEEKLY</t>
        </is>
      </c>
      <c r="L28" s="16" t="n">
        <v>6</v>
      </c>
      <c r="M28" s="16" t="inlineStr">
        <is>
          <t>09:20 IST</t>
        </is>
      </c>
      <c r="N28" s="16" t="inlineStr">
        <is>
          <t>13:29 IST</t>
        </is>
      </c>
      <c r="O28" s="16" t="n">
        <v>23682.7</v>
      </c>
      <c r="P28" s="16" t="n">
        <v>23869.6</v>
      </c>
      <c r="Q28" s="16" t="inlineStr">
        <is>
          <t>23700 PE</t>
        </is>
      </c>
      <c r="R28" s="16" t="inlineStr">
        <is>
          <t>23600 PE</t>
        </is>
      </c>
      <c r="S28" s="16" t="n">
        <v>23</v>
      </c>
      <c r="T28" s="16" t="n">
        <v>65</v>
      </c>
      <c r="U28" s="16" t="n">
        <v>1495</v>
      </c>
      <c r="V28" s="16" t="n">
        <v>32.24</v>
      </c>
      <c r="W28" s="16" t="n">
        <v>32.48</v>
      </c>
      <c r="X28" s="16" t="n">
        <v>48198.8</v>
      </c>
      <c r="Y28" s="16" t="n">
        <v>48253.58</v>
      </c>
      <c r="Z28" s="16" t="n">
        <v>101301.2</v>
      </c>
      <c r="AA28" s="16" t="n">
        <v>14459.64</v>
      </c>
      <c r="AB28" s="16" t="n">
        <v>14459.64</v>
      </c>
      <c r="AC28" s="16" t="n">
        <v>358.8</v>
      </c>
      <c r="AD28" s="16" t="n">
        <v>0.7</v>
      </c>
      <c r="AE28" s="16" t="n">
        <v>40</v>
      </c>
      <c r="AF28" s="16" t="n">
        <v>6.02</v>
      </c>
      <c r="AG28" s="16" t="n">
        <v>0.1</v>
      </c>
      <c r="AH28" s="16" t="n">
        <v>1.45</v>
      </c>
      <c r="AI28" s="16" t="n">
        <v>7.22</v>
      </c>
      <c r="AJ28" s="16" t="n">
        <v>54.78</v>
      </c>
      <c r="AK28" s="16" t="n">
        <v>304.02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2026-07-24</t>
        </is>
      </c>
      <c r="B29" s="17" t="inlineStr">
        <is>
          <t>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Price↓(23767.45&lt;23869.6) &amp; EMA9↓(24020.11&lt;24055.52)</t>
        </is>
      </c>
      <c r="H29" s="17" t="n">
        <v>24020.11</v>
      </c>
      <c r="I29" s="17" t="n">
        <v>24055.52</v>
      </c>
      <c r="J29" s="17" t="inlineStr">
        <is>
          <t>2026-07-30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11:46 IST</t>
        </is>
      </c>
      <c r="O29" s="17" t="n">
        <v>23767.45</v>
      </c>
      <c r="P29" s="17" t="n">
        <v>23869.6</v>
      </c>
      <c r="Q29" s="17" t="inlineStr">
        <is>
          <t>23800 PE</t>
        </is>
      </c>
      <c r="R29" s="17" t="inlineStr">
        <is>
          <t>23700 PE</t>
        </is>
      </c>
      <c r="S29" s="17" t="n">
        <v>25</v>
      </c>
      <c r="T29" s="17" t="n">
        <v>65</v>
      </c>
      <c r="U29" s="17" t="n">
        <v>1625</v>
      </c>
      <c r="V29" s="17" t="n">
        <v>30.12</v>
      </c>
      <c r="W29" s="17" t="n">
        <v>39.16</v>
      </c>
      <c r="X29" s="17" t="n">
        <v>48945</v>
      </c>
      <c r="Y29" s="17" t="n">
        <v>48999.9</v>
      </c>
      <c r="Z29" s="17" t="n">
        <v>113555</v>
      </c>
      <c r="AA29" s="17" t="n">
        <v>14683.5</v>
      </c>
      <c r="AB29" s="17" t="n">
        <v>14683.5</v>
      </c>
      <c r="AC29" s="17" t="n">
        <v>14690</v>
      </c>
      <c r="AD29" s="17" t="n">
        <v>30</v>
      </c>
      <c r="AE29" s="17" t="n">
        <v>40</v>
      </c>
      <c r="AF29" s="17" t="n">
        <v>6.12</v>
      </c>
      <c r="AG29" s="17" t="n">
        <v>0.1</v>
      </c>
      <c r="AH29" s="17" t="n">
        <v>1.47</v>
      </c>
      <c r="AI29" s="17" t="n">
        <v>7.22</v>
      </c>
      <c r="AJ29" s="17" t="n">
        <v>54.9</v>
      </c>
      <c r="AK29" s="17" t="n">
        <v>14635.1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2026-07-28</t>
        </is>
      </c>
      <c r="B30" s="17" t="inlineStr">
        <is>
          <t>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Price↓(23985.35&lt;23995.95) &amp; EMA9↓(24009.71&lt;24050.83)</t>
        </is>
      </c>
      <c r="H30" s="17" t="n">
        <v>24009.71</v>
      </c>
      <c r="I30" s="17" t="n">
        <v>24050.83</v>
      </c>
      <c r="J30" s="17" t="inlineStr">
        <is>
          <t>2026-07-30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11:50 IST</t>
        </is>
      </c>
      <c r="O30" s="17" t="n">
        <v>23985.35</v>
      </c>
      <c r="P30" s="17" t="n">
        <v>23995.95</v>
      </c>
      <c r="Q30" s="17" t="inlineStr">
        <is>
          <t>24000 PE</t>
        </is>
      </c>
      <c r="R30" s="17" t="inlineStr">
        <is>
          <t>23900 PE</t>
        </is>
      </c>
      <c r="S30" s="17" t="n">
        <v>30</v>
      </c>
      <c r="T30" s="17" t="n">
        <v>65</v>
      </c>
      <c r="U30" s="17" t="n">
        <v>1950</v>
      </c>
      <c r="V30" s="17" t="n">
        <v>24.63</v>
      </c>
      <c r="W30" s="17" t="n">
        <v>32.02</v>
      </c>
      <c r="X30" s="17" t="n">
        <v>48028.5</v>
      </c>
      <c r="Y30" s="17" t="n">
        <v>48083.26</v>
      </c>
      <c r="Z30" s="17" t="n">
        <v>146971.5</v>
      </c>
      <c r="AA30" s="17" t="n">
        <v>14408.55</v>
      </c>
      <c r="AB30" s="17" t="n">
        <v>14408.55</v>
      </c>
      <c r="AC30" s="17" t="n">
        <v>14410.5</v>
      </c>
      <c r="AD30" s="17" t="n">
        <v>30</v>
      </c>
      <c r="AE30" s="17" t="n">
        <v>40</v>
      </c>
      <c r="AF30" s="17" t="n">
        <v>6</v>
      </c>
      <c r="AG30" s="17" t="n">
        <v>0.1</v>
      </c>
      <c r="AH30" s="17" t="n">
        <v>1.44</v>
      </c>
      <c r="AI30" s="17" t="n">
        <v>7.22</v>
      </c>
      <c r="AJ30" s="17" t="n">
        <v>54.76</v>
      </c>
      <c r="AK30" s="17" t="n">
        <v>14355.74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2026-07-29</t>
        </is>
      </c>
      <c r="B31" s="17" t="inlineStr">
        <is>
          <t>NIFTY</t>
        </is>
      </c>
      <c r="C31" s="17" t="inlineStr">
        <is>
          <t>Smart Trend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BULLISH</t>
        </is>
      </c>
      <c r="G31" s="17" t="inlineStr">
        <is>
          <t>Price↑(24229.9&gt;23995.95) &amp; EMA9↑(24099.01&gt;24091.53)</t>
        </is>
      </c>
      <c r="H31" s="17" t="n">
        <v>24099.01</v>
      </c>
      <c r="I31" s="17" t="n">
        <v>24091.53</v>
      </c>
      <c r="J31" s="17" t="inlineStr">
        <is>
          <t>2026-07-30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11:01 IST</t>
        </is>
      </c>
      <c r="O31" s="17" t="n">
        <v>24229.9</v>
      </c>
      <c r="P31" s="17" t="n">
        <v>23995.95</v>
      </c>
      <c r="Q31" s="17" t="inlineStr">
        <is>
          <t>24200 CE</t>
        </is>
      </c>
      <c r="R31" s="17" t="inlineStr">
        <is>
          <t>24300 CE</t>
        </is>
      </c>
      <c r="S31" s="17" t="n">
        <v>36</v>
      </c>
      <c r="T31" s="17" t="n">
        <v>65</v>
      </c>
      <c r="U31" s="17" t="n">
        <v>2340</v>
      </c>
      <c r="V31" s="17" t="n">
        <v>20.53</v>
      </c>
      <c r="W31" s="17" t="n">
        <v>26.69</v>
      </c>
      <c r="X31" s="17" t="n">
        <v>48040.2</v>
      </c>
      <c r="Y31" s="17" t="n">
        <v>48094.96</v>
      </c>
      <c r="Z31" s="17" t="n">
        <v>185959.8</v>
      </c>
      <c r="AA31" s="17" t="n">
        <v>14412.06</v>
      </c>
      <c r="AB31" s="17" t="n">
        <v>14412.06</v>
      </c>
      <c r="AC31" s="17" t="n">
        <v>14414.4</v>
      </c>
      <c r="AD31" s="17" t="n">
        <v>30</v>
      </c>
      <c r="AE31" s="17" t="n">
        <v>40</v>
      </c>
      <c r="AF31" s="17" t="n">
        <v>6.01</v>
      </c>
      <c r="AG31" s="17" t="n">
        <v>0.1</v>
      </c>
      <c r="AH31" s="17" t="n">
        <v>1.44</v>
      </c>
      <c r="AI31" s="17" t="n">
        <v>7.22</v>
      </c>
      <c r="AJ31" s="17" t="n">
        <v>54.76</v>
      </c>
      <c r="AK31" s="17" t="n">
        <v>14359.64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2026-07-30</t>
        </is>
      </c>
      <c r="B32" s="15" t="inlineStr">
        <is>
          <t>NIFTY</t>
        </is>
      </c>
      <c r="C32" s="15" t="inlineStr">
        <is>
          <t>Smart Trend</t>
        </is>
      </c>
      <c r="D32" s="15" t="inlineStr">
        <is>
          <t>Bull Call Spread</t>
        </is>
      </c>
      <c r="E32" s="15" t="inlineStr">
        <is>
          <t>SIMULATED</t>
        </is>
      </c>
      <c r="F32" s="15" t="inlineStr">
        <is>
          <t>BULLISH</t>
        </is>
      </c>
      <c r="G32" s="15" t="inlineStr">
        <is>
          <t>Price↑(24269.6&gt;24250.2) &amp; EMA9↑(24099.7&gt;24078.34)</t>
        </is>
      </c>
      <c r="H32" s="15" t="n">
        <v>24099.7</v>
      </c>
      <c r="I32" s="15" t="n">
        <v>24078.34</v>
      </c>
      <c r="J32" s="15" t="inlineStr">
        <is>
          <t>2026-07-30</t>
        </is>
      </c>
      <c r="K32" s="15" t="inlineStr">
        <is>
          <t>WEEKLY</t>
        </is>
      </c>
      <c r="L32" s="15" t="n">
        <v>0</v>
      </c>
      <c r="M32" s="15" t="inlineStr">
        <is>
          <t>09:20 IST</t>
        </is>
      </c>
      <c r="N32" s="15" t="inlineStr">
        <is>
          <t>10:04 IST</t>
        </is>
      </c>
      <c r="O32" s="15" t="n">
        <v>24269.6</v>
      </c>
      <c r="P32" s="15" t="n">
        <v>24250.2</v>
      </c>
      <c r="Q32" s="15" t="inlineStr">
        <is>
          <t>24200 CE</t>
        </is>
      </c>
      <c r="R32" s="15" t="inlineStr">
        <is>
          <t>24300 CE</t>
        </is>
      </c>
      <c r="S32" s="15" t="n">
        <v>37</v>
      </c>
      <c r="T32" s="15" t="n">
        <v>65</v>
      </c>
      <c r="U32" s="15" t="n">
        <v>2405</v>
      </c>
      <c r="V32" s="15" t="n">
        <v>19.78</v>
      </c>
      <c r="W32" s="15" t="n">
        <v>13.85</v>
      </c>
      <c r="X32" s="15" t="n">
        <v>47570.9</v>
      </c>
      <c r="Y32" s="15" t="n">
        <v>47625.59</v>
      </c>
      <c r="Z32" s="15" t="n">
        <v>192929.1</v>
      </c>
      <c r="AA32" s="15" t="n">
        <v>14271.27</v>
      </c>
      <c r="AB32" s="15" t="n">
        <v>14271.27</v>
      </c>
      <c r="AC32" s="15" t="n">
        <v>-14261.65</v>
      </c>
      <c r="AD32" s="15" t="n">
        <v>-30</v>
      </c>
      <c r="AE32" s="15" t="n">
        <v>40</v>
      </c>
      <c r="AF32" s="15" t="n">
        <v>5.95</v>
      </c>
      <c r="AG32" s="15" t="n">
        <v>0.1</v>
      </c>
      <c r="AH32" s="15" t="n">
        <v>1.43</v>
      </c>
      <c r="AI32" s="15" t="n">
        <v>7.22</v>
      </c>
      <c r="AJ32" s="15" t="n">
        <v>54.69</v>
      </c>
      <c r="AK32" s="15" t="n">
        <v>-14316.34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5" t="inlineStr">
        <is>
          <t>2026-07-30</t>
        </is>
      </c>
      <c r="B33" s="15" t="inlineStr">
        <is>
          <t>NIFTY</t>
        </is>
      </c>
      <c r="C33" s="15" t="inlineStr">
        <is>
          <t>Smart Trend</t>
        </is>
      </c>
      <c r="D33" s="15" t="inlineStr">
        <is>
          <t>Bull Call Spread</t>
        </is>
      </c>
      <c r="E33" s="15" t="inlineStr">
        <is>
          <t>SIMULATED</t>
        </is>
      </c>
      <c r="F33" s="15" t="inlineStr">
        <is>
          <t>BULLISH</t>
        </is>
      </c>
      <c r="G33" s="15" t="inlineStr">
        <is>
          <t>Price↑(24317.15&gt;24250.2) &amp; EMA9↑(24109.21&gt;24082.66)</t>
        </is>
      </c>
      <c r="H33" s="15" t="n">
        <v>24109.21</v>
      </c>
      <c r="I33" s="15" t="n">
        <v>24082.66</v>
      </c>
      <c r="J33" s="15" t="inlineStr">
        <is>
          <t>2026-07-30</t>
        </is>
      </c>
      <c r="K33" s="15" t="inlineStr">
        <is>
          <t>WEEKLY</t>
        </is>
      </c>
      <c r="L33" s="15" t="n">
        <v>0</v>
      </c>
      <c r="M33" s="15" t="inlineStr">
        <is>
          <t>09:20 IST</t>
        </is>
      </c>
      <c r="N33" s="15" t="inlineStr">
        <is>
          <t>11:04 IST</t>
        </is>
      </c>
      <c r="O33" s="15" t="n">
        <v>24317.15</v>
      </c>
      <c r="P33" s="15" t="n">
        <v>24250.2</v>
      </c>
      <c r="Q33" s="15" t="inlineStr">
        <is>
          <t>24300 CE</t>
        </is>
      </c>
      <c r="R33" s="15" t="inlineStr">
        <is>
          <t>24400 CE</t>
        </is>
      </c>
      <c r="S33" s="15" t="n">
        <v>43</v>
      </c>
      <c r="T33" s="15" t="n">
        <v>65</v>
      </c>
      <c r="U33" s="15" t="n">
        <v>2795</v>
      </c>
      <c r="V33" s="15" t="n">
        <v>16.88</v>
      </c>
      <c r="W33" s="15" t="n">
        <v>11.82</v>
      </c>
      <c r="X33" s="15" t="n">
        <v>47179.6</v>
      </c>
      <c r="Y33" s="15" t="n">
        <v>47234.22</v>
      </c>
      <c r="Z33" s="15" t="n">
        <v>232320.4</v>
      </c>
      <c r="AA33" s="15" t="n">
        <v>14153.88</v>
      </c>
      <c r="AB33" s="15" t="n">
        <v>14153.88</v>
      </c>
      <c r="AC33" s="15" t="n">
        <v>-14142.7</v>
      </c>
      <c r="AD33" s="15" t="n">
        <v>-30</v>
      </c>
      <c r="AE33" s="15" t="n">
        <v>40</v>
      </c>
      <c r="AF33" s="15" t="n">
        <v>5.9</v>
      </c>
      <c r="AG33" s="15" t="n">
        <v>0.09</v>
      </c>
      <c r="AH33" s="15" t="n">
        <v>1.42</v>
      </c>
      <c r="AI33" s="15" t="n">
        <v>7.22</v>
      </c>
      <c r="AJ33" s="15" t="n">
        <v>54.62</v>
      </c>
      <c r="AK33" s="15" t="n">
        <v>-14197.32</v>
      </c>
      <c r="AL33" s="15" t="inlineStr">
        <is>
          <t>STOP LOSS</t>
        </is>
      </c>
      <c r="AM33" s="15" t="n">
        <v>50000</v>
      </c>
      <c r="AN33" s="15" t="inlineStr">
        <is>
          <t>PAPER TRADING</t>
        </is>
      </c>
    </row>
    <row r="34">
      <c r="A34" s="17" t="inlineStr">
        <is>
          <t>2026-07-31</t>
        </is>
      </c>
      <c r="B34" s="17" t="inlineStr">
        <is>
          <t>NIFTY</t>
        </is>
      </c>
      <c r="C34" s="17" t="inlineStr">
        <is>
          <t>Smart Trend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Price↑(24367.65&gt;24317.15) &amp; EMA9↑(24160.61&gt;24108.83)</t>
        </is>
      </c>
      <c r="H34" s="17" t="n">
        <v>24160.61</v>
      </c>
      <c r="I34" s="17" t="n">
        <v>24108.83</v>
      </c>
      <c r="J34" s="17" t="inlineStr">
        <is>
          <t>2026-08-06</t>
        </is>
      </c>
      <c r="K34" s="17" t="inlineStr">
        <is>
          <t>WEEKLY</t>
        </is>
      </c>
      <c r="L34" s="17" t="n">
        <v>6</v>
      </c>
      <c r="M34" s="17" t="inlineStr">
        <is>
          <t>09:20 IST</t>
        </is>
      </c>
      <c r="N34" s="17" t="inlineStr">
        <is>
          <t>11:36 IST</t>
        </is>
      </c>
      <c r="O34" s="17" t="n">
        <v>24367.65</v>
      </c>
      <c r="P34" s="17" t="n">
        <v>24317.15</v>
      </c>
      <c r="Q34" s="17" t="inlineStr">
        <is>
          <t>24300 CE</t>
        </is>
      </c>
      <c r="R34" s="17" t="inlineStr">
        <is>
          <t>24400 CE</t>
        </is>
      </c>
      <c r="S34" s="17" t="n">
        <v>29</v>
      </c>
      <c r="T34" s="17" t="n">
        <v>65</v>
      </c>
      <c r="U34" s="17" t="n">
        <v>1885</v>
      </c>
      <c r="V34" s="17" t="n">
        <v>25.76</v>
      </c>
      <c r="W34" s="17" t="n">
        <v>33.49</v>
      </c>
      <c r="X34" s="17" t="n">
        <v>48557.6</v>
      </c>
      <c r="Y34" s="17" t="n">
        <v>48612.44</v>
      </c>
      <c r="Z34" s="17" t="n">
        <v>139942.4</v>
      </c>
      <c r="AA34" s="17" t="n">
        <v>14567.28</v>
      </c>
      <c r="AB34" s="17" t="n">
        <v>14567.28</v>
      </c>
      <c r="AC34" s="17" t="n">
        <v>14571.05</v>
      </c>
      <c r="AD34" s="17" t="n">
        <v>30</v>
      </c>
      <c r="AE34" s="17" t="n">
        <v>40</v>
      </c>
      <c r="AF34" s="17" t="n">
        <v>6.07</v>
      </c>
      <c r="AG34" s="17" t="n">
        <v>0.1</v>
      </c>
      <c r="AH34" s="17" t="n">
        <v>1.46</v>
      </c>
      <c r="AI34" s="17" t="n">
        <v>7.22</v>
      </c>
      <c r="AJ34" s="17" t="n">
        <v>54.84</v>
      </c>
      <c r="AK34" s="17" t="n">
        <v>14516.21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2026-07-31</t>
        </is>
      </c>
      <c r="B35" s="17" t="inlineStr">
        <is>
          <t>NIFTY</t>
        </is>
      </c>
      <c r="C35" s="17" t="inlineStr">
        <is>
          <t>Smart Trend</t>
        </is>
      </c>
      <c r="D35" s="17" t="inlineStr">
        <is>
          <t>Bull Call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Price↑(24383.6&gt;24317.15) &amp; EMA9↑(24163.8&gt;24110.28)</t>
        </is>
      </c>
      <c r="H35" s="17" t="n">
        <v>24163.8</v>
      </c>
      <c r="I35" s="17" t="n">
        <v>24110.28</v>
      </c>
      <c r="J35" s="17" t="inlineStr">
        <is>
          <t>2026-08-06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11:39 IST</t>
        </is>
      </c>
      <c r="O35" s="17" t="n">
        <v>24383.6</v>
      </c>
      <c r="P35" s="17" t="n">
        <v>24317.15</v>
      </c>
      <c r="Q35" s="17" t="inlineStr">
        <is>
          <t>24300 CE</t>
        </is>
      </c>
      <c r="R35" s="17" t="inlineStr">
        <is>
          <t>24400 CE</t>
        </is>
      </c>
      <c r="S35" s="17" t="n">
        <v>25</v>
      </c>
      <c r="T35" s="17" t="n">
        <v>65</v>
      </c>
      <c r="U35" s="17" t="n">
        <v>1625</v>
      </c>
      <c r="V35" s="17" t="n">
        <v>29.03</v>
      </c>
      <c r="W35" s="17" t="n">
        <v>37.74</v>
      </c>
      <c r="X35" s="17" t="n">
        <v>47173.75</v>
      </c>
      <c r="Y35" s="17" t="n">
        <v>47228.37</v>
      </c>
      <c r="Z35" s="17" t="n">
        <v>115326.25</v>
      </c>
      <c r="AA35" s="17" t="n">
        <v>14152.12</v>
      </c>
      <c r="AB35" s="17" t="n">
        <v>14152.12</v>
      </c>
      <c r="AC35" s="17" t="n">
        <v>14153.75</v>
      </c>
      <c r="AD35" s="17" t="n">
        <v>30</v>
      </c>
      <c r="AE35" s="17" t="n">
        <v>40</v>
      </c>
      <c r="AF35" s="17" t="n">
        <v>5.9</v>
      </c>
      <c r="AG35" s="17" t="n">
        <v>0.09</v>
      </c>
      <c r="AH35" s="17" t="n">
        <v>1.42</v>
      </c>
      <c r="AI35" s="17" t="n">
        <v>7.22</v>
      </c>
      <c r="AJ35" s="17" t="n">
        <v>54.62</v>
      </c>
      <c r="AK35" s="17" t="n">
        <v>14099.13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2026-08-03</t>
        </is>
      </c>
      <c r="B36" s="17" t="inlineStr">
        <is>
          <t>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Price↑(24606.4&gt;24383.6) &amp; EMA9↑(24251.81&gt;24157.86)</t>
        </is>
      </c>
      <c r="H36" s="17" t="n">
        <v>24251.81</v>
      </c>
      <c r="I36" s="17" t="n">
        <v>24157.86</v>
      </c>
      <c r="J36" s="17" t="inlineStr">
        <is>
          <t>2026-08-06</t>
        </is>
      </c>
      <c r="K36" s="17" t="inlineStr">
        <is>
          <t>WEEKLY</t>
        </is>
      </c>
      <c r="L36" s="17" t="n">
        <v>3</v>
      </c>
      <c r="M36" s="17" t="inlineStr">
        <is>
          <t>09:20 IST</t>
        </is>
      </c>
      <c r="N36" s="17" t="inlineStr">
        <is>
          <t>10:17 IST</t>
        </is>
      </c>
      <c r="O36" s="17" t="n">
        <v>24606.4</v>
      </c>
      <c r="P36" s="17" t="n">
        <v>24383.6</v>
      </c>
      <c r="Q36" s="17" t="inlineStr">
        <is>
          <t>24600 CE</t>
        </is>
      </c>
      <c r="R36" s="17" t="inlineStr">
        <is>
          <t>24700 CE</t>
        </is>
      </c>
      <c r="S36" s="17" t="n">
        <v>21</v>
      </c>
      <c r="T36" s="17" t="n">
        <v>65</v>
      </c>
      <c r="U36" s="17" t="n">
        <v>1365</v>
      </c>
      <c r="V36" s="17" t="n">
        <v>35.12</v>
      </c>
      <c r="W36" s="17" t="n">
        <v>45.66</v>
      </c>
      <c r="X36" s="17" t="n">
        <v>47938.8</v>
      </c>
      <c r="Y36" s="17" t="n">
        <v>47993.54</v>
      </c>
      <c r="Z36" s="17" t="n">
        <v>88561.2</v>
      </c>
      <c r="AA36" s="17" t="n">
        <v>14381.64</v>
      </c>
      <c r="AB36" s="17" t="n">
        <v>14381.64</v>
      </c>
      <c r="AC36" s="17" t="n">
        <v>14387.1</v>
      </c>
      <c r="AD36" s="17" t="n">
        <v>30</v>
      </c>
      <c r="AE36" s="17" t="n">
        <v>40</v>
      </c>
      <c r="AF36" s="17" t="n">
        <v>5.99</v>
      </c>
      <c r="AG36" s="17" t="n">
        <v>0.1</v>
      </c>
      <c r="AH36" s="17" t="n">
        <v>1.44</v>
      </c>
      <c r="AI36" s="17" t="n">
        <v>7.22</v>
      </c>
      <c r="AJ36" s="17" t="n">
        <v>54.74</v>
      </c>
      <c r="AK36" s="17" t="n">
        <v>14332.36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2026-08-03</t>
        </is>
      </c>
      <c r="B37" s="17" t="inlineStr">
        <is>
          <t>NIFTY</t>
        </is>
      </c>
      <c r="C37" s="17" t="inlineStr">
        <is>
          <t>Smart Trend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Price↑(24774.3&gt;24383.6) &amp; EMA9↑(24285.39&gt;24173.13)</t>
        </is>
      </c>
      <c r="H37" s="17" t="n">
        <v>24285.39</v>
      </c>
      <c r="I37" s="17" t="n">
        <v>24173.13</v>
      </c>
      <c r="J37" s="17" t="inlineStr">
        <is>
          <t>2026-08-06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09:54 IST</t>
        </is>
      </c>
      <c r="O37" s="17" t="n">
        <v>24774.3</v>
      </c>
      <c r="P37" s="17" t="n">
        <v>24383.6</v>
      </c>
      <c r="Q37" s="17" t="inlineStr">
        <is>
          <t>24700 CE</t>
        </is>
      </c>
      <c r="R37" s="17" t="inlineStr">
        <is>
          <t>24800 CE</t>
        </is>
      </c>
      <c r="S37" s="17" t="n">
        <v>21</v>
      </c>
      <c r="T37" s="17" t="n">
        <v>65</v>
      </c>
      <c r="U37" s="17" t="n">
        <v>1365</v>
      </c>
      <c r="V37" s="17" t="n">
        <v>34.89</v>
      </c>
      <c r="W37" s="17" t="n">
        <v>45.36</v>
      </c>
      <c r="X37" s="17" t="n">
        <v>47624.85</v>
      </c>
      <c r="Y37" s="17" t="n">
        <v>47679.54</v>
      </c>
      <c r="Z37" s="17" t="n">
        <v>88875.14999999999</v>
      </c>
      <c r="AA37" s="17" t="n">
        <v>14287.45</v>
      </c>
      <c r="AB37" s="17" t="n">
        <v>14287.45</v>
      </c>
      <c r="AC37" s="17" t="n">
        <v>14291.55</v>
      </c>
      <c r="AD37" s="17" t="n">
        <v>30</v>
      </c>
      <c r="AE37" s="17" t="n">
        <v>40</v>
      </c>
      <c r="AF37" s="17" t="n">
        <v>5.95</v>
      </c>
      <c r="AG37" s="17" t="n">
        <v>0.1</v>
      </c>
      <c r="AH37" s="17" t="n">
        <v>1.43</v>
      </c>
      <c r="AI37" s="17" t="n">
        <v>7.22</v>
      </c>
      <c r="AJ37" s="17" t="n">
        <v>54.69</v>
      </c>
      <c r="AK37" s="17" t="n">
        <v>14236.86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2026-08-04</t>
        </is>
      </c>
      <c r="B38" s="17" t="inlineStr">
        <is>
          <t>NIFTY</t>
        </is>
      </c>
      <c r="C38" s="17" t="inlineStr">
        <is>
          <t>Smart Trend</t>
        </is>
      </c>
      <c r="D38" s="17" t="inlineStr">
        <is>
          <t>Bull Call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Price↑(24552.85&gt;24383.6) &amp; EMA9↑(24241.06&gt;24165.12)</t>
        </is>
      </c>
      <c r="H38" s="17" t="n">
        <v>24241.06</v>
      </c>
      <c r="I38" s="17" t="n">
        <v>24165.12</v>
      </c>
      <c r="J38" s="17" t="inlineStr">
        <is>
          <t>2026-08-06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10:21 IST</t>
        </is>
      </c>
      <c r="O38" s="17" t="n">
        <v>24552.85</v>
      </c>
      <c r="P38" s="17" t="n">
        <v>24383.6</v>
      </c>
      <c r="Q38" s="17" t="inlineStr">
        <is>
          <t>24500 CE</t>
        </is>
      </c>
      <c r="R38" s="17" t="inlineStr">
        <is>
          <t>24600 CE</t>
        </is>
      </c>
      <c r="S38" s="17" t="n">
        <v>46</v>
      </c>
      <c r="T38" s="17" t="n">
        <v>65</v>
      </c>
      <c r="U38" s="17" t="n">
        <v>2990</v>
      </c>
      <c r="V38" s="17" t="n">
        <v>15.93</v>
      </c>
      <c r="W38" s="17" t="n">
        <v>20.71</v>
      </c>
      <c r="X38" s="17" t="n">
        <v>47630.7</v>
      </c>
      <c r="Y38" s="17" t="n">
        <v>47685.4</v>
      </c>
      <c r="Z38" s="17" t="n">
        <v>251369.3</v>
      </c>
      <c r="AA38" s="17" t="n">
        <v>14289.21</v>
      </c>
      <c r="AB38" s="17" t="n">
        <v>14289.21</v>
      </c>
      <c r="AC38" s="17" t="n">
        <v>14292.2</v>
      </c>
      <c r="AD38" s="17" t="n">
        <v>30</v>
      </c>
      <c r="AE38" s="17" t="n">
        <v>40</v>
      </c>
      <c r="AF38" s="17" t="n">
        <v>5.95</v>
      </c>
      <c r="AG38" s="17" t="n">
        <v>0.1</v>
      </c>
      <c r="AH38" s="17" t="n">
        <v>1.43</v>
      </c>
      <c r="AI38" s="17" t="n">
        <v>7.22</v>
      </c>
      <c r="AJ38" s="17" t="n">
        <v>54.7</v>
      </c>
      <c r="AK38" s="17" t="n">
        <v>14237.5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5" t="inlineStr">
        <is>
          <t>2026-08-05</t>
        </is>
      </c>
      <c r="B39" s="15" t="inlineStr">
        <is>
          <t>NIFTY</t>
        </is>
      </c>
      <c r="C39" s="15" t="inlineStr">
        <is>
          <t>Smart Trend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BULLISH</t>
        </is>
      </c>
      <c r="G39" s="15" t="inlineStr">
        <is>
          <t>Price↑(24624.65&gt;24614.9) &amp; EMA9↑(24406.33&gt;24269.49)</t>
        </is>
      </c>
      <c r="H39" s="15" t="n">
        <v>24406.33</v>
      </c>
      <c r="I39" s="15" t="n">
        <v>24269.49</v>
      </c>
      <c r="J39" s="15" t="inlineStr">
        <is>
          <t>2026-08-06</t>
        </is>
      </c>
      <c r="K39" s="15" t="inlineStr">
        <is>
          <t>WEEKLY</t>
        </is>
      </c>
      <c r="L39" s="15" t="n">
        <v>1</v>
      </c>
      <c r="M39" s="15" t="inlineStr">
        <is>
          <t>09:20 IST</t>
        </is>
      </c>
      <c r="N39" s="15" t="inlineStr">
        <is>
          <t>10:30 IST</t>
        </is>
      </c>
      <c r="O39" s="15" t="n">
        <v>24624.65</v>
      </c>
      <c r="P39" s="15" t="n">
        <v>24614.9</v>
      </c>
      <c r="Q39" s="15" t="inlineStr">
        <is>
          <t>24600 CE</t>
        </is>
      </c>
      <c r="R39" s="15" t="inlineStr">
        <is>
          <t>24700 CE</t>
        </is>
      </c>
      <c r="S39" s="15" t="n">
        <v>40</v>
      </c>
      <c r="T39" s="15" t="n">
        <v>65</v>
      </c>
      <c r="U39" s="15" t="n">
        <v>2600</v>
      </c>
      <c r="V39" s="15" t="n">
        <v>18.15</v>
      </c>
      <c r="W39" s="15" t="n">
        <v>12.7</v>
      </c>
      <c r="X39" s="15" t="n">
        <v>47190</v>
      </c>
      <c r="Y39" s="15" t="n">
        <v>47244.63</v>
      </c>
      <c r="Z39" s="15" t="n">
        <v>212810</v>
      </c>
      <c r="AA39" s="15" t="n">
        <v>14157</v>
      </c>
      <c r="AB39" s="15" t="n">
        <v>14157</v>
      </c>
      <c r="AC39" s="15" t="n">
        <v>-14170</v>
      </c>
      <c r="AD39" s="15" t="n">
        <v>-30</v>
      </c>
      <c r="AE39" s="15" t="n">
        <v>40</v>
      </c>
      <c r="AF39" s="15" t="n">
        <v>5.9</v>
      </c>
      <c r="AG39" s="15" t="n">
        <v>0.09</v>
      </c>
      <c r="AH39" s="15" t="n">
        <v>1.42</v>
      </c>
      <c r="AI39" s="15" t="n">
        <v>7.22</v>
      </c>
      <c r="AJ39" s="15" t="n">
        <v>54.63</v>
      </c>
      <c r="AK39" s="15" t="n">
        <v>-14224.63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2026-08-06</t>
        </is>
      </c>
      <c r="B40" s="17" t="inlineStr">
        <is>
          <t>NIFTY</t>
        </is>
      </c>
      <c r="C40" s="17" t="inlineStr">
        <is>
          <t>Smart Trend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Price↑(24630.75&gt;24624.65) &amp; EMA9↑(24451.45&gt;24305.23)</t>
        </is>
      </c>
      <c r="H40" s="17" t="n">
        <v>24451.45</v>
      </c>
      <c r="I40" s="17" t="n">
        <v>24305.23</v>
      </c>
      <c r="J40" s="17" t="inlineStr">
        <is>
          <t>2026-08-06</t>
        </is>
      </c>
      <c r="K40" s="17" t="inlineStr">
        <is>
          <t>WEEKLY</t>
        </is>
      </c>
      <c r="L40" s="17" t="n">
        <v>0</v>
      </c>
      <c r="M40" s="17" t="inlineStr">
        <is>
          <t>09:20 IST</t>
        </is>
      </c>
      <c r="N40" s="17" t="inlineStr">
        <is>
          <t>11:42 IST</t>
        </is>
      </c>
      <c r="O40" s="17" t="n">
        <v>24630.75</v>
      </c>
      <c r="P40" s="17" t="n">
        <v>24624.65</v>
      </c>
      <c r="Q40" s="17" t="inlineStr">
        <is>
          <t>24600 CE</t>
        </is>
      </c>
      <c r="R40" s="17" t="inlineStr">
        <is>
          <t>24700 CE</t>
        </is>
      </c>
      <c r="S40" s="17" t="n">
        <v>38</v>
      </c>
      <c r="T40" s="17" t="n">
        <v>65</v>
      </c>
      <c r="U40" s="17" t="n">
        <v>2470</v>
      </c>
      <c r="V40" s="17" t="n">
        <v>19.21</v>
      </c>
      <c r="W40" s="17" t="n">
        <v>24.97</v>
      </c>
      <c r="X40" s="17" t="n">
        <v>47448.7</v>
      </c>
      <c r="Y40" s="17" t="n">
        <v>47503.37</v>
      </c>
      <c r="Z40" s="17" t="n">
        <v>199551.3</v>
      </c>
      <c r="AA40" s="17" t="n">
        <v>14234.61</v>
      </c>
      <c r="AB40" s="17" t="n">
        <v>14234.61</v>
      </c>
      <c r="AC40" s="17" t="n">
        <v>14227.2</v>
      </c>
      <c r="AD40" s="17" t="n">
        <v>30</v>
      </c>
      <c r="AE40" s="17" t="n">
        <v>40</v>
      </c>
      <c r="AF40" s="17" t="n">
        <v>5.93</v>
      </c>
      <c r="AG40" s="17" t="n">
        <v>0.09</v>
      </c>
      <c r="AH40" s="17" t="n">
        <v>1.42</v>
      </c>
      <c r="AI40" s="17" t="n">
        <v>7.22</v>
      </c>
      <c r="AJ40" s="17" t="n">
        <v>54.67</v>
      </c>
      <c r="AK40" s="17" t="n">
        <v>14172.53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7" t="inlineStr">
        <is>
          <t>2026-08-10</t>
        </is>
      </c>
      <c r="B41" s="17" t="inlineStr">
        <is>
          <t>NIFTY</t>
        </is>
      </c>
      <c r="C41" s="17" t="inlineStr">
        <is>
          <t>Smart Trend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BULLISH</t>
        </is>
      </c>
      <c r="G41" s="17" t="inlineStr">
        <is>
          <t>Price↑(24597.3&gt;24570.65) &amp; EMA9↑(24500.44&gt;24359.04)</t>
        </is>
      </c>
      <c r="H41" s="17" t="n">
        <v>24500.44</v>
      </c>
      <c r="I41" s="17" t="n">
        <v>24359.04</v>
      </c>
      <c r="J41" s="17" t="inlineStr">
        <is>
          <t>2026-08-13</t>
        </is>
      </c>
      <c r="K41" s="17" t="inlineStr">
        <is>
          <t>WEEKLY</t>
        </is>
      </c>
      <c r="L41" s="17" t="n">
        <v>3</v>
      </c>
      <c r="M41" s="17" t="inlineStr">
        <is>
          <t>09:20 IST</t>
        </is>
      </c>
      <c r="N41" s="17" t="inlineStr">
        <is>
          <t>10:13 IST</t>
        </is>
      </c>
      <c r="O41" s="17" t="n">
        <v>24597.3</v>
      </c>
      <c r="P41" s="17" t="n">
        <v>24570.65</v>
      </c>
      <c r="Q41" s="17" t="inlineStr">
        <is>
          <t>24500 CE</t>
        </is>
      </c>
      <c r="R41" s="17" t="inlineStr">
        <is>
          <t>24600 CE</t>
        </is>
      </c>
      <c r="S41" s="17" t="n">
        <v>25</v>
      </c>
      <c r="T41" s="17" t="n">
        <v>65</v>
      </c>
      <c r="U41" s="17" t="n">
        <v>1625</v>
      </c>
      <c r="V41" s="17" t="n">
        <v>29.28</v>
      </c>
      <c r="W41" s="17" t="n">
        <v>38.06</v>
      </c>
      <c r="X41" s="17" t="n">
        <v>47580</v>
      </c>
      <c r="Y41" s="17" t="n">
        <v>47634.69</v>
      </c>
      <c r="Z41" s="17" t="n">
        <v>114920</v>
      </c>
      <c r="AA41" s="17" t="n">
        <v>14274</v>
      </c>
      <c r="AB41" s="17" t="n">
        <v>14274</v>
      </c>
      <c r="AC41" s="17" t="n">
        <v>14267.5</v>
      </c>
      <c r="AD41" s="17" t="n">
        <v>30</v>
      </c>
      <c r="AE41" s="17" t="n">
        <v>40</v>
      </c>
      <c r="AF41" s="17" t="n">
        <v>5.95</v>
      </c>
      <c r="AG41" s="17" t="n">
        <v>0.1</v>
      </c>
      <c r="AH41" s="17" t="n">
        <v>1.43</v>
      </c>
      <c r="AI41" s="17" t="n">
        <v>7.22</v>
      </c>
      <c r="AJ41" s="17" t="n">
        <v>54.69</v>
      </c>
      <c r="AK41" s="17" t="n">
        <v>14212.81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2026-08-10</t>
        </is>
      </c>
      <c r="B42" s="17" t="inlineStr">
        <is>
          <t>NIFTY</t>
        </is>
      </c>
      <c r="C42" s="17" t="inlineStr">
        <is>
          <t>Smart Trend</t>
        </is>
      </c>
      <c r="D42" s="17" t="inlineStr">
        <is>
          <t>Bull Call Spread</t>
        </is>
      </c>
      <c r="E42" s="17" t="inlineStr">
        <is>
          <t>SIMULATED</t>
        </is>
      </c>
      <c r="F42" s="17" t="inlineStr">
        <is>
          <t>BULLISH</t>
        </is>
      </c>
      <c r="G42" s="17" t="inlineStr">
        <is>
          <t>Price↑(24583.8&gt;24570.65) &amp; EMA9↑(24497.74&gt;24357.82)</t>
        </is>
      </c>
      <c r="H42" s="17" t="n">
        <v>24497.74</v>
      </c>
      <c r="I42" s="17" t="n">
        <v>24357.82</v>
      </c>
      <c r="J42" s="17" t="inlineStr">
        <is>
          <t>2026-08-13</t>
        </is>
      </c>
      <c r="K42" s="17" t="inlineStr">
        <is>
          <t>WEEKLY</t>
        </is>
      </c>
      <c r="L42" s="17" t="n">
        <v>3</v>
      </c>
      <c r="M42" s="17" t="inlineStr">
        <is>
          <t>09:20 IST</t>
        </is>
      </c>
      <c r="N42" s="17" t="inlineStr">
        <is>
          <t>10:13 IST</t>
        </is>
      </c>
      <c r="O42" s="17" t="n">
        <v>24583.8</v>
      </c>
      <c r="P42" s="17" t="n">
        <v>24570.65</v>
      </c>
      <c r="Q42" s="17" t="inlineStr">
        <is>
          <t>24500 CE</t>
        </is>
      </c>
      <c r="R42" s="17" t="inlineStr">
        <is>
          <t>24600 CE</t>
        </is>
      </c>
      <c r="S42" s="17" t="n">
        <v>21</v>
      </c>
      <c r="T42" s="17" t="n">
        <v>65</v>
      </c>
      <c r="U42" s="17" t="n">
        <v>1365</v>
      </c>
      <c r="V42" s="17" t="n">
        <v>35.23</v>
      </c>
      <c r="W42" s="17" t="n">
        <v>45.8</v>
      </c>
      <c r="X42" s="17" t="n">
        <v>48088.95</v>
      </c>
      <c r="Y42" s="17" t="n">
        <v>48143.72</v>
      </c>
      <c r="Z42" s="17" t="n">
        <v>88411.05</v>
      </c>
      <c r="AA42" s="17" t="n">
        <v>14426.68</v>
      </c>
      <c r="AB42" s="17" t="n">
        <v>14426.68</v>
      </c>
      <c r="AC42" s="17" t="n">
        <v>14428.05</v>
      </c>
      <c r="AD42" s="17" t="n">
        <v>30</v>
      </c>
      <c r="AE42" s="17" t="n">
        <v>40</v>
      </c>
      <c r="AF42" s="17" t="n">
        <v>6.01</v>
      </c>
      <c r="AG42" s="17" t="n">
        <v>0.1</v>
      </c>
      <c r="AH42" s="17" t="n">
        <v>1.44</v>
      </c>
      <c r="AI42" s="17" t="n">
        <v>7.22</v>
      </c>
      <c r="AJ42" s="17" t="n">
        <v>54.77</v>
      </c>
      <c r="AK42" s="17" t="n">
        <v>14373.28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N8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BANKNIFTY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Bull Call Spread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11:45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82.20999999999999</v>
      </c>
      <c r="V3" s="17" t="n">
        <v>106.87</v>
      </c>
      <c r="W3" s="17" t="n">
        <v>46859.7</v>
      </c>
      <c r="X3" s="17" t="n">
        <v>46914.27</v>
      </c>
      <c r="Y3" s="17" t="n">
        <v>67140.3</v>
      </c>
      <c r="Z3" s="17" t="n">
        <v>14057.91</v>
      </c>
      <c r="AA3" s="17" t="n">
        <v>14057.91</v>
      </c>
      <c r="AB3" s="17" t="n">
        <v>14056.2</v>
      </c>
      <c r="AC3" s="17" t="n">
        <v>30</v>
      </c>
      <c r="AD3" s="17" t="n">
        <v>40</v>
      </c>
      <c r="AE3" s="17" t="n">
        <v>5.86</v>
      </c>
      <c r="AF3" s="17" t="n">
        <v>0.09</v>
      </c>
      <c r="AG3" s="17" t="n">
        <v>1.41</v>
      </c>
      <c r="AH3" s="17" t="n">
        <v>7.22</v>
      </c>
      <c r="AI3" s="17" t="n">
        <v>54.57</v>
      </c>
      <c r="AJ3" s="17" t="n">
        <v>14001.63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12:02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29</v>
      </c>
      <c r="S4" s="17" t="n">
        <v>30</v>
      </c>
      <c r="T4" s="17" t="n">
        <v>870</v>
      </c>
      <c r="U4" s="17" t="n">
        <v>55.8</v>
      </c>
      <c r="V4" s="17" t="n">
        <v>72.54000000000001</v>
      </c>
      <c r="W4" s="17" t="n">
        <v>48546</v>
      </c>
      <c r="X4" s="17" t="n">
        <v>48600.84</v>
      </c>
      <c r="Y4" s="17" t="n">
        <v>125454</v>
      </c>
      <c r="Z4" s="17" t="n">
        <v>14563.8</v>
      </c>
      <c r="AA4" s="17" t="n">
        <v>14563.8</v>
      </c>
      <c r="AB4" s="17" t="n">
        <v>14563.8</v>
      </c>
      <c r="AC4" s="17" t="n">
        <v>30</v>
      </c>
      <c r="AD4" s="17" t="n">
        <v>40</v>
      </c>
      <c r="AE4" s="17" t="n">
        <v>6.07</v>
      </c>
      <c r="AF4" s="17" t="n">
        <v>0.1</v>
      </c>
      <c r="AG4" s="17" t="n">
        <v>1.46</v>
      </c>
      <c r="AH4" s="17" t="n">
        <v>7.22</v>
      </c>
      <c r="AI4" s="17" t="n">
        <v>54.84</v>
      </c>
      <c r="AJ4" s="17" t="n">
        <v>14508.96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6" t="inlineStr">
        <is>
          <t>2026-06-19</t>
        </is>
      </c>
      <c r="B5" s="16" t="inlineStr">
        <is>
          <t>BANKNIFTY</t>
        </is>
      </c>
      <c r="C5" s="16" t="inlineStr">
        <is>
          <t>Bull Call Spread</t>
        </is>
      </c>
      <c r="D5" s="16" t="inlineStr">
        <is>
          <t>Bull Call Spread</t>
        </is>
      </c>
      <c r="E5" s="16" t="inlineStr">
        <is>
          <t>SKIP</t>
        </is>
      </c>
      <c r="F5" s="16" t="inlineStr">
        <is>
          <t>Conflicting — Price:BEARISH EMA:BULLISH</t>
        </is>
      </c>
      <c r="G5" s="16" t="n">
        <v>56788.95</v>
      </c>
      <c r="H5" s="16" t="n">
        <v>55679.28</v>
      </c>
      <c r="I5" s="16" t="inlineStr">
        <is>
          <t>2026-06-25</t>
        </is>
      </c>
      <c r="J5" s="16" t="inlineStr">
        <is>
          <t>MONTHLY</t>
        </is>
      </c>
      <c r="K5" s="16" t="n">
        <v>6</v>
      </c>
      <c r="L5" s="16" t="inlineStr">
        <is>
          <t>09:20 IST</t>
        </is>
      </c>
      <c r="M5" s="16" t="inlineStr">
        <is>
          <t>14:40 IST</t>
        </is>
      </c>
      <c r="N5" s="16" t="n">
        <v>57685.75</v>
      </c>
      <c r="O5" s="16" t="n">
        <v>57963.8</v>
      </c>
      <c r="P5" s="16" t="inlineStr">
        <is>
          <t>57600 CE</t>
        </is>
      </c>
      <c r="Q5" s="16" t="inlineStr">
        <is>
          <t>57800 CE</t>
        </is>
      </c>
      <c r="R5" s="16" t="n">
        <v>32</v>
      </c>
      <c r="S5" s="16" t="n">
        <v>30</v>
      </c>
      <c r="T5" s="16" t="n">
        <v>960</v>
      </c>
      <c r="U5" s="16" t="n">
        <v>50.62</v>
      </c>
      <c r="V5" s="16" t="n">
        <v>49.94</v>
      </c>
      <c r="W5" s="16" t="n">
        <v>48595.2</v>
      </c>
      <c r="X5" s="16" t="n">
        <v>48650.05</v>
      </c>
      <c r="Y5" s="16" t="n">
        <v>143404.8</v>
      </c>
      <c r="Z5" s="16" t="n">
        <v>14578.56</v>
      </c>
      <c r="AA5" s="16" t="n">
        <v>14578.56</v>
      </c>
      <c r="AB5" s="16" t="n">
        <v>-652.8</v>
      </c>
      <c r="AC5" s="16" t="n">
        <v>-1.3</v>
      </c>
      <c r="AD5" s="16" t="n">
        <v>40</v>
      </c>
      <c r="AE5" s="16" t="n">
        <v>6.07</v>
      </c>
      <c r="AF5" s="16" t="n">
        <v>0.1</v>
      </c>
      <c r="AG5" s="16" t="n">
        <v>1.46</v>
      </c>
      <c r="AH5" s="16" t="n">
        <v>7.22</v>
      </c>
      <c r="AI5" s="16" t="n">
        <v>54.85</v>
      </c>
      <c r="AJ5" s="16" t="n">
        <v>-707.65</v>
      </c>
      <c r="AK5" s="16" t="inlineStr">
        <is>
          <t>FLAT</t>
        </is>
      </c>
      <c r="AL5" s="16" t="n">
        <v>50000</v>
      </c>
      <c r="AM5" s="16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BANKNIFTY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Price↑(57963.8&gt;57585.05) &amp; EMA9↑(56564.74&gt;55478.64)</t>
        </is>
      </c>
      <c r="G6" s="15" t="n">
        <v>56564.74</v>
      </c>
      <c r="H6" s="15" t="n">
        <v>55478.64</v>
      </c>
      <c r="I6" s="15" t="inlineStr">
        <is>
          <t>2026-06-25</t>
        </is>
      </c>
      <c r="J6" s="15" t="inlineStr">
        <is>
          <t>MONTHLY</t>
        </is>
      </c>
      <c r="K6" s="15" t="n">
        <v>6</v>
      </c>
      <c r="L6" s="15" t="inlineStr">
        <is>
          <t>09:20 IST</t>
        </is>
      </c>
      <c r="M6" s="15" t="inlineStr">
        <is>
          <t>10:18 IST</t>
        </is>
      </c>
      <c r="N6" s="15" t="n">
        <v>57963.8</v>
      </c>
      <c r="O6" s="15" t="n">
        <v>57585.05</v>
      </c>
      <c r="P6" s="15" t="inlineStr">
        <is>
          <t>57800 CE</t>
        </is>
      </c>
      <c r="Q6" s="15" t="inlineStr">
        <is>
          <t>58000 CE</t>
        </is>
      </c>
      <c r="R6" s="15" t="n">
        <v>23</v>
      </c>
      <c r="S6" s="15" t="n">
        <v>30</v>
      </c>
      <c r="T6" s="15" t="n">
        <v>690</v>
      </c>
      <c r="U6" s="15" t="n">
        <v>70.66</v>
      </c>
      <c r="V6" s="15" t="n">
        <v>49.46</v>
      </c>
      <c r="W6" s="15" t="n">
        <v>48755.4</v>
      </c>
      <c r="X6" s="15" t="n">
        <v>48810.27</v>
      </c>
      <c r="Y6" s="15" t="n">
        <v>89244.60000000001</v>
      </c>
      <c r="Z6" s="15" t="n">
        <v>14626.62</v>
      </c>
      <c r="AA6" s="15" t="n">
        <v>14626.62</v>
      </c>
      <c r="AB6" s="15" t="n">
        <v>-14628</v>
      </c>
      <c r="AC6" s="15" t="n">
        <v>-30</v>
      </c>
      <c r="AD6" s="15" t="n">
        <v>40</v>
      </c>
      <c r="AE6" s="15" t="n">
        <v>6.09</v>
      </c>
      <c r="AF6" s="15" t="n">
        <v>0.1</v>
      </c>
      <c r="AG6" s="15" t="n">
        <v>1.46</v>
      </c>
      <c r="AH6" s="15" t="n">
        <v>7.22</v>
      </c>
      <c r="AI6" s="15" t="n">
        <v>54.87</v>
      </c>
      <c r="AJ6" s="15" t="n">
        <v>-14682.87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5" t="inlineStr">
        <is>
          <t>2026-06-23</t>
        </is>
      </c>
      <c r="B7" s="15" t="inlineStr">
        <is>
          <t>BANKNIFTY</t>
        </is>
      </c>
      <c r="C7" s="15" t="inlineStr">
        <is>
          <t>Bull Call Spread</t>
        </is>
      </c>
      <c r="D7" s="15" t="inlineStr">
        <is>
          <t>Bull Call Spread</t>
        </is>
      </c>
      <c r="E7" s="15" t="inlineStr">
        <is>
          <t>SKIP</t>
        </is>
      </c>
      <c r="F7" s="15" t="inlineStr">
        <is>
          <t>Conflicting — Price:BEARISH EMA:BULLISH</t>
        </is>
      </c>
      <c r="G7" s="15" t="n">
        <v>56787.29</v>
      </c>
      <c r="H7" s="15" t="n">
        <v>55649.38</v>
      </c>
      <c r="I7" s="15" t="inlineStr">
        <is>
          <t>2026-06-25</t>
        </is>
      </c>
      <c r="J7" s="15" t="inlineStr">
        <is>
          <t>MONTHLY</t>
        </is>
      </c>
      <c r="K7" s="15" t="n">
        <v>3</v>
      </c>
      <c r="L7" s="15" t="inlineStr">
        <is>
          <t>09:20 IST</t>
        </is>
      </c>
      <c r="M7" s="15" t="inlineStr">
        <is>
          <t>11:05 IST</t>
        </is>
      </c>
      <c r="N7" s="15" t="n">
        <v>57685.75</v>
      </c>
      <c r="O7" s="15" t="n">
        <v>57963.8</v>
      </c>
      <c r="P7" s="15" t="inlineStr">
        <is>
          <t>57600 CE</t>
        </is>
      </c>
      <c r="Q7" s="15" t="inlineStr">
        <is>
          <t>57800 CE</t>
        </is>
      </c>
      <c r="R7" s="15" t="n">
        <v>22</v>
      </c>
      <c r="S7" s="15" t="n">
        <v>30</v>
      </c>
      <c r="T7" s="15" t="n">
        <v>660</v>
      </c>
      <c r="U7" s="15" t="n">
        <v>71.52</v>
      </c>
      <c r="V7" s="15" t="n">
        <v>50.06</v>
      </c>
      <c r="W7" s="15" t="n">
        <v>47203.2</v>
      </c>
      <c r="X7" s="15" t="n">
        <v>47257.83</v>
      </c>
      <c r="Y7" s="15" t="n">
        <v>84796.8</v>
      </c>
      <c r="Z7" s="15" t="n">
        <v>14160.96</v>
      </c>
      <c r="AA7" s="15" t="n">
        <v>14160.96</v>
      </c>
      <c r="AB7" s="15" t="n">
        <v>-14163.6</v>
      </c>
      <c r="AC7" s="15" t="n">
        <v>-30</v>
      </c>
      <c r="AD7" s="15" t="n">
        <v>40</v>
      </c>
      <c r="AE7" s="15" t="n">
        <v>5.9</v>
      </c>
      <c r="AF7" s="15" t="n">
        <v>0.09</v>
      </c>
      <c r="AG7" s="15" t="n">
        <v>1.42</v>
      </c>
      <c r="AH7" s="15" t="n">
        <v>7.22</v>
      </c>
      <c r="AI7" s="15" t="n">
        <v>54.63</v>
      </c>
      <c r="AJ7" s="15" t="n">
        <v>-14218.23</v>
      </c>
      <c r="AK7" s="15" t="inlineStr">
        <is>
          <t>STOP LOSS</t>
        </is>
      </c>
      <c r="AL7" s="15" t="n">
        <v>50000</v>
      </c>
      <c r="AM7" s="15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10:34 IST</t>
        </is>
      </c>
      <c r="N8" s="15" t="n">
        <v>57685.75</v>
      </c>
      <c r="O8" s="15" t="n">
        <v>57963.8</v>
      </c>
      <c r="P8" s="15" t="inlineStr">
        <is>
          <t>57600 CE</t>
        </is>
      </c>
      <c r="Q8" s="15" t="inlineStr">
        <is>
          <t>57800 CE</t>
        </is>
      </c>
      <c r="R8" s="15" t="n">
        <v>23</v>
      </c>
      <c r="S8" s="15" t="n">
        <v>30</v>
      </c>
      <c r="T8" s="15" t="n">
        <v>690</v>
      </c>
      <c r="U8" s="15" t="n">
        <v>68.47</v>
      </c>
      <c r="V8" s="15" t="n">
        <v>47.93</v>
      </c>
      <c r="W8" s="15" t="n">
        <v>47244.3</v>
      </c>
      <c r="X8" s="15" t="n">
        <v>47298.93</v>
      </c>
      <c r="Y8" s="15" t="n">
        <v>90755.7</v>
      </c>
      <c r="Z8" s="15" t="n">
        <v>14173.29</v>
      </c>
      <c r="AA8" s="15" t="n">
        <v>14173.29</v>
      </c>
      <c r="AB8" s="15" t="n">
        <v>-14172.6</v>
      </c>
      <c r="AC8" s="15" t="n">
        <v>-30</v>
      </c>
      <c r="AD8" s="15" t="n">
        <v>40</v>
      </c>
      <c r="AE8" s="15" t="n">
        <v>5.91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-14227.23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BANKNIFTY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57048.75</v>
      </c>
      <c r="H9" s="17" t="n">
        <v>55970.07</v>
      </c>
      <c r="I9" s="17" t="inlineStr">
        <is>
          <t>2026-06-25</t>
        </is>
      </c>
      <c r="J9" s="17" t="inlineStr">
        <is>
          <t>MONTHLY</t>
        </is>
      </c>
      <c r="K9" s="17" t="n">
        <v>2</v>
      </c>
      <c r="L9" s="17" t="inlineStr">
        <is>
          <t>09:20 IST</t>
        </is>
      </c>
      <c r="M9" s="17" t="inlineStr">
        <is>
          <t>09:49 IST</t>
        </is>
      </c>
      <c r="N9" s="17" t="n">
        <v>57183.75</v>
      </c>
      <c r="O9" s="17" t="n">
        <v>57935.6</v>
      </c>
      <c r="P9" s="17" t="inlineStr">
        <is>
          <t>57000 CE</t>
        </is>
      </c>
      <c r="Q9" s="17" t="inlineStr">
        <is>
          <t>57200 CE</t>
        </is>
      </c>
      <c r="R9" s="17" t="n">
        <v>49</v>
      </c>
      <c r="S9" s="17" t="n">
        <v>30</v>
      </c>
      <c r="T9" s="17" t="n">
        <v>1470</v>
      </c>
      <c r="U9" s="17" t="n">
        <v>32.55</v>
      </c>
      <c r="V9" s="17" t="n">
        <v>42.31</v>
      </c>
      <c r="W9" s="17" t="n">
        <v>47848.5</v>
      </c>
      <c r="X9" s="17" t="n">
        <v>47903.23</v>
      </c>
      <c r="Y9" s="17" t="n">
        <v>246151.5</v>
      </c>
      <c r="Z9" s="17" t="n">
        <v>14354.55</v>
      </c>
      <c r="AA9" s="17" t="n">
        <v>14354.55</v>
      </c>
      <c r="AB9" s="17" t="n">
        <v>14347.2</v>
      </c>
      <c r="AC9" s="17" t="n">
        <v>30</v>
      </c>
      <c r="AD9" s="17" t="n">
        <v>40</v>
      </c>
      <c r="AE9" s="17" t="n">
        <v>5.98</v>
      </c>
      <c r="AF9" s="17" t="n">
        <v>0.1</v>
      </c>
      <c r="AG9" s="17" t="n">
        <v>1.44</v>
      </c>
      <c r="AH9" s="17" t="n">
        <v>7.22</v>
      </c>
      <c r="AI9" s="17" t="n">
        <v>54.73</v>
      </c>
      <c r="AJ9" s="17" t="n">
        <v>14292.47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10:00 IST</t>
        </is>
      </c>
      <c r="N10" s="17" t="n">
        <v>57935.6</v>
      </c>
      <c r="O10" s="17" t="n">
        <v>57685.75</v>
      </c>
      <c r="P10" s="17" t="inlineStr">
        <is>
          <t>57800 CE</t>
        </is>
      </c>
      <c r="Q10" s="17" t="inlineStr">
        <is>
          <t>58000 CE</t>
        </is>
      </c>
      <c r="R10" s="17" t="n">
        <v>41</v>
      </c>
      <c r="S10" s="17" t="n">
        <v>30</v>
      </c>
      <c r="T10" s="17" t="n">
        <v>1230</v>
      </c>
      <c r="U10" s="17" t="n">
        <v>39.16</v>
      </c>
      <c r="V10" s="17" t="n">
        <v>50.91</v>
      </c>
      <c r="W10" s="17" t="n">
        <v>48166.8</v>
      </c>
      <c r="X10" s="17" t="n">
        <v>48221.58</v>
      </c>
      <c r="Y10" s="17" t="n">
        <v>197833.2</v>
      </c>
      <c r="Z10" s="17" t="n">
        <v>14450.04</v>
      </c>
      <c r="AA10" s="17" t="n">
        <v>14450.04</v>
      </c>
      <c r="AB10" s="17" t="n">
        <v>14452.5</v>
      </c>
      <c r="AC10" s="17" t="n">
        <v>30</v>
      </c>
      <c r="AD10" s="17" t="n">
        <v>40</v>
      </c>
      <c r="AE10" s="17" t="n">
        <v>6.02</v>
      </c>
      <c r="AF10" s="17" t="n">
        <v>0.1</v>
      </c>
      <c r="AG10" s="17" t="n">
        <v>1.45</v>
      </c>
      <c r="AH10" s="17" t="n">
        <v>7.22</v>
      </c>
      <c r="AI10" s="17" t="n">
        <v>54.78</v>
      </c>
      <c r="AJ10" s="17" t="n">
        <v>14397.72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6" t="inlineStr">
        <is>
          <t>2026-06-24</t>
        </is>
      </c>
      <c r="B11" s="16" t="inlineStr">
        <is>
          <t>BANKNIFTY</t>
        </is>
      </c>
      <c r="C11" s="16" t="inlineStr">
        <is>
          <t>Bull Call Spread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Price↑(58150.35&gt;57183.75) &amp; EMA9↑(57268.28&gt;56132.92)</t>
        </is>
      </c>
      <c r="H11" s="16" t="n">
        <v>57268.28</v>
      </c>
      <c r="I11" s="16" t="n">
        <v>56132.92</v>
      </c>
      <c r="J11" s="16" t="inlineStr">
        <is>
          <t>2026-06-25</t>
        </is>
      </c>
      <c r="K11" s="16" t="inlineStr">
        <is>
          <t>MONTHLY</t>
        </is>
      </c>
      <c r="L11" s="16" t="n">
        <v>1</v>
      </c>
      <c r="M11" s="16" t="inlineStr">
        <is>
          <t>09:20 IST</t>
        </is>
      </c>
      <c r="N11" s="16" t="inlineStr">
        <is>
          <t>14:01 IST</t>
        </is>
      </c>
      <c r="O11" s="16" t="n">
        <v>58150.35</v>
      </c>
      <c r="P11" s="16" t="n">
        <v>57183.75</v>
      </c>
      <c r="Q11" s="16" t="inlineStr">
        <is>
          <t>58000 CE</t>
        </is>
      </c>
      <c r="R11" s="16" t="inlineStr">
        <is>
          <t>58200 CE</t>
        </is>
      </c>
      <c r="S11" s="16" t="n">
        <v>34</v>
      </c>
      <c r="T11" s="16" t="n">
        <v>30</v>
      </c>
      <c r="U11" s="16" t="n">
        <v>1020</v>
      </c>
      <c r="V11" s="16" t="n">
        <v>46.51</v>
      </c>
      <c r="W11" s="16" t="n">
        <v>45.29</v>
      </c>
      <c r="X11" s="16" t="n">
        <v>47440.2</v>
      </c>
      <c r="Y11" s="16" t="n">
        <v>47494.87</v>
      </c>
      <c r="Z11" s="16" t="n">
        <v>156559.8</v>
      </c>
      <c r="AA11" s="16" t="n">
        <v>14232.06</v>
      </c>
      <c r="AB11" s="16" t="n">
        <v>14232.06</v>
      </c>
      <c r="AC11" s="16" t="n">
        <v>-1244.4</v>
      </c>
      <c r="AD11" s="16" t="n">
        <v>-2.6</v>
      </c>
      <c r="AE11" s="16" t="n">
        <v>40</v>
      </c>
      <c r="AF11" s="16" t="n">
        <v>5.93</v>
      </c>
      <c r="AG11" s="16" t="n">
        <v>0.09</v>
      </c>
      <c r="AH11" s="16" t="n">
        <v>1.42</v>
      </c>
      <c r="AI11" s="16" t="n">
        <v>7.22</v>
      </c>
      <c r="AJ11" s="16" t="n">
        <v>54.67</v>
      </c>
      <c r="AK11" s="16" t="n">
        <v>-1299.07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BANKNIFTY</t>
        </is>
      </c>
      <c r="C12" s="17" t="inlineStr">
        <is>
          <t>Bull Call Spread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57047.77</v>
      </c>
      <c r="I12" s="17" t="n">
        <v>55931.18</v>
      </c>
      <c r="J12" s="17" t="inlineStr">
        <is>
          <t>2026-06-25</t>
        </is>
      </c>
      <c r="K12" s="17" t="inlineStr">
        <is>
          <t>MONTHLY</t>
        </is>
      </c>
      <c r="L12" s="17" t="n">
        <v>1</v>
      </c>
      <c r="M12" s="17" t="inlineStr">
        <is>
          <t>09:20 IST</t>
        </is>
      </c>
      <c r="N12" s="17" t="inlineStr">
        <is>
          <t>10:50 IST</t>
        </is>
      </c>
      <c r="O12" s="17" t="n">
        <v>57183.75</v>
      </c>
      <c r="P12" s="17" t="n">
        <v>57935.6</v>
      </c>
      <c r="Q12" s="17" t="inlineStr">
        <is>
          <t>57000 CE</t>
        </is>
      </c>
      <c r="R12" s="17" t="inlineStr">
        <is>
          <t>57200 CE</t>
        </is>
      </c>
      <c r="S12" s="17" t="n">
        <v>44</v>
      </c>
      <c r="T12" s="17" t="n">
        <v>30</v>
      </c>
      <c r="U12" s="17" t="n">
        <v>1320</v>
      </c>
      <c r="V12" s="17" t="n">
        <v>35.77</v>
      </c>
      <c r="W12" s="17" t="n">
        <v>46.5</v>
      </c>
      <c r="X12" s="17" t="n">
        <v>47216.4</v>
      </c>
      <c r="Y12" s="17" t="n">
        <v>47271.03</v>
      </c>
      <c r="Z12" s="17" t="n">
        <v>216783.6</v>
      </c>
      <c r="AA12" s="17" t="n">
        <v>14164.92</v>
      </c>
      <c r="AB12" s="17" t="n">
        <v>14164.92</v>
      </c>
      <c r="AC12" s="17" t="n">
        <v>14163.6</v>
      </c>
      <c r="AD12" s="17" t="n">
        <v>30</v>
      </c>
      <c r="AE12" s="17" t="n">
        <v>40</v>
      </c>
      <c r="AF12" s="17" t="n">
        <v>5.9</v>
      </c>
      <c r="AG12" s="17" t="n">
        <v>0.09</v>
      </c>
      <c r="AH12" s="17" t="n">
        <v>1.42</v>
      </c>
      <c r="AI12" s="17" t="n">
        <v>7.22</v>
      </c>
      <c r="AJ12" s="17" t="n">
        <v>54.63</v>
      </c>
      <c r="AK12" s="17" t="n">
        <v>14108.97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Bull Call Spread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09:55 IST</t>
        </is>
      </c>
      <c r="O13" s="17" t="n">
        <v>58177.05</v>
      </c>
      <c r="P13" s="17" t="n">
        <v>58150.35</v>
      </c>
      <c r="Q13" s="17" t="inlineStr">
        <is>
          <t>58000 CE</t>
        </is>
      </c>
      <c r="R13" s="17" t="inlineStr">
        <is>
          <t>58200 CE</t>
        </is>
      </c>
      <c r="S13" s="17" t="n">
        <v>39</v>
      </c>
      <c r="T13" s="17" t="n">
        <v>30</v>
      </c>
      <c r="U13" s="17" t="n">
        <v>1170</v>
      </c>
      <c r="V13" s="17" t="n">
        <v>41.26</v>
      </c>
      <c r="W13" s="17" t="n">
        <v>53.64</v>
      </c>
      <c r="X13" s="17" t="n">
        <v>48274.2</v>
      </c>
      <c r="Y13" s="17" t="n">
        <v>48329</v>
      </c>
      <c r="Z13" s="17" t="n">
        <v>185725.8</v>
      </c>
      <c r="AA13" s="17" t="n">
        <v>14482.26</v>
      </c>
      <c r="AB13" s="17" t="n">
        <v>14482.26</v>
      </c>
      <c r="AC13" s="17" t="n">
        <v>14484.6</v>
      </c>
      <c r="AD13" s="17" t="n">
        <v>30</v>
      </c>
      <c r="AE13" s="17" t="n">
        <v>40</v>
      </c>
      <c r="AF13" s="17" t="n">
        <v>6.03</v>
      </c>
      <c r="AG13" s="17" t="n">
        <v>0.1</v>
      </c>
      <c r="AH13" s="17" t="n">
        <v>1.45</v>
      </c>
      <c r="AI13" s="17" t="n">
        <v>7.22</v>
      </c>
      <c r="AJ13" s="17" t="n">
        <v>54.8</v>
      </c>
      <c r="AK13" s="17" t="n">
        <v>14429.8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11:05 IST</t>
        </is>
      </c>
      <c r="O14" s="17" t="n">
        <v>58150.35</v>
      </c>
      <c r="P14" s="17" t="n">
        <v>57183.75</v>
      </c>
      <c r="Q14" s="17" t="inlineStr">
        <is>
          <t>58000 CE</t>
        </is>
      </c>
      <c r="R14" s="17" t="inlineStr">
        <is>
          <t>58200 CE</t>
        </is>
      </c>
      <c r="S14" s="17" t="n">
        <v>33</v>
      </c>
      <c r="T14" s="17" t="n">
        <v>30</v>
      </c>
      <c r="U14" s="17" t="n">
        <v>990</v>
      </c>
      <c r="V14" s="17" t="n">
        <v>48.98</v>
      </c>
      <c r="W14" s="17" t="n">
        <v>63.67</v>
      </c>
      <c r="X14" s="17" t="n">
        <v>48490.2</v>
      </c>
      <c r="Y14" s="17" t="n">
        <v>48545.03</v>
      </c>
      <c r="Z14" s="17" t="n">
        <v>149509.8</v>
      </c>
      <c r="AA14" s="17" t="n">
        <v>14547.06</v>
      </c>
      <c r="AB14" s="17" t="n">
        <v>14547.06</v>
      </c>
      <c r="AC14" s="17" t="n">
        <v>14543.1</v>
      </c>
      <c r="AD14" s="17" t="n">
        <v>30</v>
      </c>
      <c r="AE14" s="17" t="n">
        <v>40</v>
      </c>
      <c r="AF14" s="17" t="n">
        <v>6.06</v>
      </c>
      <c r="AG14" s="17" t="n">
        <v>0.1</v>
      </c>
      <c r="AH14" s="17" t="n">
        <v>1.45</v>
      </c>
      <c r="AI14" s="17" t="n">
        <v>7.22</v>
      </c>
      <c r="AJ14" s="17" t="n">
        <v>54.83</v>
      </c>
      <c r="AK14" s="17" t="n">
        <v>14488.27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2026-06-26</t>
        </is>
      </c>
      <c r="B15" s="16" t="inlineStr">
        <is>
          <t>BANKNIFTY</t>
        </is>
      </c>
      <c r="C15" s="16" t="inlineStr">
        <is>
          <t>Bull Call Spread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Price↑(58177.05&gt;58150.35) &amp; EMA9↑(57449.52&gt;56225.95)</t>
        </is>
      </c>
      <c r="H15" s="16" t="n">
        <v>57449.52</v>
      </c>
      <c r="I15" s="16" t="n">
        <v>56225.95</v>
      </c>
      <c r="J15" s="16" t="inlineStr">
        <is>
          <t>2026-07-30</t>
        </is>
      </c>
      <c r="K15" s="16" t="inlineStr">
        <is>
          <t>MONTHLY</t>
        </is>
      </c>
      <c r="L15" s="16" t="n">
        <v>34</v>
      </c>
      <c r="M15" s="16" t="inlineStr">
        <is>
          <t>09:20 IST</t>
        </is>
      </c>
      <c r="N15" s="16" t="inlineStr">
        <is>
          <t>14:01 IST</t>
        </is>
      </c>
      <c r="O15" s="16" t="n">
        <v>58177.05</v>
      </c>
      <c r="P15" s="16" t="n">
        <v>58150.35</v>
      </c>
      <c r="Q15" s="16" t="inlineStr">
        <is>
          <t>58000 CE</t>
        </is>
      </c>
      <c r="R15" s="16" t="inlineStr">
        <is>
          <t>58200 CE</t>
        </is>
      </c>
      <c r="S15" s="16" t="n">
        <v>15</v>
      </c>
      <c r="T15" s="16" t="n">
        <v>30</v>
      </c>
      <c r="U15" s="16" t="n">
        <v>450</v>
      </c>
      <c r="V15" s="16" t="n">
        <v>108.17</v>
      </c>
      <c r="W15" s="16" t="n">
        <v>105.94</v>
      </c>
      <c r="X15" s="16" t="n">
        <v>48676.5</v>
      </c>
      <c r="Y15" s="16" t="n">
        <v>48731.36</v>
      </c>
      <c r="Z15" s="16" t="n">
        <v>41323.5</v>
      </c>
      <c r="AA15" s="16" t="n">
        <v>14602.95</v>
      </c>
      <c r="AB15" s="16" t="n">
        <v>14602.95</v>
      </c>
      <c r="AC15" s="16" t="n">
        <v>-1003.5</v>
      </c>
      <c r="AD15" s="16" t="n">
        <v>-2.1</v>
      </c>
      <c r="AE15" s="16" t="n">
        <v>40</v>
      </c>
      <c r="AF15" s="16" t="n">
        <v>6.08</v>
      </c>
      <c r="AG15" s="16" t="n">
        <v>0.1</v>
      </c>
      <c r="AH15" s="16" t="n">
        <v>1.46</v>
      </c>
      <c r="AI15" s="16" t="n">
        <v>7.22</v>
      </c>
      <c r="AJ15" s="16" t="n">
        <v>54.86</v>
      </c>
      <c r="AK15" s="16" t="n">
        <v>-1058.36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BANKNIFTY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Price↑(58177.05&gt;58150.35) &amp; EMA9↑(57449.52&gt;56225.95)</t>
        </is>
      </c>
      <c r="H16" s="17" t="n">
        <v>57449.52</v>
      </c>
      <c r="I16" s="17" t="n">
        <v>56225.95</v>
      </c>
      <c r="J16" s="17" t="inlineStr">
        <is>
          <t>2026-07-30</t>
        </is>
      </c>
      <c r="K16" s="17" t="inlineStr">
        <is>
          <t>MONTHLY</t>
        </is>
      </c>
      <c r="L16" s="17" t="n">
        <v>34</v>
      </c>
      <c r="M16" s="17" t="inlineStr">
        <is>
          <t>09:20 IST</t>
        </is>
      </c>
      <c r="N16" s="17" t="inlineStr">
        <is>
          <t>12:14 IST</t>
        </is>
      </c>
      <c r="O16" s="17" t="n">
        <v>58177.05</v>
      </c>
      <c r="P16" s="17" t="n">
        <v>58150.35</v>
      </c>
      <c r="Q16" s="17" t="inlineStr">
        <is>
          <t>58000 CE</t>
        </is>
      </c>
      <c r="R16" s="17" t="inlineStr">
        <is>
          <t>58200 CE</t>
        </is>
      </c>
      <c r="S16" s="17" t="n">
        <v>16</v>
      </c>
      <c r="T16" s="17" t="n">
        <v>30</v>
      </c>
      <c r="U16" s="17" t="n">
        <v>480</v>
      </c>
      <c r="V16" s="17" t="n">
        <v>97.70999999999999</v>
      </c>
      <c r="W16" s="17" t="n">
        <v>127.02</v>
      </c>
      <c r="X16" s="17" t="n">
        <v>46900.8</v>
      </c>
      <c r="Y16" s="17" t="n">
        <v>46955.38</v>
      </c>
      <c r="Z16" s="17" t="n">
        <v>49099.2</v>
      </c>
      <c r="AA16" s="17" t="n">
        <v>14070.24</v>
      </c>
      <c r="AB16" s="17" t="n">
        <v>14070.24</v>
      </c>
      <c r="AC16" s="17" t="n">
        <v>14068.8</v>
      </c>
      <c r="AD16" s="17" t="n">
        <v>30</v>
      </c>
      <c r="AE16" s="17" t="n">
        <v>40</v>
      </c>
      <c r="AF16" s="17" t="n">
        <v>5.86</v>
      </c>
      <c r="AG16" s="17" t="n">
        <v>0.09</v>
      </c>
      <c r="AH16" s="17" t="n">
        <v>1.41</v>
      </c>
      <c r="AI16" s="17" t="n">
        <v>7.22</v>
      </c>
      <c r="AJ16" s="17" t="n">
        <v>54.58</v>
      </c>
      <c r="AK16" s="17" t="n">
        <v>14014.22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BANKNIFTY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57506.76</v>
      </c>
      <c r="I17" s="15" t="n">
        <v>56326.72</v>
      </c>
      <c r="J17" s="15" t="inlineStr">
        <is>
          <t>2026-07-30</t>
        </is>
      </c>
      <c r="K17" s="15" t="inlineStr">
        <is>
          <t>MONTHLY</t>
        </is>
      </c>
      <c r="L17" s="15" t="n">
        <v>31</v>
      </c>
      <c r="M17" s="15" t="inlineStr">
        <is>
          <t>09:20 IST</t>
        </is>
      </c>
      <c r="N17" s="15" t="inlineStr">
        <is>
          <t>11:18 IST</t>
        </is>
      </c>
      <c r="O17" s="15" t="n">
        <v>57727.35</v>
      </c>
      <c r="P17" s="15" t="n">
        <v>58177.05</v>
      </c>
      <c r="Q17" s="15" t="inlineStr">
        <is>
          <t>57600 CE</t>
        </is>
      </c>
      <c r="R17" s="15" t="inlineStr">
        <is>
          <t>57800 CE</t>
        </is>
      </c>
      <c r="S17" s="15" t="n">
        <v>19</v>
      </c>
      <c r="T17" s="15" t="n">
        <v>30</v>
      </c>
      <c r="U17" s="15" t="n">
        <v>570</v>
      </c>
      <c r="V17" s="15" t="n">
        <v>83.7</v>
      </c>
      <c r="W17" s="15" t="n">
        <v>58.59</v>
      </c>
      <c r="X17" s="15" t="n">
        <v>47709</v>
      </c>
      <c r="Y17" s="15" t="n">
        <v>47763.71</v>
      </c>
      <c r="Z17" s="15" t="n">
        <v>66291</v>
      </c>
      <c r="AA17" s="15" t="n">
        <v>14312.7</v>
      </c>
      <c r="AB17" s="15" t="n">
        <v>14312.7</v>
      </c>
      <c r="AC17" s="15" t="n">
        <v>-14312.7</v>
      </c>
      <c r="AD17" s="15" t="n">
        <v>-30</v>
      </c>
      <c r="AE17" s="15" t="n">
        <v>40</v>
      </c>
      <c r="AF17" s="15" t="n">
        <v>5.96</v>
      </c>
      <c r="AG17" s="15" t="n">
        <v>0.1</v>
      </c>
      <c r="AH17" s="15" t="n">
        <v>1.43</v>
      </c>
      <c r="AI17" s="15" t="n">
        <v>7.22</v>
      </c>
      <c r="AJ17" s="15" t="n">
        <v>54.71</v>
      </c>
      <c r="AK17" s="15" t="n">
        <v>-14367.41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Bull Call Spread</t>
        </is>
      </c>
      <c r="D18" s="16" t="inlineStr">
        <is>
          <t>Bull Call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13:41 IST</t>
        </is>
      </c>
      <c r="O18" s="16" t="n">
        <v>58177.05</v>
      </c>
      <c r="P18" s="16" t="n">
        <v>58150.35</v>
      </c>
      <c r="Q18" s="16" t="inlineStr">
        <is>
          <t>58000 CE</t>
        </is>
      </c>
      <c r="R18" s="16" t="inlineStr">
        <is>
          <t>58200 CE</t>
        </is>
      </c>
      <c r="S18" s="16" t="n">
        <v>18</v>
      </c>
      <c r="T18" s="16" t="n">
        <v>30</v>
      </c>
      <c r="U18" s="16" t="n">
        <v>540</v>
      </c>
      <c r="V18" s="16" t="n">
        <v>87.48</v>
      </c>
      <c r="W18" s="16" t="n">
        <v>88.23999999999999</v>
      </c>
      <c r="X18" s="16" t="n">
        <v>47239.2</v>
      </c>
      <c r="Y18" s="16" t="n">
        <v>47293.83</v>
      </c>
      <c r="Z18" s="16" t="n">
        <v>60760.8</v>
      </c>
      <c r="AA18" s="16" t="n">
        <v>14171.76</v>
      </c>
      <c r="AB18" s="16" t="n">
        <v>14171.76</v>
      </c>
      <c r="AC18" s="16" t="n">
        <v>410.4</v>
      </c>
      <c r="AD18" s="16" t="n">
        <v>0.9</v>
      </c>
      <c r="AE18" s="16" t="n">
        <v>40</v>
      </c>
      <c r="AF18" s="16" t="n">
        <v>5.9</v>
      </c>
      <c r="AG18" s="16" t="n">
        <v>0.09</v>
      </c>
      <c r="AH18" s="16" t="n">
        <v>1.42</v>
      </c>
      <c r="AI18" s="16" t="n">
        <v>7.22</v>
      </c>
      <c r="AJ18" s="16" t="n">
        <v>54.63</v>
      </c>
      <c r="AK18" s="16" t="n">
        <v>355.77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BANKNIFTY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57515.81</v>
      </c>
      <c r="I19" s="17" t="n">
        <v>56405.26</v>
      </c>
      <c r="J19" s="17" t="inlineStr">
        <is>
          <t>2026-07-30</t>
        </is>
      </c>
      <c r="K19" s="17" t="inlineStr">
        <is>
          <t>MONTHLY</t>
        </is>
      </c>
      <c r="L19" s="17" t="n">
        <v>30</v>
      </c>
      <c r="M19" s="17" t="inlineStr">
        <is>
          <t>09:20 IST</t>
        </is>
      </c>
      <c r="N19" s="17" t="inlineStr">
        <is>
          <t>12:19 IST</t>
        </is>
      </c>
      <c r="O19" s="17" t="n">
        <v>57542.9</v>
      </c>
      <c r="P19" s="17" t="n">
        <v>57727.35</v>
      </c>
      <c r="Q19" s="17" t="inlineStr">
        <is>
          <t>57400 CE</t>
        </is>
      </c>
      <c r="R19" s="17" t="inlineStr">
        <is>
          <t>57600 CE</t>
        </is>
      </c>
      <c r="S19" s="17" t="n">
        <v>19</v>
      </c>
      <c r="T19" s="17" t="n">
        <v>30</v>
      </c>
      <c r="U19" s="17" t="n">
        <v>570</v>
      </c>
      <c r="V19" s="17" t="n">
        <v>82.67</v>
      </c>
      <c r="W19" s="17" t="n">
        <v>107.47</v>
      </c>
      <c r="X19" s="17" t="n">
        <v>47121.9</v>
      </c>
      <c r="Y19" s="17" t="n">
        <v>47176.52</v>
      </c>
      <c r="Z19" s="17" t="n">
        <v>66878.10000000001</v>
      </c>
      <c r="AA19" s="17" t="n">
        <v>14136.57</v>
      </c>
      <c r="AB19" s="17" t="n">
        <v>14136.57</v>
      </c>
      <c r="AC19" s="17" t="n">
        <v>14136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54.62</v>
      </c>
      <c r="AK19" s="17" t="n">
        <v>14081.38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10:58 IST</t>
        </is>
      </c>
      <c r="O20" s="17" t="n">
        <v>57727.35</v>
      </c>
      <c r="P20" s="17" t="n">
        <v>58177.05</v>
      </c>
      <c r="Q20" s="17" t="inlineStr">
        <is>
          <t>57600 CE</t>
        </is>
      </c>
      <c r="R20" s="17" t="inlineStr">
        <is>
          <t>57800 CE</t>
        </is>
      </c>
      <c r="S20" s="17" t="n">
        <v>15</v>
      </c>
      <c r="T20" s="17" t="n">
        <v>30</v>
      </c>
      <c r="U20" s="17" t="n">
        <v>450</v>
      </c>
      <c r="V20" s="17" t="n">
        <v>105.37</v>
      </c>
      <c r="W20" s="17" t="n">
        <v>136.98</v>
      </c>
      <c r="X20" s="17" t="n">
        <v>47416.5</v>
      </c>
      <c r="Y20" s="17" t="n">
        <v>47471.16</v>
      </c>
      <c r="Z20" s="17" t="n">
        <v>42583.5</v>
      </c>
      <c r="AA20" s="17" t="n">
        <v>14224.95</v>
      </c>
      <c r="AB20" s="17" t="n">
        <v>14224.95</v>
      </c>
      <c r="AC20" s="17" t="n">
        <v>14224.5</v>
      </c>
      <c r="AD20" s="17" t="n">
        <v>30</v>
      </c>
      <c r="AE20" s="17" t="n">
        <v>40</v>
      </c>
      <c r="AF20" s="17" t="n">
        <v>5.93</v>
      </c>
      <c r="AG20" s="17" t="n">
        <v>0.09</v>
      </c>
      <c r="AH20" s="17" t="n">
        <v>1.42</v>
      </c>
      <c r="AI20" s="17" t="n">
        <v>7.22</v>
      </c>
      <c r="AJ20" s="17" t="n">
        <v>54.66</v>
      </c>
      <c r="AK20" s="17" t="n">
        <v>14169.84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BANKNIFTY</t>
        </is>
      </c>
      <c r="C21" s="17" t="inlineStr">
        <is>
          <t>Bull Call Spread</t>
        </is>
      </c>
      <c r="D21" s="17" t="inlineStr">
        <is>
          <t>Bull Call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Price↑(58033.05&gt;57542.9) &amp; EMA9↑(57620.33&gt;56533.78)</t>
        </is>
      </c>
      <c r="H21" s="17" t="n">
        <v>57620.33</v>
      </c>
      <c r="I21" s="17" t="n">
        <v>56533.78</v>
      </c>
      <c r="J21" s="17" t="inlineStr">
        <is>
          <t>2026-07-30</t>
        </is>
      </c>
      <c r="K21" s="17" t="inlineStr">
        <is>
          <t>MONTHLY</t>
        </is>
      </c>
      <c r="L21" s="17" t="n">
        <v>29</v>
      </c>
      <c r="M21" s="17" t="inlineStr">
        <is>
          <t>09:20 IST</t>
        </is>
      </c>
      <c r="N21" s="17" t="inlineStr">
        <is>
          <t>12:01 IST</t>
        </is>
      </c>
      <c r="O21" s="17" t="n">
        <v>58033.05</v>
      </c>
      <c r="P21" s="17" t="n">
        <v>57542.9</v>
      </c>
      <c r="Q21" s="17" t="inlineStr">
        <is>
          <t>58000 CE</t>
        </is>
      </c>
      <c r="R21" s="17" t="inlineStr">
        <is>
          <t>58200 CE</t>
        </is>
      </c>
      <c r="S21" s="17" t="n">
        <v>16</v>
      </c>
      <c r="T21" s="17" t="n">
        <v>30</v>
      </c>
      <c r="U21" s="17" t="n">
        <v>480</v>
      </c>
      <c r="V21" s="17" t="n">
        <v>100.63</v>
      </c>
      <c r="W21" s="17" t="n">
        <v>130.82</v>
      </c>
      <c r="X21" s="17" t="n">
        <v>48302.4</v>
      </c>
      <c r="Y21" s="17" t="n">
        <v>48357.2</v>
      </c>
      <c r="Z21" s="17" t="n">
        <v>47697.6</v>
      </c>
      <c r="AA21" s="17" t="n">
        <v>14490.72</v>
      </c>
      <c r="AB21" s="17" t="n">
        <v>14490.72</v>
      </c>
      <c r="AC21" s="17" t="n">
        <v>14491.2</v>
      </c>
      <c r="AD21" s="17" t="n">
        <v>30</v>
      </c>
      <c r="AE21" s="17" t="n">
        <v>40</v>
      </c>
      <c r="AF21" s="17" t="n">
        <v>6.04</v>
      </c>
      <c r="AG21" s="17" t="n">
        <v>0.1</v>
      </c>
      <c r="AH21" s="17" t="n">
        <v>1.45</v>
      </c>
      <c r="AI21" s="17" t="n">
        <v>7.22</v>
      </c>
      <c r="AJ21" s="17" t="n">
        <v>54.8</v>
      </c>
      <c r="AK21" s="17" t="n">
        <v>14436.4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11:17 IST</t>
        </is>
      </c>
      <c r="O22" s="17" t="n">
        <v>57542.9</v>
      </c>
      <c r="P22" s="17" t="n">
        <v>57727.35</v>
      </c>
      <c r="Q22" s="17" t="inlineStr">
        <is>
          <t>57400 CE</t>
        </is>
      </c>
      <c r="R22" s="17" t="inlineStr">
        <is>
          <t>57600 CE</t>
        </is>
      </c>
      <c r="S22" s="17" t="n">
        <v>16</v>
      </c>
      <c r="T22" s="17" t="n">
        <v>30</v>
      </c>
      <c r="U22" s="17" t="n">
        <v>480</v>
      </c>
      <c r="V22" s="17" t="n">
        <v>99.29000000000001</v>
      </c>
      <c r="W22" s="17" t="n">
        <v>129.08</v>
      </c>
      <c r="X22" s="17" t="n">
        <v>47659.2</v>
      </c>
      <c r="Y22" s="17" t="n">
        <v>47713.9</v>
      </c>
      <c r="Z22" s="17" t="n">
        <v>48340.8</v>
      </c>
      <c r="AA22" s="17" t="n">
        <v>14297.76</v>
      </c>
      <c r="AB22" s="17" t="n">
        <v>14297.76</v>
      </c>
      <c r="AC22" s="17" t="n">
        <v>14299.2</v>
      </c>
      <c r="AD22" s="17" t="n">
        <v>30</v>
      </c>
      <c r="AE22" s="17" t="n">
        <v>40</v>
      </c>
      <c r="AF22" s="17" t="n">
        <v>5.96</v>
      </c>
      <c r="AG22" s="17" t="n">
        <v>0.1</v>
      </c>
      <c r="AH22" s="17" t="n">
        <v>1.43</v>
      </c>
      <c r="AI22" s="17" t="n">
        <v>7.22</v>
      </c>
      <c r="AJ22" s="17" t="n">
        <v>54.7</v>
      </c>
      <c r="AK22" s="17" t="n">
        <v>14244.5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BANKNIFTY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SKIP</t>
        </is>
      </c>
      <c r="G23" s="17" t="inlineStr">
        <is>
          <t>Conflicting — Price:BEARISH EMA:BULLISH</t>
        </is>
      </c>
      <c r="H23" s="17" t="n">
        <v>57703.9</v>
      </c>
      <c r="I23" s="17" t="n">
        <v>56657.09</v>
      </c>
      <c r="J23" s="17" t="inlineStr">
        <is>
          <t>2026-07-30</t>
        </is>
      </c>
      <c r="K23" s="17" t="inlineStr">
        <is>
          <t>MONTHLY</t>
        </is>
      </c>
      <c r="L23" s="17" t="n">
        <v>28</v>
      </c>
      <c r="M23" s="17" t="inlineStr">
        <is>
          <t>09:20 IST</t>
        </is>
      </c>
      <c r="N23" s="17" t="inlineStr">
        <is>
          <t>11:55 IST</t>
        </is>
      </c>
      <c r="O23" s="17" t="n">
        <v>58031.65</v>
      </c>
      <c r="P23" s="17" t="n">
        <v>58033.05</v>
      </c>
      <c r="Q23" s="17" t="inlineStr">
        <is>
          <t>58000 CE</t>
        </is>
      </c>
      <c r="R23" s="17" t="inlineStr">
        <is>
          <t>58200 CE</t>
        </is>
      </c>
      <c r="S23" s="17" t="n">
        <v>16</v>
      </c>
      <c r="T23" s="17" t="n">
        <v>30</v>
      </c>
      <c r="U23" s="17" t="n">
        <v>480</v>
      </c>
      <c r="V23" s="17" t="n">
        <v>98.04000000000001</v>
      </c>
      <c r="W23" s="17" t="n">
        <v>127.45</v>
      </c>
      <c r="X23" s="17" t="n">
        <v>47059.2</v>
      </c>
      <c r="Y23" s="17" t="n">
        <v>47113.81</v>
      </c>
      <c r="Z23" s="17" t="n">
        <v>48940.8</v>
      </c>
      <c r="AA23" s="17" t="n">
        <v>14117.76</v>
      </c>
      <c r="AB23" s="17" t="n">
        <v>14117.76</v>
      </c>
      <c r="AC23" s="17" t="n">
        <v>14116.8</v>
      </c>
      <c r="AD23" s="17" t="n">
        <v>30</v>
      </c>
      <c r="AE23" s="17" t="n">
        <v>40</v>
      </c>
      <c r="AF23" s="17" t="n">
        <v>5.88</v>
      </c>
      <c r="AG23" s="17" t="n">
        <v>0.09</v>
      </c>
      <c r="AH23" s="17" t="n">
        <v>1.41</v>
      </c>
      <c r="AI23" s="17" t="n">
        <v>7.22</v>
      </c>
      <c r="AJ23" s="17" t="n">
        <v>54.61</v>
      </c>
      <c r="AK23" s="17" t="n">
        <v>14062.19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BANKNIFTY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Price↑(58033.05&gt;57542.9) &amp; EMA9↑(57621.96&gt;56519.64)</t>
        </is>
      </c>
      <c r="H24" s="17" t="n">
        <v>57621.96</v>
      </c>
      <c r="I24" s="17" t="n">
        <v>56519.64</v>
      </c>
      <c r="J24" s="17" t="inlineStr">
        <is>
          <t>2026-07-30</t>
        </is>
      </c>
      <c r="K24" s="17" t="inlineStr">
        <is>
          <t>MONTHLY</t>
        </is>
      </c>
      <c r="L24" s="17" t="n">
        <v>28</v>
      </c>
      <c r="M24" s="17" t="inlineStr">
        <is>
          <t>09:20 IST</t>
        </is>
      </c>
      <c r="N24" s="17" t="inlineStr">
        <is>
          <t>11:02 IST</t>
        </is>
      </c>
      <c r="O24" s="17" t="n">
        <v>58033.05</v>
      </c>
      <c r="P24" s="17" t="n">
        <v>57542.9</v>
      </c>
      <c r="Q24" s="17" t="inlineStr">
        <is>
          <t>58000 CE</t>
        </is>
      </c>
      <c r="R24" s="17" t="inlineStr">
        <is>
          <t>58200 CE</t>
        </is>
      </c>
      <c r="S24" s="17" t="n">
        <v>18</v>
      </c>
      <c r="T24" s="17" t="n">
        <v>30</v>
      </c>
      <c r="U24" s="17" t="n">
        <v>540</v>
      </c>
      <c r="V24" s="17" t="n">
        <v>89.5</v>
      </c>
      <c r="W24" s="17" t="n">
        <v>116.35</v>
      </c>
      <c r="X24" s="17" t="n">
        <v>48330</v>
      </c>
      <c r="Y24" s="17" t="n">
        <v>48384.81</v>
      </c>
      <c r="Z24" s="17" t="n">
        <v>59670</v>
      </c>
      <c r="AA24" s="17" t="n">
        <v>14499</v>
      </c>
      <c r="AB24" s="17" t="n">
        <v>14499</v>
      </c>
      <c r="AC24" s="17" t="n">
        <v>14499</v>
      </c>
      <c r="AD24" s="17" t="n">
        <v>30</v>
      </c>
      <c r="AE24" s="17" t="n">
        <v>40</v>
      </c>
      <c r="AF24" s="17" t="n">
        <v>6.04</v>
      </c>
      <c r="AG24" s="17" t="n">
        <v>0.1</v>
      </c>
      <c r="AH24" s="17" t="n">
        <v>1.45</v>
      </c>
      <c r="AI24" s="17" t="n">
        <v>7.22</v>
      </c>
      <c r="AJ24" s="17" t="n">
        <v>54.81</v>
      </c>
      <c r="AK24" s="17" t="n">
        <v>14444.19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11:20 IST</t>
        </is>
      </c>
      <c r="O25" s="17" t="n">
        <v>57938.5</v>
      </c>
      <c r="P25" s="17" t="n">
        <v>58031.65</v>
      </c>
      <c r="Q25" s="17" t="inlineStr">
        <is>
          <t>57800 CE</t>
        </is>
      </c>
      <c r="R25" s="17" t="inlineStr">
        <is>
          <t>58000 CE</t>
        </is>
      </c>
      <c r="S25" s="17" t="n">
        <v>19</v>
      </c>
      <c r="T25" s="17" t="n">
        <v>30</v>
      </c>
      <c r="U25" s="17" t="n">
        <v>570</v>
      </c>
      <c r="V25" s="17" t="n">
        <v>84.70999999999999</v>
      </c>
      <c r="W25" s="17" t="n">
        <v>110.12</v>
      </c>
      <c r="X25" s="17" t="n">
        <v>48284.7</v>
      </c>
      <c r="Y25" s="17" t="n">
        <v>48339.5</v>
      </c>
      <c r="Z25" s="17" t="n">
        <v>65715.3</v>
      </c>
      <c r="AA25" s="17" t="n">
        <v>14485.41</v>
      </c>
      <c r="AB25" s="17" t="n">
        <v>14485.41</v>
      </c>
      <c r="AC25" s="17" t="n">
        <v>14483.7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14428.9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6" t="inlineStr">
        <is>
          <t>2026-07-04</t>
        </is>
      </c>
      <c r="B26" s="16" t="inlineStr">
        <is>
          <t>BANKNIFTY</t>
        </is>
      </c>
      <c r="C26" s="16" t="inlineStr">
        <is>
          <t>Bull Call Spread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SKIP</t>
        </is>
      </c>
      <c r="G26" s="16" t="inlineStr">
        <is>
          <t>Conflicting — Price:BEARISH EMA:BULLISH</t>
        </is>
      </c>
      <c r="H26" s="16" t="n">
        <v>57704.35</v>
      </c>
      <c r="I26" s="16" t="n">
        <v>56655.75</v>
      </c>
      <c r="J26" s="16" t="inlineStr">
        <is>
          <t>2026-07-30</t>
        </is>
      </c>
      <c r="K26" s="16" t="inlineStr">
        <is>
          <t>MONTHLY</t>
        </is>
      </c>
      <c r="L26" s="16" t="n">
        <v>27</v>
      </c>
      <c r="M26" s="16" t="inlineStr">
        <is>
          <t>09:20 IST</t>
        </is>
      </c>
      <c r="N26" s="16" t="inlineStr">
        <is>
          <t>14:36 IST</t>
        </is>
      </c>
      <c r="O26" s="16" t="n">
        <v>58031.65</v>
      </c>
      <c r="P26" s="16" t="n">
        <v>58033.05</v>
      </c>
      <c r="Q26" s="16" t="inlineStr">
        <is>
          <t>58000 CE</t>
        </is>
      </c>
      <c r="R26" s="16" t="inlineStr">
        <is>
          <t>58200 CE</t>
        </is>
      </c>
      <c r="S26" s="16" t="n">
        <v>15</v>
      </c>
      <c r="T26" s="16" t="n">
        <v>30</v>
      </c>
      <c r="U26" s="16" t="n">
        <v>450</v>
      </c>
      <c r="V26" s="16" t="n">
        <v>103.4</v>
      </c>
      <c r="W26" s="16" t="n">
        <v>107</v>
      </c>
      <c r="X26" s="16" t="n">
        <v>46530</v>
      </c>
      <c r="Y26" s="16" t="n">
        <v>46584.52</v>
      </c>
      <c r="Z26" s="16" t="n">
        <v>43470</v>
      </c>
      <c r="AA26" s="16" t="n">
        <v>13959</v>
      </c>
      <c r="AB26" s="16" t="n">
        <v>13959</v>
      </c>
      <c r="AC26" s="16" t="n">
        <v>1620</v>
      </c>
      <c r="AD26" s="16" t="n">
        <v>3.5</v>
      </c>
      <c r="AE26" s="16" t="n">
        <v>40</v>
      </c>
      <c r="AF26" s="16" t="n">
        <v>5.82</v>
      </c>
      <c r="AG26" s="16" t="n">
        <v>0.09</v>
      </c>
      <c r="AH26" s="16" t="n">
        <v>1.4</v>
      </c>
      <c r="AI26" s="16" t="n">
        <v>7.22</v>
      </c>
      <c r="AJ26" s="16" t="n">
        <v>54.52</v>
      </c>
      <c r="AK26" s="16" t="n">
        <v>1565.48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BANKNIFTY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Price↑(58291.5&gt;57938.5) &amp; EMA9↑(57858.32&gt;56864.47)</t>
        </is>
      </c>
      <c r="H27" s="17" t="n">
        <v>57858.32</v>
      </c>
      <c r="I27" s="17" t="n">
        <v>56864.47</v>
      </c>
      <c r="J27" s="17" t="inlineStr">
        <is>
          <t>2026-07-30</t>
        </is>
      </c>
      <c r="K27" s="17" t="inlineStr">
        <is>
          <t>MONTHLY</t>
        </is>
      </c>
      <c r="L27" s="17" t="n">
        <v>24</v>
      </c>
      <c r="M27" s="17" t="inlineStr">
        <is>
          <t>09:20 IST</t>
        </is>
      </c>
      <c r="N27" s="17" t="inlineStr">
        <is>
          <t>11:07 IST</t>
        </is>
      </c>
      <c r="O27" s="17" t="n">
        <v>58291.5</v>
      </c>
      <c r="P27" s="17" t="n">
        <v>57938.5</v>
      </c>
      <c r="Q27" s="17" t="inlineStr">
        <is>
          <t>58200 CE</t>
        </is>
      </c>
      <c r="R27" s="17" t="inlineStr">
        <is>
          <t>58400 CE</t>
        </is>
      </c>
      <c r="S27" s="17" t="n">
        <v>15</v>
      </c>
      <c r="T27" s="17" t="n">
        <v>30</v>
      </c>
      <c r="U27" s="17" t="n">
        <v>450</v>
      </c>
      <c r="V27" s="17" t="n">
        <v>106.82</v>
      </c>
      <c r="W27" s="17" t="n">
        <v>138.87</v>
      </c>
      <c r="X27" s="17" t="n">
        <v>48069</v>
      </c>
      <c r="Y27" s="17" t="n">
        <v>48123.76</v>
      </c>
      <c r="Z27" s="17" t="n">
        <v>41931</v>
      </c>
      <c r="AA27" s="17" t="n">
        <v>14420.7</v>
      </c>
      <c r="AB27" s="17" t="n">
        <v>14420.7</v>
      </c>
      <c r="AC27" s="17" t="n">
        <v>14422.5</v>
      </c>
      <c r="AD27" s="17" t="n">
        <v>30</v>
      </c>
      <c r="AE27" s="17" t="n">
        <v>40</v>
      </c>
      <c r="AF27" s="17" t="n">
        <v>6.01</v>
      </c>
      <c r="AG27" s="17" t="n">
        <v>0.1</v>
      </c>
      <c r="AH27" s="17" t="n">
        <v>1.44</v>
      </c>
      <c r="AI27" s="17" t="n">
        <v>7.22</v>
      </c>
      <c r="AJ27" s="17" t="n">
        <v>54.76</v>
      </c>
      <c r="AK27" s="17" t="n">
        <v>14367.74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2026-07-07</t>
        </is>
      </c>
      <c r="B28" s="16" t="inlineStr">
        <is>
          <t>BANKNIFTY</t>
        </is>
      </c>
      <c r="C28" s="16" t="inlineStr">
        <is>
          <t>Bull Call Spread</t>
        </is>
      </c>
      <c r="D28" s="16" t="inlineStr">
        <is>
          <t>Bull Call Spread</t>
        </is>
      </c>
      <c r="E28" s="16" t="inlineStr">
        <is>
          <t>SIMULATED</t>
        </is>
      </c>
      <c r="F28" s="16" t="inlineStr">
        <is>
          <t>SKIP</t>
        </is>
      </c>
      <c r="G28" s="16" t="inlineStr">
        <is>
          <t>Conflicting — Price:BEARISH EMA:BULLISH</t>
        </is>
      </c>
      <c r="H28" s="16" t="n">
        <v>57750.02</v>
      </c>
      <c r="I28" s="16" t="n">
        <v>56721.77</v>
      </c>
      <c r="J28" s="16" t="inlineStr">
        <is>
          <t>2026-07-30</t>
        </is>
      </c>
      <c r="K28" s="16" t="inlineStr">
        <is>
          <t>MONTHLY</t>
        </is>
      </c>
      <c r="L28" s="16" t="n">
        <v>24</v>
      </c>
      <c r="M28" s="16" t="inlineStr">
        <is>
          <t>09:20 IST</t>
        </is>
      </c>
      <c r="N28" s="16" t="inlineStr">
        <is>
          <t>13:57 IST</t>
        </is>
      </c>
      <c r="O28" s="16" t="n">
        <v>57938.5</v>
      </c>
      <c r="P28" s="16" t="n">
        <v>58031.65</v>
      </c>
      <c r="Q28" s="16" t="inlineStr">
        <is>
          <t>57800 CE</t>
        </is>
      </c>
      <c r="R28" s="16" t="inlineStr">
        <is>
          <t>58000 CE</t>
        </is>
      </c>
      <c r="S28" s="16" t="n">
        <v>15</v>
      </c>
      <c r="T28" s="16" t="n">
        <v>30</v>
      </c>
      <c r="U28" s="16" t="n">
        <v>450</v>
      </c>
      <c r="V28" s="16" t="n">
        <v>109.62</v>
      </c>
      <c r="W28" s="16" t="n">
        <v>111.18</v>
      </c>
      <c r="X28" s="16" t="n">
        <v>49329</v>
      </c>
      <c r="Y28" s="16" t="n">
        <v>49383.96</v>
      </c>
      <c r="Z28" s="16" t="n">
        <v>40671</v>
      </c>
      <c r="AA28" s="16" t="n">
        <v>14798.7</v>
      </c>
      <c r="AB28" s="16" t="n">
        <v>14798.7</v>
      </c>
      <c r="AC28" s="16" t="n">
        <v>702</v>
      </c>
      <c r="AD28" s="16" t="n">
        <v>1.4</v>
      </c>
      <c r="AE28" s="16" t="n">
        <v>40</v>
      </c>
      <c r="AF28" s="16" t="n">
        <v>6.17</v>
      </c>
      <c r="AG28" s="16" t="n">
        <v>0.1</v>
      </c>
      <c r="AH28" s="16" t="n">
        <v>1.48</v>
      </c>
      <c r="AI28" s="16" t="n">
        <v>7.22</v>
      </c>
      <c r="AJ28" s="16" t="n">
        <v>54.96</v>
      </c>
      <c r="AK28" s="16" t="n">
        <v>647.04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BANKNIFTY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57924.34</v>
      </c>
      <c r="I29" s="17" t="n">
        <v>56950.61</v>
      </c>
      <c r="J29" s="17" t="inlineStr">
        <is>
          <t>2026-07-30</t>
        </is>
      </c>
      <c r="K29" s="17" t="inlineStr">
        <is>
          <t>MONTHLY</t>
        </is>
      </c>
      <c r="L29" s="17" t="n">
        <v>23</v>
      </c>
      <c r="M29" s="17" t="inlineStr">
        <is>
          <t>09:20 IST</t>
        </is>
      </c>
      <c r="N29" s="17" t="inlineStr">
        <is>
          <t>10:00 IST</t>
        </is>
      </c>
      <c r="O29" s="17" t="n">
        <v>58200.7</v>
      </c>
      <c r="P29" s="17" t="n">
        <v>58291.5</v>
      </c>
      <c r="Q29" s="17" t="inlineStr">
        <is>
          <t>58200 CE</t>
        </is>
      </c>
      <c r="R29" s="17" t="inlineStr">
        <is>
          <t>58400 CE</t>
        </is>
      </c>
      <c r="S29" s="17" t="n">
        <v>16</v>
      </c>
      <c r="T29" s="17" t="n">
        <v>30</v>
      </c>
      <c r="U29" s="17" t="n">
        <v>480</v>
      </c>
      <c r="V29" s="17" t="n">
        <v>100.6</v>
      </c>
      <c r="W29" s="17" t="n">
        <v>130.78</v>
      </c>
      <c r="X29" s="17" t="n">
        <v>48288</v>
      </c>
      <c r="Y29" s="17" t="n">
        <v>48342.8</v>
      </c>
      <c r="Z29" s="17" t="n">
        <v>47712</v>
      </c>
      <c r="AA29" s="17" t="n">
        <v>14486.4</v>
      </c>
      <c r="AB29" s="17" t="n">
        <v>14486.4</v>
      </c>
      <c r="AC29" s="17" t="n">
        <v>14486.4</v>
      </c>
      <c r="AD29" s="17" t="n">
        <v>30</v>
      </c>
      <c r="AE29" s="17" t="n">
        <v>40</v>
      </c>
      <c r="AF29" s="17" t="n">
        <v>6.04</v>
      </c>
      <c r="AG29" s="17" t="n">
        <v>0.1</v>
      </c>
      <c r="AH29" s="17" t="n">
        <v>1.45</v>
      </c>
      <c r="AI29" s="17" t="n">
        <v>7.22</v>
      </c>
      <c r="AJ29" s="17" t="n">
        <v>54.8</v>
      </c>
      <c r="AK29" s="17" t="n">
        <v>14431.6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BANKNIFTY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Price↑(58291.5&gt;57938.5) &amp; EMA9↑(57855.26&gt;56825.6)</t>
        </is>
      </c>
      <c r="H30" s="15" t="n">
        <v>57855.26</v>
      </c>
      <c r="I30" s="15" t="n">
        <v>56825.6</v>
      </c>
      <c r="J30" s="15" t="inlineStr">
        <is>
          <t>2026-07-30</t>
        </is>
      </c>
      <c r="K30" s="15" t="inlineStr">
        <is>
          <t>MONTHLY</t>
        </is>
      </c>
      <c r="L30" s="15" t="n">
        <v>23</v>
      </c>
      <c r="M30" s="15" t="inlineStr">
        <is>
          <t>09:20 IST</t>
        </is>
      </c>
      <c r="N30" s="15" t="inlineStr">
        <is>
          <t>10:13 IST</t>
        </is>
      </c>
      <c r="O30" s="15" t="n">
        <v>58291.5</v>
      </c>
      <c r="P30" s="15" t="n">
        <v>57938.5</v>
      </c>
      <c r="Q30" s="15" t="inlineStr">
        <is>
          <t>58200 CE</t>
        </is>
      </c>
      <c r="R30" s="15" t="inlineStr">
        <is>
          <t>58400 CE</t>
        </is>
      </c>
      <c r="S30" s="15" t="n">
        <v>18</v>
      </c>
      <c r="T30" s="15" t="n">
        <v>30</v>
      </c>
      <c r="U30" s="15" t="n">
        <v>540</v>
      </c>
      <c r="V30" s="15" t="n">
        <v>89.55</v>
      </c>
      <c r="W30" s="15" t="n">
        <v>62.68</v>
      </c>
      <c r="X30" s="15" t="n">
        <v>48357</v>
      </c>
      <c r="Y30" s="15" t="n">
        <v>48411.81</v>
      </c>
      <c r="Z30" s="15" t="n">
        <v>59643</v>
      </c>
      <c r="AA30" s="15" t="n">
        <v>14507.1</v>
      </c>
      <c r="AB30" s="15" t="n">
        <v>14507.1</v>
      </c>
      <c r="AC30" s="15" t="n">
        <v>-14509.8</v>
      </c>
      <c r="AD30" s="15" t="n">
        <v>-30</v>
      </c>
      <c r="AE30" s="15" t="n">
        <v>40</v>
      </c>
      <c r="AF30" s="15" t="n">
        <v>6.04</v>
      </c>
      <c r="AG30" s="15" t="n">
        <v>0.1</v>
      </c>
      <c r="AH30" s="15" t="n">
        <v>1.45</v>
      </c>
      <c r="AI30" s="15" t="n">
        <v>7.22</v>
      </c>
      <c r="AJ30" s="15" t="n">
        <v>54.81</v>
      </c>
      <c r="AK30" s="15" t="n">
        <v>-14564.61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Bull Call Spread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13:54 IST</t>
        </is>
      </c>
      <c r="O31" s="16" t="n">
        <v>56742.6</v>
      </c>
      <c r="P31" s="16" t="n">
        <v>58200.7</v>
      </c>
      <c r="Q31" s="16" t="inlineStr">
        <is>
          <t>56600 CE</t>
        </is>
      </c>
      <c r="R31" s="16" t="inlineStr">
        <is>
          <t>56800 CE</t>
        </is>
      </c>
      <c r="S31" s="16" t="n">
        <v>19</v>
      </c>
      <c r="T31" s="16" t="n">
        <v>30</v>
      </c>
      <c r="U31" s="16" t="n">
        <v>570</v>
      </c>
      <c r="V31" s="16" t="n">
        <v>84.90000000000001</v>
      </c>
      <c r="W31" s="16" t="n">
        <v>83.98</v>
      </c>
      <c r="X31" s="16" t="n">
        <v>48393</v>
      </c>
      <c r="Y31" s="16" t="n">
        <v>48447.82</v>
      </c>
      <c r="Z31" s="16" t="n">
        <v>65607</v>
      </c>
      <c r="AA31" s="16" t="n">
        <v>14517.9</v>
      </c>
      <c r="AB31" s="16" t="n">
        <v>14517.9</v>
      </c>
      <c r="AC31" s="16" t="n">
        <v>-524.4</v>
      </c>
      <c r="AD31" s="16" t="n">
        <v>-1.1</v>
      </c>
      <c r="AE31" s="16" t="n">
        <v>40</v>
      </c>
      <c r="AF31" s="16" t="n">
        <v>6.05</v>
      </c>
      <c r="AG31" s="16" t="n">
        <v>0.1</v>
      </c>
      <c r="AH31" s="16" t="n">
        <v>1.45</v>
      </c>
      <c r="AI31" s="16" t="n">
        <v>7.22</v>
      </c>
      <c r="AJ31" s="16" t="n">
        <v>54.82</v>
      </c>
      <c r="AK31" s="16" t="n">
        <v>-579.22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Bull Call Spread</t>
        </is>
      </c>
      <c r="D32" s="17" t="inlineStr">
        <is>
          <t>Bull Call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11:05 IST</t>
        </is>
      </c>
      <c r="O32" s="17" t="n">
        <v>58200.7</v>
      </c>
      <c r="P32" s="17" t="n">
        <v>58291.5</v>
      </c>
      <c r="Q32" s="17" t="inlineStr">
        <is>
          <t>58200 CE</t>
        </is>
      </c>
      <c r="R32" s="17" t="inlineStr">
        <is>
          <t>58400 CE</t>
        </is>
      </c>
      <c r="S32" s="17" t="n">
        <v>16</v>
      </c>
      <c r="T32" s="17" t="n">
        <v>30</v>
      </c>
      <c r="U32" s="17" t="n">
        <v>480</v>
      </c>
      <c r="V32" s="17" t="n">
        <v>97.42</v>
      </c>
      <c r="W32" s="17" t="n">
        <v>126.65</v>
      </c>
      <c r="X32" s="17" t="n">
        <v>46761.6</v>
      </c>
      <c r="Y32" s="17" t="n">
        <v>46816.16</v>
      </c>
      <c r="Z32" s="17" t="n">
        <v>49238.4</v>
      </c>
      <c r="AA32" s="17" t="n">
        <v>14028.48</v>
      </c>
      <c r="AB32" s="17" t="n">
        <v>14028.48</v>
      </c>
      <c r="AC32" s="17" t="n">
        <v>14030.4</v>
      </c>
      <c r="AD32" s="17" t="n">
        <v>30</v>
      </c>
      <c r="AE32" s="17" t="n">
        <v>40</v>
      </c>
      <c r="AF32" s="17" t="n">
        <v>5.85</v>
      </c>
      <c r="AG32" s="17" t="n">
        <v>0.09</v>
      </c>
      <c r="AH32" s="17" t="n">
        <v>1.4</v>
      </c>
      <c r="AI32" s="17" t="n">
        <v>7.22</v>
      </c>
      <c r="AJ32" s="17" t="n">
        <v>54.56</v>
      </c>
      <c r="AK32" s="17" t="n">
        <v>13975.84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6" t="inlineStr">
        <is>
          <t>2026-07-09</t>
        </is>
      </c>
      <c r="B33" s="16" t="inlineStr">
        <is>
          <t>BANKNIFTY</t>
        </is>
      </c>
      <c r="C33" s="16" t="inlineStr">
        <is>
          <t>Bull Call Spread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Price↑(57252.45&gt;56742.6) &amp; EMA9↑(57599.36&gt;56949.35)</t>
        </is>
      </c>
      <c r="H33" s="16" t="n">
        <v>57599.36</v>
      </c>
      <c r="I33" s="16" t="n">
        <v>56949.35</v>
      </c>
      <c r="J33" s="16" t="inlineStr">
        <is>
          <t>2026-07-30</t>
        </is>
      </c>
      <c r="K33" s="16" t="inlineStr">
        <is>
          <t>MONTHLY</t>
        </is>
      </c>
      <c r="L33" s="16" t="n">
        <v>21</v>
      </c>
      <c r="M33" s="16" t="inlineStr">
        <is>
          <t>09:20 IST</t>
        </is>
      </c>
      <c r="N33" s="16" t="inlineStr">
        <is>
          <t>14:12 IST</t>
        </is>
      </c>
      <c r="O33" s="16" t="n">
        <v>57252.45</v>
      </c>
      <c r="P33" s="16" t="n">
        <v>56742.6</v>
      </c>
      <c r="Q33" s="16" t="inlineStr">
        <is>
          <t>57200 CE</t>
        </is>
      </c>
      <c r="R33" s="16" t="inlineStr">
        <is>
          <t>57400 CE</t>
        </is>
      </c>
      <c r="S33" s="16" t="n">
        <v>18</v>
      </c>
      <c r="T33" s="16" t="n">
        <v>30</v>
      </c>
      <c r="U33" s="16" t="n">
        <v>540</v>
      </c>
      <c r="V33" s="16" t="n">
        <v>89.91</v>
      </c>
      <c r="W33" s="16" t="n">
        <v>86.37</v>
      </c>
      <c r="X33" s="16" t="n">
        <v>48551.4</v>
      </c>
      <c r="Y33" s="16" t="n">
        <v>48606.24</v>
      </c>
      <c r="Z33" s="16" t="n">
        <v>59448.6</v>
      </c>
      <c r="AA33" s="16" t="n">
        <v>14565.42</v>
      </c>
      <c r="AB33" s="16" t="n">
        <v>14565.42</v>
      </c>
      <c r="AC33" s="16" t="n">
        <v>-1911.6</v>
      </c>
      <c r="AD33" s="16" t="n">
        <v>-3.9</v>
      </c>
      <c r="AE33" s="16" t="n">
        <v>40</v>
      </c>
      <c r="AF33" s="16" t="n">
        <v>6.07</v>
      </c>
      <c r="AG33" s="16" t="n">
        <v>0.1</v>
      </c>
      <c r="AH33" s="16" t="n">
        <v>1.46</v>
      </c>
      <c r="AI33" s="16" t="n">
        <v>7.22</v>
      </c>
      <c r="AJ33" s="16" t="n">
        <v>54.84</v>
      </c>
      <c r="AK33" s="16" t="n">
        <v>-1966.44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BANKNIFTY</t>
        </is>
      </c>
      <c r="C34" s="17" t="inlineStr">
        <is>
          <t>Bull Call Spread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57686.08</v>
      </c>
      <c r="I34" s="17" t="n">
        <v>56919.04</v>
      </c>
      <c r="J34" s="17" t="inlineStr">
        <is>
          <t>2026-07-30</t>
        </is>
      </c>
      <c r="K34" s="17" t="inlineStr">
        <is>
          <t>MONTHLY</t>
        </is>
      </c>
      <c r="L34" s="17" t="n">
        <v>21</v>
      </c>
      <c r="M34" s="17" t="inlineStr">
        <is>
          <t>09:20 IST</t>
        </is>
      </c>
      <c r="N34" s="17" t="inlineStr">
        <is>
          <t>09:56 IST</t>
        </is>
      </c>
      <c r="O34" s="17" t="n">
        <v>56742.6</v>
      </c>
      <c r="P34" s="17" t="n">
        <v>58200.7</v>
      </c>
      <c r="Q34" s="17" t="inlineStr">
        <is>
          <t>56600 CE</t>
        </is>
      </c>
      <c r="R34" s="17" t="inlineStr">
        <is>
          <t>56800 CE</t>
        </is>
      </c>
      <c r="S34" s="17" t="n">
        <v>17</v>
      </c>
      <c r="T34" s="17" t="n">
        <v>30</v>
      </c>
      <c r="U34" s="17" t="n">
        <v>510</v>
      </c>
      <c r="V34" s="17" t="n">
        <v>96.23</v>
      </c>
      <c r="W34" s="17" t="n">
        <v>125.1</v>
      </c>
      <c r="X34" s="17" t="n">
        <v>49077.3</v>
      </c>
      <c r="Y34" s="17" t="n">
        <v>49132.22</v>
      </c>
      <c r="Z34" s="17" t="n">
        <v>52922.7</v>
      </c>
      <c r="AA34" s="17" t="n">
        <v>14723.19</v>
      </c>
      <c r="AB34" s="17" t="n">
        <v>14723.19</v>
      </c>
      <c r="AC34" s="17" t="n">
        <v>14723.7</v>
      </c>
      <c r="AD34" s="17" t="n">
        <v>30</v>
      </c>
      <c r="AE34" s="17" t="n">
        <v>40</v>
      </c>
      <c r="AF34" s="17" t="n">
        <v>6.13</v>
      </c>
      <c r="AG34" s="17" t="n">
        <v>0.1</v>
      </c>
      <c r="AH34" s="17" t="n">
        <v>1.47</v>
      </c>
      <c r="AI34" s="17" t="n">
        <v>7.22</v>
      </c>
      <c r="AJ34" s="17" t="n">
        <v>54.92</v>
      </c>
      <c r="AK34" s="17" t="n">
        <v>14668.78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BANKNIFTY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Price↑(58045.9&gt;57252.45) &amp; EMA9↑(57687.91&gt;57060.71)</t>
        </is>
      </c>
      <c r="H35" s="16" t="n">
        <v>57687.91</v>
      </c>
      <c r="I35" s="16" t="n">
        <v>57060.71</v>
      </c>
      <c r="J35" s="16" t="inlineStr">
        <is>
          <t>2026-07-30</t>
        </is>
      </c>
      <c r="K35" s="16" t="inlineStr">
        <is>
          <t>MONTHLY</t>
        </is>
      </c>
      <c r="L35" s="16" t="n">
        <v>20</v>
      </c>
      <c r="M35" s="16" t="inlineStr">
        <is>
          <t>09:20 IST</t>
        </is>
      </c>
      <c r="N35" s="16" t="inlineStr">
        <is>
          <t>13:53 IST</t>
        </is>
      </c>
      <c r="O35" s="16" t="n">
        <v>58045.9</v>
      </c>
      <c r="P35" s="16" t="n">
        <v>57252.45</v>
      </c>
      <c r="Q35" s="16" t="inlineStr">
        <is>
          <t>58000 CE</t>
        </is>
      </c>
      <c r="R35" s="16" t="inlineStr">
        <is>
          <t>58200 CE</t>
        </is>
      </c>
      <c r="S35" s="16" t="n">
        <v>17</v>
      </c>
      <c r="T35" s="16" t="n">
        <v>30</v>
      </c>
      <c r="U35" s="16" t="n">
        <v>510</v>
      </c>
      <c r="V35" s="16" t="n">
        <v>92.65000000000001</v>
      </c>
      <c r="W35" s="16" t="n">
        <v>94.56999999999999</v>
      </c>
      <c r="X35" s="16" t="n">
        <v>47251.5</v>
      </c>
      <c r="Y35" s="16" t="n">
        <v>47306.14</v>
      </c>
      <c r="Z35" s="16" t="n">
        <v>54748.5</v>
      </c>
      <c r="AA35" s="16" t="n">
        <v>14175.45</v>
      </c>
      <c r="AB35" s="16" t="n">
        <v>14175.45</v>
      </c>
      <c r="AC35" s="16" t="n">
        <v>979.2</v>
      </c>
      <c r="AD35" s="16" t="n">
        <v>2.1</v>
      </c>
      <c r="AE35" s="16" t="n">
        <v>40</v>
      </c>
      <c r="AF35" s="16" t="n">
        <v>5.91</v>
      </c>
      <c r="AG35" s="16" t="n">
        <v>0.09</v>
      </c>
      <c r="AH35" s="16" t="n">
        <v>1.42</v>
      </c>
      <c r="AI35" s="16" t="n">
        <v>7.22</v>
      </c>
      <c r="AJ35" s="16" t="n">
        <v>54.64</v>
      </c>
      <c r="AK35" s="16" t="n">
        <v>924.5599999999999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BANKNIFTY</t>
        </is>
      </c>
      <c r="C36" s="17" t="inlineStr">
        <is>
          <t>Bull Call Spread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Price↑(57252.45&gt;56742.6) &amp; EMA9↑(57598.41&gt;56962.19)</t>
        </is>
      </c>
      <c r="H36" s="17" t="n">
        <v>57598.41</v>
      </c>
      <c r="I36" s="17" t="n">
        <v>56962.19</v>
      </c>
      <c r="J36" s="17" t="inlineStr">
        <is>
          <t>2026-07-30</t>
        </is>
      </c>
      <c r="K36" s="17" t="inlineStr">
        <is>
          <t>MONTHLY</t>
        </is>
      </c>
      <c r="L36" s="17" t="n">
        <v>20</v>
      </c>
      <c r="M36" s="17" t="inlineStr">
        <is>
          <t>09:20 IST</t>
        </is>
      </c>
      <c r="N36" s="17" t="inlineStr">
        <is>
          <t>10:35 IST</t>
        </is>
      </c>
      <c r="O36" s="17" t="n">
        <v>57252.45</v>
      </c>
      <c r="P36" s="17" t="n">
        <v>56742.6</v>
      </c>
      <c r="Q36" s="17" t="inlineStr">
        <is>
          <t>57200 CE</t>
        </is>
      </c>
      <c r="R36" s="17" t="inlineStr">
        <is>
          <t>57400 CE</t>
        </is>
      </c>
      <c r="S36" s="17" t="n">
        <v>15</v>
      </c>
      <c r="T36" s="17" t="n">
        <v>30</v>
      </c>
      <c r="U36" s="17" t="n">
        <v>450</v>
      </c>
      <c r="V36" s="17" t="n">
        <v>109.69</v>
      </c>
      <c r="W36" s="17" t="n">
        <v>142.6</v>
      </c>
      <c r="X36" s="17" t="n">
        <v>49360.5</v>
      </c>
      <c r="Y36" s="17" t="n">
        <v>49415.47</v>
      </c>
      <c r="Z36" s="17" t="n">
        <v>40639.5</v>
      </c>
      <c r="AA36" s="17" t="n">
        <v>14808.15</v>
      </c>
      <c r="AB36" s="17" t="n">
        <v>14808.15</v>
      </c>
      <c r="AC36" s="17" t="n">
        <v>14809.5</v>
      </c>
      <c r="AD36" s="17" t="n">
        <v>30</v>
      </c>
      <c r="AE36" s="17" t="n">
        <v>40</v>
      </c>
      <c r="AF36" s="17" t="n">
        <v>6.17</v>
      </c>
      <c r="AG36" s="17" t="n">
        <v>0.1</v>
      </c>
      <c r="AH36" s="17" t="n">
        <v>1.48</v>
      </c>
      <c r="AI36" s="17" t="n">
        <v>7.22</v>
      </c>
      <c r="AJ36" s="17" t="n">
        <v>54.97</v>
      </c>
      <c r="AK36" s="17" t="n">
        <v>14754.53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BANKNIFTY</t>
        </is>
      </c>
      <c r="C37" s="16" t="inlineStr">
        <is>
          <t>Bull Call Spread</t>
        </is>
      </c>
      <c r="D37" s="16" t="inlineStr">
        <is>
          <t>Bull Call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Price↑(58131.45&gt;58045.9) &amp; EMA9↑(57775.18&gt;57179.74)</t>
        </is>
      </c>
      <c r="H37" s="16" t="n">
        <v>57775.18</v>
      </c>
      <c r="I37" s="16" t="n">
        <v>57179.74</v>
      </c>
      <c r="J37" s="16" t="inlineStr">
        <is>
          <t>2026-07-30</t>
        </is>
      </c>
      <c r="K37" s="16" t="inlineStr">
        <is>
          <t>MONTHLY</t>
        </is>
      </c>
      <c r="L37" s="16" t="n">
        <v>17</v>
      </c>
      <c r="M37" s="16" t="inlineStr">
        <is>
          <t>09:20 IST</t>
        </is>
      </c>
      <c r="N37" s="16" t="inlineStr">
        <is>
          <t>14:04 IST</t>
        </is>
      </c>
      <c r="O37" s="16" t="n">
        <v>58131.45</v>
      </c>
      <c r="P37" s="16" t="n">
        <v>58045.9</v>
      </c>
      <c r="Q37" s="16" t="inlineStr">
        <is>
          <t>58000 CE</t>
        </is>
      </c>
      <c r="R37" s="16" t="inlineStr">
        <is>
          <t>58200 CE</t>
        </is>
      </c>
      <c r="S37" s="16" t="n">
        <v>15</v>
      </c>
      <c r="T37" s="16" t="n">
        <v>30</v>
      </c>
      <c r="U37" s="16" t="n">
        <v>450</v>
      </c>
      <c r="V37" s="16" t="n">
        <v>105.93</v>
      </c>
      <c r="W37" s="16" t="n">
        <v>110.52</v>
      </c>
      <c r="X37" s="16" t="n">
        <v>47668.5</v>
      </c>
      <c r="Y37" s="16" t="n">
        <v>47723.2</v>
      </c>
      <c r="Z37" s="16" t="n">
        <v>42331.5</v>
      </c>
      <c r="AA37" s="16" t="n">
        <v>14300.55</v>
      </c>
      <c r="AB37" s="16" t="n">
        <v>14300.55</v>
      </c>
      <c r="AC37" s="16" t="n">
        <v>2065.5</v>
      </c>
      <c r="AD37" s="16" t="n">
        <v>4.3</v>
      </c>
      <c r="AE37" s="16" t="n">
        <v>40</v>
      </c>
      <c r="AF37" s="16" t="n">
        <v>5.96</v>
      </c>
      <c r="AG37" s="16" t="n">
        <v>0.1</v>
      </c>
      <c r="AH37" s="16" t="n">
        <v>1.43</v>
      </c>
      <c r="AI37" s="16" t="n">
        <v>7.22</v>
      </c>
      <c r="AJ37" s="16" t="n">
        <v>54.7</v>
      </c>
      <c r="AK37" s="16" t="n">
        <v>2010.8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5" t="inlineStr">
        <is>
          <t>2026-07-14</t>
        </is>
      </c>
      <c r="B38" s="15" t="inlineStr">
        <is>
          <t>BANKNIFTY</t>
        </is>
      </c>
      <c r="C38" s="15" t="inlineStr">
        <is>
          <t>Bull Call Spread</t>
        </is>
      </c>
      <c r="D38" s="15" t="inlineStr">
        <is>
          <t>Bull Call Spread</t>
        </is>
      </c>
      <c r="E38" s="15" t="inlineStr">
        <is>
          <t>SIMULATED</t>
        </is>
      </c>
      <c r="F38" s="15" t="inlineStr">
        <is>
          <t>BULLISH</t>
        </is>
      </c>
      <c r="G38" s="15" t="inlineStr">
        <is>
          <t>Price↑(58045.9&gt;57252.45) &amp; EMA9↑(57686.12&gt;57084.57)</t>
        </is>
      </c>
      <c r="H38" s="15" t="n">
        <v>57686.12</v>
      </c>
      <c r="I38" s="15" t="n">
        <v>57084.57</v>
      </c>
      <c r="J38" s="15" t="inlineStr">
        <is>
          <t>2026-07-30</t>
        </is>
      </c>
      <c r="K38" s="15" t="inlineStr">
        <is>
          <t>MONTHLY</t>
        </is>
      </c>
      <c r="L38" s="15" t="n">
        <v>17</v>
      </c>
      <c r="M38" s="15" t="inlineStr">
        <is>
          <t>09:20 IST</t>
        </is>
      </c>
      <c r="N38" s="15" t="inlineStr">
        <is>
          <t>09:53 IST</t>
        </is>
      </c>
      <c r="O38" s="15" t="n">
        <v>58045.9</v>
      </c>
      <c r="P38" s="15" t="n">
        <v>57252.45</v>
      </c>
      <c r="Q38" s="15" t="inlineStr">
        <is>
          <t>58000 CE</t>
        </is>
      </c>
      <c r="R38" s="15" t="inlineStr">
        <is>
          <t>58200 CE</t>
        </is>
      </c>
      <c r="S38" s="15" t="n">
        <v>15</v>
      </c>
      <c r="T38" s="15" t="n">
        <v>30</v>
      </c>
      <c r="U38" s="15" t="n">
        <v>450</v>
      </c>
      <c r="V38" s="15" t="n">
        <v>103.03</v>
      </c>
      <c r="W38" s="15" t="n">
        <v>72.12</v>
      </c>
      <c r="X38" s="15" t="n">
        <v>46363.5</v>
      </c>
      <c r="Y38" s="15" t="n">
        <v>46418</v>
      </c>
      <c r="Z38" s="15" t="n">
        <v>43636.5</v>
      </c>
      <c r="AA38" s="15" t="n">
        <v>13909.05</v>
      </c>
      <c r="AB38" s="15" t="n">
        <v>13909.05</v>
      </c>
      <c r="AC38" s="15" t="n">
        <v>-13909.5</v>
      </c>
      <c r="AD38" s="15" t="n">
        <v>-30</v>
      </c>
      <c r="AE38" s="15" t="n">
        <v>40</v>
      </c>
      <c r="AF38" s="15" t="n">
        <v>5.8</v>
      </c>
      <c r="AG38" s="15" t="n">
        <v>0.09</v>
      </c>
      <c r="AH38" s="15" t="n">
        <v>1.39</v>
      </c>
      <c r="AI38" s="15" t="n">
        <v>7.22</v>
      </c>
      <c r="AJ38" s="15" t="n">
        <v>54.5</v>
      </c>
      <c r="AK38" s="15" t="n">
        <v>-13964</v>
      </c>
      <c r="AL38" s="15" t="inlineStr">
        <is>
          <t>STOP LOSS</t>
        </is>
      </c>
      <c r="AM38" s="15" t="n">
        <v>50000</v>
      </c>
      <c r="AN38" s="15" t="inlineStr">
        <is>
          <t>PAPER TRADING</t>
        </is>
      </c>
    </row>
    <row r="39">
      <c r="A39" s="16" t="inlineStr">
        <is>
          <t>2026-07-14</t>
        </is>
      </c>
      <c r="B39" s="16" t="inlineStr">
        <is>
          <t>BANKNIFTY</t>
        </is>
      </c>
      <c r="C39" s="16" t="inlineStr">
        <is>
          <t>Bull Call Spread</t>
        </is>
      </c>
      <c r="D39" s="16" t="inlineStr">
        <is>
          <t>Bull Call Spread</t>
        </is>
      </c>
      <c r="E39" s="16" t="inlineStr">
        <is>
          <t>SIMULATED</t>
        </is>
      </c>
      <c r="F39" s="16" t="inlineStr">
        <is>
          <t>SKIP</t>
        </is>
      </c>
      <c r="G39" s="16" t="inlineStr">
        <is>
          <t>Conflicting — Price:BEARISH EMA:BULLISH</t>
        </is>
      </c>
      <c r="H39" s="16" t="n">
        <v>57746.15</v>
      </c>
      <c r="I39" s="16" t="n">
        <v>57250.18</v>
      </c>
      <c r="J39" s="16" t="inlineStr">
        <is>
          <t>2026-07-30</t>
        </is>
      </c>
      <c r="K39" s="16" t="inlineStr">
        <is>
          <t>MONTHLY</t>
        </is>
      </c>
      <c r="L39" s="16" t="n">
        <v>16</v>
      </c>
      <c r="M39" s="16" t="inlineStr">
        <is>
          <t>09:20 IST</t>
        </is>
      </c>
      <c r="N39" s="16" t="inlineStr">
        <is>
          <t>14:53 IST</t>
        </is>
      </c>
      <c r="O39" s="16" t="n">
        <v>57635.55</v>
      </c>
      <c r="P39" s="16" t="n">
        <v>58131.45</v>
      </c>
      <c r="Q39" s="16" t="inlineStr">
        <is>
          <t>57600 CE</t>
        </is>
      </c>
      <c r="R39" s="16" t="inlineStr">
        <is>
          <t>57800 CE</t>
        </is>
      </c>
      <c r="S39" s="16" t="n">
        <v>18</v>
      </c>
      <c r="T39" s="16" t="n">
        <v>30</v>
      </c>
      <c r="U39" s="16" t="n">
        <v>540</v>
      </c>
      <c r="V39" s="16" t="n">
        <v>91.08</v>
      </c>
      <c r="W39" s="16" t="n">
        <v>88.29000000000001</v>
      </c>
      <c r="X39" s="16" t="n">
        <v>49183.2</v>
      </c>
      <c r="Y39" s="16" t="n">
        <v>49238.14</v>
      </c>
      <c r="Z39" s="16" t="n">
        <v>58816.8</v>
      </c>
      <c r="AA39" s="16" t="n">
        <v>14754.96</v>
      </c>
      <c r="AB39" s="16" t="n">
        <v>14754.96</v>
      </c>
      <c r="AC39" s="16" t="n">
        <v>-1506.6</v>
      </c>
      <c r="AD39" s="16" t="n">
        <v>-3.1</v>
      </c>
      <c r="AE39" s="16" t="n">
        <v>40</v>
      </c>
      <c r="AF39" s="16" t="n">
        <v>6.15</v>
      </c>
      <c r="AG39" s="16" t="n">
        <v>0.1</v>
      </c>
      <c r="AH39" s="16" t="n">
        <v>1.48</v>
      </c>
      <c r="AI39" s="16" t="n">
        <v>7.22</v>
      </c>
      <c r="AJ39" s="16" t="n">
        <v>54.94</v>
      </c>
      <c r="AK39" s="16" t="n">
        <v>-1561.54</v>
      </c>
      <c r="AL39" s="16" t="inlineStr">
        <is>
          <t>FLAT</t>
        </is>
      </c>
      <c r="AM39" s="16" t="n">
        <v>50000</v>
      </c>
      <c r="AN39" s="16" t="inlineStr">
        <is>
          <t>PAPER TRADING</t>
        </is>
      </c>
    </row>
    <row r="40">
      <c r="A40" s="16" t="inlineStr">
        <is>
          <t>2026-07-14</t>
        </is>
      </c>
      <c r="B40" s="16" t="inlineStr">
        <is>
          <t>BANKNIFTY</t>
        </is>
      </c>
      <c r="C40" s="16" t="inlineStr">
        <is>
          <t>Bull Call Spread</t>
        </is>
      </c>
      <c r="D40" s="16" t="inlineStr">
        <is>
          <t>Bull Call Spread</t>
        </is>
      </c>
      <c r="E40" s="16" t="inlineStr">
        <is>
          <t>SIMULATED</t>
        </is>
      </c>
      <c r="F40" s="16" t="inlineStr">
        <is>
          <t>SKIP</t>
        </is>
      </c>
      <c r="G40" s="16" t="inlineStr">
        <is>
          <t>Conflicting — Price:BEARISH EMA:BULLISH</t>
        </is>
      </c>
      <c r="H40" s="16" t="n">
        <v>57711.5</v>
      </c>
      <c r="I40" s="16" t="n">
        <v>57234.43</v>
      </c>
      <c r="J40" s="16" t="inlineStr">
        <is>
          <t>2026-07-30</t>
        </is>
      </c>
      <c r="K40" s="16" t="inlineStr">
        <is>
          <t>MONTHLY</t>
        </is>
      </c>
      <c r="L40" s="16" t="n">
        <v>16</v>
      </c>
      <c r="M40" s="16" t="inlineStr">
        <is>
          <t>09:20 IST</t>
        </is>
      </c>
      <c r="N40" s="16" t="inlineStr">
        <is>
          <t>15:07 IST</t>
        </is>
      </c>
      <c r="O40" s="16" t="n">
        <v>57462.3</v>
      </c>
      <c r="P40" s="16" t="n">
        <v>58131.45</v>
      </c>
      <c r="Q40" s="16" t="inlineStr">
        <is>
          <t>57400 CE</t>
        </is>
      </c>
      <c r="R40" s="16" t="inlineStr">
        <is>
          <t>57600 CE</t>
        </is>
      </c>
      <c r="S40" s="16" t="n">
        <v>19</v>
      </c>
      <c r="T40" s="16" t="n">
        <v>30</v>
      </c>
      <c r="U40" s="16" t="n">
        <v>570</v>
      </c>
      <c r="V40" s="16" t="n">
        <v>83.43000000000001</v>
      </c>
      <c r="W40" s="16" t="n">
        <v>81.78</v>
      </c>
      <c r="X40" s="16" t="n">
        <v>47555.1</v>
      </c>
      <c r="Y40" s="16" t="n">
        <v>47609.78</v>
      </c>
      <c r="Z40" s="16" t="n">
        <v>66444.89999999999</v>
      </c>
      <c r="AA40" s="16" t="n">
        <v>14266.53</v>
      </c>
      <c r="AB40" s="16" t="n">
        <v>14266.53</v>
      </c>
      <c r="AC40" s="16" t="n">
        <v>-940.5</v>
      </c>
      <c r="AD40" s="16" t="n">
        <v>-2</v>
      </c>
      <c r="AE40" s="16" t="n">
        <v>40</v>
      </c>
      <c r="AF40" s="16" t="n">
        <v>5.94</v>
      </c>
      <c r="AG40" s="16" t="n">
        <v>0.1</v>
      </c>
      <c r="AH40" s="16" t="n">
        <v>1.43</v>
      </c>
      <c r="AI40" s="16" t="n">
        <v>7.22</v>
      </c>
      <c r="AJ40" s="16" t="n">
        <v>54.68</v>
      </c>
      <c r="AK40" s="16" t="n">
        <v>-995.1799999999999</v>
      </c>
      <c r="AL40" s="16" t="inlineStr">
        <is>
          <t>FLAT</t>
        </is>
      </c>
      <c r="AM40" s="16" t="n">
        <v>50000</v>
      </c>
      <c r="AN40" s="16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Bull Call Spread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12:15 IST</t>
        </is>
      </c>
      <c r="O41" s="17" t="n">
        <v>58073.65</v>
      </c>
      <c r="P41" s="17" t="n">
        <v>58131.45</v>
      </c>
      <c r="Q41" s="17" t="inlineStr">
        <is>
          <t>58000 CE</t>
        </is>
      </c>
      <c r="R41" s="17" t="inlineStr">
        <is>
          <t>58200 CE</t>
        </is>
      </c>
      <c r="S41" s="17" t="n">
        <v>18</v>
      </c>
      <c r="T41" s="17" t="n">
        <v>30</v>
      </c>
      <c r="U41" s="17" t="n">
        <v>540</v>
      </c>
      <c r="V41" s="17" t="n">
        <v>90.3</v>
      </c>
      <c r="W41" s="17" t="n">
        <v>117.39</v>
      </c>
      <c r="X41" s="17" t="n">
        <v>48762</v>
      </c>
      <c r="Y41" s="17" t="n">
        <v>48816.87</v>
      </c>
      <c r="Z41" s="17" t="n">
        <v>59238</v>
      </c>
      <c r="AA41" s="17" t="n">
        <v>14628.6</v>
      </c>
      <c r="AB41" s="17" t="n">
        <v>14628.6</v>
      </c>
      <c r="AC41" s="17" t="n">
        <v>14628.6</v>
      </c>
      <c r="AD41" s="17" t="n">
        <v>30</v>
      </c>
      <c r="AE41" s="17" t="n">
        <v>40</v>
      </c>
      <c r="AF41" s="17" t="n">
        <v>6.1</v>
      </c>
      <c r="AG41" s="17" t="n">
        <v>0.1</v>
      </c>
      <c r="AH41" s="17" t="n">
        <v>1.46</v>
      </c>
      <c r="AI41" s="17" t="n">
        <v>7.22</v>
      </c>
      <c r="AJ41" s="17" t="n">
        <v>54.87</v>
      </c>
      <c r="AK41" s="17" t="n">
        <v>14573.73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15:02 IST</t>
        </is>
      </c>
      <c r="O42" s="16" t="n">
        <v>57757.85</v>
      </c>
      <c r="P42" s="16" t="n">
        <v>58131.45</v>
      </c>
      <c r="Q42" s="16" t="inlineStr">
        <is>
          <t>57600 CE</t>
        </is>
      </c>
      <c r="R42" s="16" t="inlineStr">
        <is>
          <t>57800 CE</t>
        </is>
      </c>
      <c r="S42" s="16" t="n">
        <v>17</v>
      </c>
      <c r="T42" s="16" t="n">
        <v>30</v>
      </c>
      <c r="U42" s="16" t="n">
        <v>510</v>
      </c>
      <c r="V42" s="16" t="n">
        <v>92.91</v>
      </c>
      <c r="W42" s="16" t="n">
        <v>94.84</v>
      </c>
      <c r="X42" s="16" t="n">
        <v>47384.1</v>
      </c>
      <c r="Y42" s="16" t="n">
        <v>47438.76</v>
      </c>
      <c r="Z42" s="16" t="n">
        <v>54615.9</v>
      </c>
      <c r="AA42" s="16" t="n">
        <v>14215.23</v>
      </c>
      <c r="AB42" s="16" t="n">
        <v>14215.23</v>
      </c>
      <c r="AC42" s="16" t="n">
        <v>984.3</v>
      </c>
      <c r="AD42" s="16" t="n">
        <v>2.1</v>
      </c>
      <c r="AE42" s="16" t="n">
        <v>40</v>
      </c>
      <c r="AF42" s="16" t="n">
        <v>5.92</v>
      </c>
      <c r="AG42" s="16" t="n">
        <v>0.09</v>
      </c>
      <c r="AH42" s="16" t="n">
        <v>1.42</v>
      </c>
      <c r="AI42" s="16" t="n">
        <v>7.22</v>
      </c>
      <c r="AJ42" s="16" t="n">
        <v>54.66</v>
      </c>
      <c r="AK42" s="16" t="n">
        <v>929.64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BANKNIFTY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57711.42</v>
      </c>
      <c r="I43" s="17" t="n">
        <v>57371.59</v>
      </c>
      <c r="J43" s="17" t="inlineStr">
        <is>
          <t>2026-07-30</t>
        </is>
      </c>
      <c r="K43" s="17" t="inlineStr">
        <is>
          <t>MONTHLY</t>
        </is>
      </c>
      <c r="L43" s="17" t="n">
        <v>14</v>
      </c>
      <c r="M43" s="17" t="inlineStr">
        <is>
          <t>09:20 IST</t>
        </is>
      </c>
      <c r="N43" s="17" t="inlineStr">
        <is>
          <t>09:56 IST</t>
        </is>
      </c>
      <c r="O43" s="17" t="n">
        <v>57680.55</v>
      </c>
      <c r="P43" s="17" t="n">
        <v>57757.85</v>
      </c>
      <c r="Q43" s="17" t="inlineStr">
        <is>
          <t>57600 CE</t>
        </is>
      </c>
      <c r="R43" s="17" t="inlineStr">
        <is>
          <t>57800 CE</t>
        </is>
      </c>
      <c r="S43" s="17" t="n">
        <v>17</v>
      </c>
      <c r="T43" s="17" t="n">
        <v>30</v>
      </c>
      <c r="U43" s="17" t="n">
        <v>510</v>
      </c>
      <c r="V43" s="17" t="n">
        <v>94.01000000000001</v>
      </c>
      <c r="W43" s="17" t="n">
        <v>122.21</v>
      </c>
      <c r="X43" s="17" t="n">
        <v>47945.1</v>
      </c>
      <c r="Y43" s="17" t="n">
        <v>47999.84</v>
      </c>
      <c r="Z43" s="17" t="n">
        <v>54054.9</v>
      </c>
      <c r="AA43" s="17" t="n">
        <v>14383.53</v>
      </c>
      <c r="AB43" s="17" t="n">
        <v>14383.53</v>
      </c>
      <c r="AC43" s="17" t="n">
        <v>14382</v>
      </c>
      <c r="AD43" s="17" t="n">
        <v>30</v>
      </c>
      <c r="AE43" s="17" t="n">
        <v>40</v>
      </c>
      <c r="AF43" s="17" t="n">
        <v>5.99</v>
      </c>
      <c r="AG43" s="17" t="n">
        <v>0.1</v>
      </c>
      <c r="AH43" s="17" t="n">
        <v>1.44</v>
      </c>
      <c r="AI43" s="17" t="n">
        <v>7.22</v>
      </c>
      <c r="AJ43" s="17" t="n">
        <v>54.74</v>
      </c>
      <c r="AK43" s="17" t="n">
        <v>14327.26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Bull Call Spread</t>
        </is>
      </c>
      <c r="D44" s="16" t="inlineStr">
        <is>
          <t>Bull Call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15:13 IST</t>
        </is>
      </c>
      <c r="O44" s="16" t="n">
        <v>57582.25</v>
      </c>
      <c r="P44" s="16" t="n">
        <v>57757.85</v>
      </c>
      <c r="Q44" s="16" t="inlineStr">
        <is>
          <t>57400 CE</t>
        </is>
      </c>
      <c r="R44" s="16" t="inlineStr">
        <is>
          <t>57600 CE</t>
        </is>
      </c>
      <c r="S44" s="16" t="n">
        <v>21</v>
      </c>
      <c r="T44" s="16" t="n">
        <v>30</v>
      </c>
      <c r="U44" s="16" t="n">
        <v>630</v>
      </c>
      <c r="V44" s="16" t="n">
        <v>76.8</v>
      </c>
      <c r="W44" s="16" t="n">
        <v>76.25</v>
      </c>
      <c r="X44" s="16" t="n">
        <v>48384</v>
      </c>
      <c r="Y44" s="16" t="n">
        <v>48438.81</v>
      </c>
      <c r="Z44" s="16" t="n">
        <v>77616</v>
      </c>
      <c r="AA44" s="16" t="n">
        <v>14515.2</v>
      </c>
      <c r="AB44" s="16" t="n">
        <v>14515.2</v>
      </c>
      <c r="AC44" s="16" t="n">
        <v>-346.5</v>
      </c>
      <c r="AD44" s="16" t="n">
        <v>-0.7</v>
      </c>
      <c r="AE44" s="16" t="n">
        <v>40</v>
      </c>
      <c r="AF44" s="16" t="n">
        <v>6.05</v>
      </c>
      <c r="AG44" s="16" t="n">
        <v>0.1</v>
      </c>
      <c r="AH44" s="16" t="n">
        <v>1.45</v>
      </c>
      <c r="AI44" s="16" t="n">
        <v>7.22</v>
      </c>
      <c r="AJ44" s="16" t="n">
        <v>54.81</v>
      </c>
      <c r="AK44" s="16" t="n">
        <v>-401.31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BANKNIFTY</t>
        </is>
      </c>
      <c r="C45" s="16" t="inlineStr">
        <is>
          <t>Bull Call Spread</t>
        </is>
      </c>
      <c r="D45" s="16" t="inlineStr">
        <is>
          <t>Bull Call Spread</t>
        </is>
      </c>
      <c r="E45" s="16" t="inlineStr">
        <is>
          <t>SIMULATED</t>
        </is>
      </c>
      <c r="F45" s="16" t="inlineStr">
        <is>
          <t>BULLISH</t>
        </is>
      </c>
      <c r="G45" s="16" t="inlineStr">
        <is>
          <t>Price↑(58085.9&gt;57582.25) &amp; EMA9↑(57770.23&gt;57460.96)</t>
        </is>
      </c>
      <c r="H45" s="16" t="n">
        <v>57770.23</v>
      </c>
      <c r="I45" s="16" t="n">
        <v>57460.96</v>
      </c>
      <c r="J45" s="16" t="inlineStr">
        <is>
          <t>2026-07-30</t>
        </is>
      </c>
      <c r="K45" s="16" t="inlineStr">
        <is>
          <t>MONTHLY</t>
        </is>
      </c>
      <c r="L45" s="16" t="n">
        <v>13</v>
      </c>
      <c r="M45" s="16" t="inlineStr">
        <is>
          <t>09:20 IST</t>
        </is>
      </c>
      <c r="N45" s="16" t="inlineStr">
        <is>
          <t>14:23 IST</t>
        </is>
      </c>
      <c r="O45" s="16" t="n">
        <v>58085.9</v>
      </c>
      <c r="P45" s="16" t="n">
        <v>57582.25</v>
      </c>
      <c r="Q45" s="16" t="inlineStr">
        <is>
          <t>58000 CE</t>
        </is>
      </c>
      <c r="R45" s="16" t="inlineStr">
        <is>
          <t>58200 CE</t>
        </is>
      </c>
      <c r="S45" s="16" t="n">
        <v>20</v>
      </c>
      <c r="T45" s="16" t="n">
        <v>30</v>
      </c>
      <c r="U45" s="16" t="n">
        <v>600</v>
      </c>
      <c r="V45" s="16" t="n">
        <v>81.7</v>
      </c>
      <c r="W45" s="16" t="n">
        <v>83.28</v>
      </c>
      <c r="X45" s="16" t="n">
        <v>49020</v>
      </c>
      <c r="Y45" s="16" t="n">
        <v>49074.91</v>
      </c>
      <c r="Z45" s="16" t="n">
        <v>70980</v>
      </c>
      <c r="AA45" s="16" t="n">
        <v>14706</v>
      </c>
      <c r="AB45" s="16" t="n">
        <v>14706</v>
      </c>
      <c r="AC45" s="16" t="n">
        <v>948</v>
      </c>
      <c r="AD45" s="16" t="n">
        <v>1.9</v>
      </c>
      <c r="AE45" s="16" t="n">
        <v>40</v>
      </c>
      <c r="AF45" s="16" t="n">
        <v>6.13</v>
      </c>
      <c r="AG45" s="16" t="n">
        <v>0.1</v>
      </c>
      <c r="AH45" s="16" t="n">
        <v>1.47</v>
      </c>
      <c r="AI45" s="16" t="n">
        <v>7.22</v>
      </c>
      <c r="AJ45" s="16" t="n">
        <v>54.91</v>
      </c>
      <c r="AK45" s="16" t="n">
        <v>893.09</v>
      </c>
      <c r="AL45" s="16" t="inlineStr">
        <is>
          <t>FLAT</t>
        </is>
      </c>
      <c r="AM45" s="16" t="n">
        <v>50000</v>
      </c>
      <c r="AN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12:05 IST</t>
        </is>
      </c>
      <c r="O46" s="17" t="n">
        <v>58521.4</v>
      </c>
      <c r="P46" s="17" t="n">
        <v>57582.25</v>
      </c>
      <c r="Q46" s="17" t="inlineStr">
        <is>
          <t>58400 CE</t>
        </is>
      </c>
      <c r="R46" s="17" t="inlineStr">
        <is>
          <t>58600 CE</t>
        </is>
      </c>
      <c r="S46" s="17" t="n">
        <v>16</v>
      </c>
      <c r="T46" s="17" t="n">
        <v>30</v>
      </c>
      <c r="U46" s="17" t="n">
        <v>480</v>
      </c>
      <c r="V46" s="17" t="n">
        <v>97.09</v>
      </c>
      <c r="W46" s="17" t="n">
        <v>126.22</v>
      </c>
      <c r="X46" s="17" t="n">
        <v>46603.2</v>
      </c>
      <c r="Y46" s="17" t="n">
        <v>46657.73</v>
      </c>
      <c r="Z46" s="17" t="n">
        <v>49396.8</v>
      </c>
      <c r="AA46" s="17" t="n">
        <v>13980.96</v>
      </c>
      <c r="AB46" s="17" t="n">
        <v>13980.96</v>
      </c>
      <c r="AC46" s="17" t="n">
        <v>13982.4</v>
      </c>
      <c r="AD46" s="17" t="n">
        <v>30</v>
      </c>
      <c r="AE46" s="17" t="n">
        <v>40</v>
      </c>
      <c r="AF46" s="17" t="n">
        <v>5.83</v>
      </c>
      <c r="AG46" s="17" t="n">
        <v>0.09</v>
      </c>
      <c r="AH46" s="17" t="n">
        <v>1.4</v>
      </c>
      <c r="AI46" s="17" t="n">
        <v>7.22</v>
      </c>
      <c r="AJ46" s="17" t="n">
        <v>54.53</v>
      </c>
      <c r="AK46" s="17" t="n">
        <v>13927.87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BANKNIFTY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57821.95</v>
      </c>
      <c r="I47" s="16" t="n">
        <v>57595.38</v>
      </c>
      <c r="J47" s="16" t="inlineStr">
        <is>
          <t>2026-07-30</t>
        </is>
      </c>
      <c r="K47" s="16" t="inlineStr">
        <is>
          <t>MONTHLY</t>
        </is>
      </c>
      <c r="L47" s="16" t="n">
        <v>10</v>
      </c>
      <c r="M47" s="16" t="inlineStr">
        <is>
          <t>09:20 IST</t>
        </is>
      </c>
      <c r="N47" s="16" t="inlineStr">
        <is>
          <t>14:05 IST</t>
        </is>
      </c>
      <c r="O47" s="16" t="n">
        <v>57673.6</v>
      </c>
      <c r="P47" s="16" t="n">
        <v>58521.4</v>
      </c>
      <c r="Q47" s="16" t="inlineStr">
        <is>
          <t>57600 CE</t>
        </is>
      </c>
      <c r="R47" s="16" t="inlineStr">
        <is>
          <t>57800 CE</t>
        </is>
      </c>
      <c r="S47" s="16" t="n">
        <v>17</v>
      </c>
      <c r="T47" s="16" t="n">
        <v>30</v>
      </c>
      <c r="U47" s="16" t="n">
        <v>510</v>
      </c>
      <c r="V47" s="16" t="n">
        <v>95.2</v>
      </c>
      <c r="W47" s="16" t="n">
        <v>94.08</v>
      </c>
      <c r="X47" s="16" t="n">
        <v>48552</v>
      </c>
      <c r="Y47" s="16" t="n">
        <v>48606.84</v>
      </c>
      <c r="Z47" s="16" t="n">
        <v>53448</v>
      </c>
      <c r="AA47" s="16" t="n">
        <v>14565.6</v>
      </c>
      <c r="AB47" s="16" t="n">
        <v>14565.6</v>
      </c>
      <c r="AC47" s="16" t="n">
        <v>-571.2</v>
      </c>
      <c r="AD47" s="16" t="n">
        <v>-1.2</v>
      </c>
      <c r="AE47" s="16" t="n">
        <v>40</v>
      </c>
      <c r="AF47" s="16" t="n">
        <v>6.07</v>
      </c>
      <c r="AG47" s="16" t="n">
        <v>0.1</v>
      </c>
      <c r="AH47" s="16" t="n">
        <v>1.46</v>
      </c>
      <c r="AI47" s="16" t="n">
        <v>7.22</v>
      </c>
      <c r="AJ47" s="16" t="n">
        <v>54.84</v>
      </c>
      <c r="AK47" s="16" t="n">
        <v>-626.04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BANKNIFTY</t>
        </is>
      </c>
      <c r="C48" s="15" t="inlineStr">
        <is>
          <t>Bull Call Spread</t>
        </is>
      </c>
      <c r="D48" s="15" t="inlineStr">
        <is>
          <t>Bull Call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57876.23</v>
      </c>
      <c r="I48" s="15" t="n">
        <v>57620.05</v>
      </c>
      <c r="J48" s="15" t="inlineStr">
        <is>
          <t>2026-07-30</t>
        </is>
      </c>
      <c r="K48" s="15" t="inlineStr">
        <is>
          <t>MONTHLY</t>
        </is>
      </c>
      <c r="L48" s="15" t="n">
        <v>10</v>
      </c>
      <c r="M48" s="15" t="inlineStr">
        <is>
          <t>09:20 IST</t>
        </is>
      </c>
      <c r="N48" s="15" t="inlineStr">
        <is>
          <t>10:29 IST</t>
        </is>
      </c>
      <c r="O48" s="15" t="n">
        <v>57945</v>
      </c>
      <c r="P48" s="15" t="n">
        <v>58521.4</v>
      </c>
      <c r="Q48" s="15" t="inlineStr">
        <is>
          <t>57800 CE</t>
        </is>
      </c>
      <c r="R48" s="15" t="inlineStr">
        <is>
          <t>58000 CE</t>
        </is>
      </c>
      <c r="S48" s="15" t="n">
        <v>18</v>
      </c>
      <c r="T48" s="15" t="n">
        <v>30</v>
      </c>
      <c r="U48" s="15" t="n">
        <v>540</v>
      </c>
      <c r="V48" s="15" t="n">
        <v>87.87</v>
      </c>
      <c r="W48" s="15" t="n">
        <v>61.51</v>
      </c>
      <c r="X48" s="15" t="n">
        <v>47449.8</v>
      </c>
      <c r="Y48" s="15" t="n">
        <v>47504.47</v>
      </c>
      <c r="Z48" s="15" t="n">
        <v>60550.2</v>
      </c>
      <c r="AA48" s="15" t="n">
        <v>14234.94</v>
      </c>
      <c r="AB48" s="15" t="n">
        <v>14234.94</v>
      </c>
      <c r="AC48" s="15" t="n">
        <v>-14234.4</v>
      </c>
      <c r="AD48" s="15" t="n">
        <v>-30</v>
      </c>
      <c r="AE48" s="15" t="n">
        <v>40</v>
      </c>
      <c r="AF48" s="15" t="n">
        <v>5.93</v>
      </c>
      <c r="AG48" s="15" t="n">
        <v>0.09</v>
      </c>
      <c r="AH48" s="15" t="n">
        <v>1.42</v>
      </c>
      <c r="AI48" s="15" t="n">
        <v>7.22</v>
      </c>
      <c r="AJ48" s="15" t="n">
        <v>54.67</v>
      </c>
      <c r="AK48" s="15" t="n">
        <v>-14289.07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BANKNIFTY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57869.66</v>
      </c>
      <c r="I49" s="17" t="n">
        <v>57689.18</v>
      </c>
      <c r="J49" s="17" t="inlineStr">
        <is>
          <t>2026-07-30</t>
        </is>
      </c>
      <c r="K49" s="17" t="inlineStr">
        <is>
          <t>MONTHLY</t>
        </is>
      </c>
      <c r="L49" s="17" t="n">
        <v>9</v>
      </c>
      <c r="M49" s="17" t="inlineStr">
        <is>
          <t>09:20 IST</t>
        </is>
      </c>
      <c r="N49" s="17" t="inlineStr">
        <is>
          <t>12:02 IST</t>
        </is>
      </c>
      <c r="O49" s="17" t="n">
        <v>57840.45</v>
      </c>
      <c r="P49" s="17" t="n">
        <v>57945</v>
      </c>
      <c r="Q49" s="17" t="inlineStr">
        <is>
          <t>57800 CE</t>
        </is>
      </c>
      <c r="R49" s="17" t="inlineStr">
        <is>
          <t>58000 CE</t>
        </is>
      </c>
      <c r="S49" s="17" t="n">
        <v>18</v>
      </c>
      <c r="T49" s="17" t="n">
        <v>30</v>
      </c>
      <c r="U49" s="17" t="n">
        <v>540</v>
      </c>
      <c r="V49" s="17" t="n">
        <v>90.56999999999999</v>
      </c>
      <c r="W49" s="17" t="n">
        <v>117.74</v>
      </c>
      <c r="X49" s="17" t="n">
        <v>48907.8</v>
      </c>
      <c r="Y49" s="17" t="n">
        <v>48962.7</v>
      </c>
      <c r="Z49" s="17" t="n">
        <v>59092.2</v>
      </c>
      <c r="AA49" s="17" t="n">
        <v>14672.34</v>
      </c>
      <c r="AB49" s="17" t="n">
        <v>14672.34</v>
      </c>
      <c r="AC49" s="17" t="n">
        <v>14671.8</v>
      </c>
      <c r="AD49" s="17" t="n">
        <v>30</v>
      </c>
      <c r="AE49" s="17" t="n">
        <v>40</v>
      </c>
      <c r="AF49" s="17" t="n">
        <v>6.11</v>
      </c>
      <c r="AG49" s="17" t="n">
        <v>0.1</v>
      </c>
      <c r="AH49" s="17" t="n">
        <v>1.47</v>
      </c>
      <c r="AI49" s="17" t="n">
        <v>7.22</v>
      </c>
      <c r="AJ49" s="17" t="n">
        <v>54.9</v>
      </c>
      <c r="AK49" s="17" t="n">
        <v>14616.9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09:37 IST</t>
        </is>
      </c>
      <c r="O50" s="15" t="n">
        <v>57835.35</v>
      </c>
      <c r="P50" s="15" t="n">
        <v>57945</v>
      </c>
      <c r="Q50" s="15" t="inlineStr">
        <is>
          <t>57800 CE</t>
        </is>
      </c>
      <c r="R50" s="15" t="inlineStr">
        <is>
          <t>58000 CE</t>
        </is>
      </c>
      <c r="S50" s="15" t="n">
        <v>17</v>
      </c>
      <c r="T50" s="15" t="n">
        <v>30</v>
      </c>
      <c r="U50" s="15" t="n">
        <v>510</v>
      </c>
      <c r="V50" s="15" t="n">
        <v>94.04000000000001</v>
      </c>
      <c r="W50" s="15" t="n">
        <v>65.83</v>
      </c>
      <c r="X50" s="15" t="n">
        <v>47960.4</v>
      </c>
      <c r="Y50" s="15" t="n">
        <v>48015.15</v>
      </c>
      <c r="Z50" s="15" t="n">
        <v>54039.6</v>
      </c>
      <c r="AA50" s="15" t="n">
        <v>14388.12</v>
      </c>
      <c r="AB50" s="15" t="n">
        <v>14388.12</v>
      </c>
      <c r="AC50" s="15" t="n">
        <v>-14387.1</v>
      </c>
      <c r="AD50" s="15" t="n">
        <v>-30</v>
      </c>
      <c r="AE50" s="15" t="n">
        <v>40</v>
      </c>
      <c r="AF50" s="15" t="n">
        <v>6</v>
      </c>
      <c r="AG50" s="15" t="n">
        <v>0.1</v>
      </c>
      <c r="AH50" s="15" t="n">
        <v>1.44</v>
      </c>
      <c r="AI50" s="15" t="n">
        <v>7.22</v>
      </c>
      <c r="AJ50" s="15" t="n">
        <v>54.75</v>
      </c>
      <c r="AK50" s="15" t="n">
        <v>-14441.85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BANKNIFTY</t>
        </is>
      </c>
      <c r="C51" s="15" t="inlineStr">
        <is>
          <t>Bull Call Spread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SKIP</t>
        </is>
      </c>
      <c r="G51" s="15" t="inlineStr">
        <is>
          <t>Conflicting — Price:BEARISH EMA:BULLISH</t>
        </is>
      </c>
      <c r="H51" s="15" t="n">
        <v>57751.03</v>
      </c>
      <c r="I51" s="15" t="n">
        <v>57689.93</v>
      </c>
      <c r="J51" s="15" t="inlineStr">
        <is>
          <t>2026-07-30</t>
        </is>
      </c>
      <c r="K51" s="15" t="inlineStr">
        <is>
          <t>MONTHLY</t>
        </is>
      </c>
      <c r="L51" s="15" t="n">
        <v>8</v>
      </c>
      <c r="M51" s="15" t="inlineStr">
        <is>
          <t>09:20 IST</t>
        </is>
      </c>
      <c r="N51" s="15" t="inlineStr">
        <is>
          <t>10:18 IST</t>
        </is>
      </c>
      <c r="O51" s="15" t="n">
        <v>57269.65</v>
      </c>
      <c r="P51" s="15" t="n">
        <v>57835.35</v>
      </c>
      <c r="Q51" s="15" t="inlineStr">
        <is>
          <t>57200 CE</t>
        </is>
      </c>
      <c r="R51" s="15" t="inlineStr">
        <is>
          <t>57400 CE</t>
        </is>
      </c>
      <c r="S51" s="15" t="n">
        <v>17</v>
      </c>
      <c r="T51" s="15" t="n">
        <v>30</v>
      </c>
      <c r="U51" s="15" t="n">
        <v>510</v>
      </c>
      <c r="V51" s="15" t="n">
        <v>94.90000000000001</v>
      </c>
      <c r="W51" s="15" t="n">
        <v>66.43000000000001</v>
      </c>
      <c r="X51" s="15" t="n">
        <v>48399</v>
      </c>
      <c r="Y51" s="15" t="n">
        <v>48453.82</v>
      </c>
      <c r="Z51" s="15" t="n">
        <v>53601</v>
      </c>
      <c r="AA51" s="15" t="n">
        <v>14519.7</v>
      </c>
      <c r="AB51" s="15" t="n">
        <v>14519.7</v>
      </c>
      <c r="AC51" s="15" t="n">
        <v>-14519.7</v>
      </c>
      <c r="AD51" s="15" t="n">
        <v>-30</v>
      </c>
      <c r="AE51" s="15" t="n">
        <v>40</v>
      </c>
      <c r="AF51" s="15" t="n">
        <v>6.05</v>
      </c>
      <c r="AG51" s="15" t="n">
        <v>0.1</v>
      </c>
      <c r="AH51" s="15" t="n">
        <v>1.45</v>
      </c>
      <c r="AI51" s="15" t="n">
        <v>7.22</v>
      </c>
      <c r="AJ51" s="15" t="n">
        <v>54.82</v>
      </c>
      <c r="AK51" s="15" t="n">
        <v>-14574.52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2026-07-22</t>
        </is>
      </c>
      <c r="B52" s="16" t="inlineStr">
        <is>
          <t>BANKNIFTY</t>
        </is>
      </c>
      <c r="C52" s="16" t="inlineStr">
        <is>
          <t>Bull Call Spread</t>
        </is>
      </c>
      <c r="D52" s="16" t="inlineStr">
        <is>
          <t>Bull Call Spread</t>
        </is>
      </c>
      <c r="E52" s="16" t="inlineStr">
        <is>
          <t>SIMULATED</t>
        </is>
      </c>
      <c r="F52" s="16" t="inlineStr">
        <is>
          <t>SKIP</t>
        </is>
      </c>
      <c r="G52" s="16" t="inlineStr">
        <is>
          <t>Conflicting — Price:BEARISH EMA:BULLISH</t>
        </is>
      </c>
      <c r="H52" s="16" t="n">
        <v>57722.46</v>
      </c>
      <c r="I52" s="16" t="n">
        <v>57676.95</v>
      </c>
      <c r="J52" s="16" t="inlineStr">
        <is>
          <t>2026-07-30</t>
        </is>
      </c>
      <c r="K52" s="16" t="inlineStr">
        <is>
          <t>MONTHLY</t>
        </is>
      </c>
      <c r="L52" s="16" t="n">
        <v>8</v>
      </c>
      <c r="M52" s="16" t="inlineStr">
        <is>
          <t>09:20 IST</t>
        </is>
      </c>
      <c r="N52" s="16" t="inlineStr">
        <is>
          <t>14:49 IST</t>
        </is>
      </c>
      <c r="O52" s="16" t="n">
        <v>57126.8</v>
      </c>
      <c r="P52" s="16" t="n">
        <v>57835.35</v>
      </c>
      <c r="Q52" s="16" t="inlineStr">
        <is>
          <t>57000 CE</t>
        </is>
      </c>
      <c r="R52" s="16" t="inlineStr">
        <is>
          <t>57200 CE</t>
        </is>
      </c>
      <c r="S52" s="16" t="n">
        <v>19</v>
      </c>
      <c r="T52" s="16" t="n">
        <v>30</v>
      </c>
      <c r="U52" s="16" t="n">
        <v>570</v>
      </c>
      <c r="V52" s="16" t="n">
        <v>82.15000000000001</v>
      </c>
      <c r="W52" s="16" t="n">
        <v>84.56</v>
      </c>
      <c r="X52" s="16" t="n">
        <v>46825.5</v>
      </c>
      <c r="Y52" s="16" t="n">
        <v>46880.07</v>
      </c>
      <c r="Z52" s="16" t="n">
        <v>67174.5</v>
      </c>
      <c r="AA52" s="16" t="n">
        <v>14047.65</v>
      </c>
      <c r="AB52" s="16" t="n">
        <v>14047.65</v>
      </c>
      <c r="AC52" s="16" t="n">
        <v>1373.7</v>
      </c>
      <c r="AD52" s="16" t="n">
        <v>2.9</v>
      </c>
      <c r="AE52" s="16" t="n">
        <v>40</v>
      </c>
      <c r="AF52" s="16" t="n">
        <v>5.85</v>
      </c>
      <c r="AG52" s="16" t="n">
        <v>0.09</v>
      </c>
      <c r="AH52" s="16" t="n">
        <v>1.4</v>
      </c>
      <c r="AI52" s="16" t="n">
        <v>7.22</v>
      </c>
      <c r="AJ52" s="16" t="n">
        <v>54.57</v>
      </c>
      <c r="AK52" s="16" t="n">
        <v>1319.13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Bull Call Spread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15:20 IST</t>
        </is>
      </c>
      <c r="O53" s="16" t="n">
        <v>56618.7</v>
      </c>
      <c r="P53" s="16" t="n">
        <v>57126.8</v>
      </c>
      <c r="Q53" s="16" t="inlineStr">
        <is>
          <t>56600 CE</t>
        </is>
      </c>
      <c r="R53" s="16" t="inlineStr">
        <is>
          <t>56800 CE</t>
        </is>
      </c>
      <c r="S53" s="16" t="n">
        <v>29</v>
      </c>
      <c r="T53" s="16" t="n">
        <v>30</v>
      </c>
      <c r="U53" s="16" t="n">
        <v>870</v>
      </c>
      <c r="V53" s="16" t="n">
        <v>54.29</v>
      </c>
      <c r="W53" s="16" t="n">
        <v>54.59</v>
      </c>
      <c r="X53" s="16" t="n">
        <v>47232.3</v>
      </c>
      <c r="Y53" s="16" t="n">
        <v>47286.93</v>
      </c>
      <c r="Z53" s="16" t="n">
        <v>126767.7</v>
      </c>
      <c r="AA53" s="16" t="n">
        <v>14169.69</v>
      </c>
      <c r="AB53" s="16" t="n">
        <v>14169.69</v>
      </c>
      <c r="AC53" s="16" t="n">
        <v>261</v>
      </c>
      <c r="AD53" s="16" t="n">
        <v>0.6</v>
      </c>
      <c r="AE53" s="16" t="n">
        <v>40</v>
      </c>
      <c r="AF53" s="16" t="n">
        <v>5.9</v>
      </c>
      <c r="AG53" s="16" t="n">
        <v>0.09</v>
      </c>
      <c r="AH53" s="16" t="n">
        <v>1.42</v>
      </c>
      <c r="AI53" s="16" t="n">
        <v>7.22</v>
      </c>
      <c r="AJ53" s="16" t="n">
        <v>54.63</v>
      </c>
      <c r="AK53" s="16" t="n">
        <v>206.37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10:16 IST</t>
        </is>
      </c>
      <c r="O54" s="17" t="n">
        <v>56592</v>
      </c>
      <c r="P54" s="17" t="n">
        <v>57126.8</v>
      </c>
      <c r="Q54" s="17" t="inlineStr">
        <is>
          <t>56400 CE</t>
        </is>
      </c>
      <c r="R54" s="17" t="inlineStr">
        <is>
          <t>56600 CE</t>
        </is>
      </c>
      <c r="S54" s="17" t="n">
        <v>23</v>
      </c>
      <c r="T54" s="17" t="n">
        <v>30</v>
      </c>
      <c r="U54" s="17" t="n">
        <v>690</v>
      </c>
      <c r="V54" s="17" t="n">
        <v>68.31999999999999</v>
      </c>
      <c r="W54" s="17" t="n">
        <v>88.81999999999999</v>
      </c>
      <c r="X54" s="17" t="n">
        <v>47140.8</v>
      </c>
      <c r="Y54" s="17" t="n">
        <v>47195.42</v>
      </c>
      <c r="Z54" s="17" t="n">
        <v>90859.2</v>
      </c>
      <c r="AA54" s="17" t="n">
        <v>14142.24</v>
      </c>
      <c r="AB54" s="17" t="n">
        <v>14142.24</v>
      </c>
      <c r="AC54" s="17" t="n">
        <v>14145</v>
      </c>
      <c r="AD54" s="17" t="n">
        <v>30</v>
      </c>
      <c r="AE54" s="17" t="n">
        <v>40</v>
      </c>
      <c r="AF54" s="17" t="n">
        <v>5.89</v>
      </c>
      <c r="AG54" s="17" t="n">
        <v>0.09</v>
      </c>
      <c r="AH54" s="17" t="n">
        <v>1.41</v>
      </c>
      <c r="AI54" s="17" t="n">
        <v>7.22</v>
      </c>
      <c r="AJ54" s="17" t="n">
        <v>54.62</v>
      </c>
      <c r="AK54" s="17" t="n">
        <v>14090.38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BANKNIFTY</t>
        </is>
      </c>
      <c r="C55" s="17" t="inlineStr">
        <is>
          <t>Bull Call Spread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Price↓(56220.4&lt;56592.0) &amp; EMA9↓(57242.74&lt;57517.83)</t>
        </is>
      </c>
      <c r="H55" s="17" t="n">
        <v>57242.74</v>
      </c>
      <c r="I55" s="17" t="n">
        <v>57517.83</v>
      </c>
      <c r="J55" s="17" t="inlineStr">
        <is>
          <t>2026-07-30</t>
        </is>
      </c>
      <c r="K55" s="17" t="inlineStr">
        <is>
          <t>MONTHLY</t>
        </is>
      </c>
      <c r="L55" s="17" t="n">
        <v>6</v>
      </c>
      <c r="M55" s="17" t="inlineStr">
        <is>
          <t>09:20 IST</t>
        </is>
      </c>
      <c r="N55" s="17" t="inlineStr">
        <is>
          <t>11:12 IST</t>
        </is>
      </c>
      <c r="O55" s="17" t="n">
        <v>56220.4</v>
      </c>
      <c r="P55" s="17" t="n">
        <v>56592</v>
      </c>
      <c r="Q55" s="17" t="inlineStr">
        <is>
          <t>56200 CE</t>
        </is>
      </c>
      <c r="R55" s="17" t="inlineStr">
        <is>
          <t>56400 CE</t>
        </is>
      </c>
      <c r="S55" s="17" t="n">
        <v>25</v>
      </c>
      <c r="T55" s="17" t="n">
        <v>30</v>
      </c>
      <c r="U55" s="17" t="n">
        <v>750</v>
      </c>
      <c r="V55" s="17" t="n">
        <v>65.3</v>
      </c>
      <c r="W55" s="17" t="n">
        <v>84.89</v>
      </c>
      <c r="X55" s="17" t="n">
        <v>48975</v>
      </c>
      <c r="Y55" s="17" t="n">
        <v>49029.91</v>
      </c>
      <c r="Z55" s="17" t="n">
        <v>101025</v>
      </c>
      <c r="AA55" s="17" t="n">
        <v>14692.5</v>
      </c>
      <c r="AB55" s="17" t="n">
        <v>14692.5</v>
      </c>
      <c r="AC55" s="17" t="n">
        <v>14692.5</v>
      </c>
      <c r="AD55" s="17" t="n">
        <v>30</v>
      </c>
      <c r="AE55" s="17" t="n">
        <v>40</v>
      </c>
      <c r="AF55" s="17" t="n">
        <v>6.12</v>
      </c>
      <c r="AG55" s="17" t="n">
        <v>0.1</v>
      </c>
      <c r="AH55" s="17" t="n">
        <v>1.47</v>
      </c>
      <c r="AI55" s="17" t="n">
        <v>7.22</v>
      </c>
      <c r="AJ55" s="17" t="n">
        <v>54.91</v>
      </c>
      <c r="AK55" s="17" t="n">
        <v>14637.59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12:18 IST</t>
        </is>
      </c>
      <c r="O56" s="17" t="n">
        <v>56693.5</v>
      </c>
      <c r="P56" s="17" t="n">
        <v>56592</v>
      </c>
      <c r="Q56" s="17" t="inlineStr">
        <is>
          <t>56600 CE</t>
        </is>
      </c>
      <c r="R56" s="17" t="inlineStr">
        <is>
          <t>56800 CE</t>
        </is>
      </c>
      <c r="S56" s="17" t="n">
        <v>20</v>
      </c>
      <c r="T56" s="17" t="n">
        <v>30</v>
      </c>
      <c r="U56" s="17" t="n">
        <v>600</v>
      </c>
      <c r="V56" s="17" t="n">
        <v>79.97</v>
      </c>
      <c r="W56" s="17" t="n">
        <v>103.96</v>
      </c>
      <c r="X56" s="17" t="n">
        <v>47982</v>
      </c>
      <c r="Y56" s="17" t="n">
        <v>48036.75</v>
      </c>
      <c r="Z56" s="17" t="n">
        <v>72018</v>
      </c>
      <c r="AA56" s="17" t="n">
        <v>14394.6</v>
      </c>
      <c r="AB56" s="17" t="n">
        <v>14394.6</v>
      </c>
      <c r="AC56" s="17" t="n">
        <v>14394</v>
      </c>
      <c r="AD56" s="17" t="n">
        <v>30</v>
      </c>
      <c r="AE56" s="17" t="n">
        <v>40</v>
      </c>
      <c r="AF56" s="17" t="n">
        <v>6</v>
      </c>
      <c r="AG56" s="17" t="n">
        <v>0.1</v>
      </c>
      <c r="AH56" s="17" t="n">
        <v>1.44</v>
      </c>
      <c r="AI56" s="17" t="n">
        <v>7.22</v>
      </c>
      <c r="AJ56" s="17" t="n">
        <v>54.75</v>
      </c>
      <c r="AK56" s="17" t="n">
        <v>14339.25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Bull Call Spread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11:43 IST</t>
        </is>
      </c>
      <c r="O57" s="17" t="n">
        <v>57089.15</v>
      </c>
      <c r="P57" s="17" t="n">
        <v>56693.5</v>
      </c>
      <c r="Q57" s="17" t="inlineStr">
        <is>
          <t>57000 CE</t>
        </is>
      </c>
      <c r="R57" s="17" t="inlineStr">
        <is>
          <t>57200 CE</t>
        </is>
      </c>
      <c r="S57" s="17" t="n">
        <v>28</v>
      </c>
      <c r="T57" s="17" t="n">
        <v>30</v>
      </c>
      <c r="U57" s="17" t="n">
        <v>840</v>
      </c>
      <c r="V57" s="17" t="n">
        <v>56.14</v>
      </c>
      <c r="W57" s="17" t="n">
        <v>72.98</v>
      </c>
      <c r="X57" s="17" t="n">
        <v>47157.6</v>
      </c>
      <c r="Y57" s="17" t="n">
        <v>47212.22</v>
      </c>
      <c r="Z57" s="17" t="n">
        <v>120842.4</v>
      </c>
      <c r="AA57" s="17" t="n">
        <v>14147.28</v>
      </c>
      <c r="AB57" s="17" t="n">
        <v>14147.28</v>
      </c>
      <c r="AC57" s="17" t="n">
        <v>14145.6</v>
      </c>
      <c r="AD57" s="17" t="n">
        <v>30</v>
      </c>
      <c r="AE57" s="17" t="n">
        <v>40</v>
      </c>
      <c r="AF57" s="17" t="n">
        <v>5.89</v>
      </c>
      <c r="AG57" s="17" t="n">
        <v>0.09</v>
      </c>
      <c r="AH57" s="17" t="n">
        <v>1.41</v>
      </c>
      <c r="AI57" s="17" t="n">
        <v>7.22</v>
      </c>
      <c r="AJ57" s="17" t="n">
        <v>54.62</v>
      </c>
      <c r="AK57" s="17" t="n">
        <v>14090.98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BANKNIFTY</t>
        </is>
      </c>
      <c r="C58" s="17" t="inlineStr">
        <is>
          <t>Bull Call Spread</t>
        </is>
      </c>
      <c r="D58" s="17" t="inlineStr">
        <is>
          <t>Bull Call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57287.91</v>
      </c>
      <c r="I58" s="17" t="n">
        <v>57529.52</v>
      </c>
      <c r="J58" s="17" t="inlineStr">
        <is>
          <t>2026-07-30</t>
        </is>
      </c>
      <c r="K58" s="17" t="inlineStr">
        <is>
          <t>MONTHLY</t>
        </is>
      </c>
      <c r="L58" s="17" t="n">
        <v>3</v>
      </c>
      <c r="M58" s="17" t="inlineStr">
        <is>
          <t>09:20 IST</t>
        </is>
      </c>
      <c r="N58" s="17" t="inlineStr">
        <is>
          <t>10:17 IST</t>
        </is>
      </c>
      <c r="O58" s="17" t="n">
        <v>57087.2</v>
      </c>
      <c r="P58" s="17" t="n">
        <v>56693.5</v>
      </c>
      <c r="Q58" s="17" t="inlineStr">
        <is>
          <t>57000 CE</t>
        </is>
      </c>
      <c r="R58" s="17" t="inlineStr">
        <is>
          <t>57200 CE</t>
        </is>
      </c>
      <c r="S58" s="17" t="n">
        <v>23</v>
      </c>
      <c r="T58" s="17" t="n">
        <v>30</v>
      </c>
      <c r="U58" s="17" t="n">
        <v>690</v>
      </c>
      <c r="V58" s="17" t="n">
        <v>70.51000000000001</v>
      </c>
      <c r="W58" s="17" t="n">
        <v>91.66</v>
      </c>
      <c r="X58" s="17" t="n">
        <v>48651.9</v>
      </c>
      <c r="Y58" s="17" t="n">
        <v>48706.76</v>
      </c>
      <c r="Z58" s="17" t="n">
        <v>89348.10000000001</v>
      </c>
      <c r="AA58" s="17" t="n">
        <v>14595.57</v>
      </c>
      <c r="AB58" s="17" t="n">
        <v>14595.57</v>
      </c>
      <c r="AC58" s="17" t="n">
        <v>14593.5</v>
      </c>
      <c r="AD58" s="17" t="n">
        <v>30</v>
      </c>
      <c r="AE58" s="17" t="n">
        <v>40</v>
      </c>
      <c r="AF58" s="17" t="n">
        <v>6.08</v>
      </c>
      <c r="AG58" s="17" t="n">
        <v>0.1</v>
      </c>
      <c r="AH58" s="17" t="n">
        <v>1.46</v>
      </c>
      <c r="AI58" s="17" t="n">
        <v>7.22</v>
      </c>
      <c r="AJ58" s="17" t="n">
        <v>54.86</v>
      </c>
      <c r="AK58" s="17" t="n">
        <v>14538.64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BANKNIFTY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BEARISH</t>
        </is>
      </c>
      <c r="G59" s="15" t="inlineStr">
        <is>
          <t>Price↓(57016.0&lt;57087.2) &amp; EMA9↓(57337.64&lt;57571.24)</t>
        </is>
      </c>
      <c r="H59" s="15" t="n">
        <v>57337.64</v>
      </c>
      <c r="I59" s="15" t="n">
        <v>57571.24</v>
      </c>
      <c r="J59" s="15" t="inlineStr">
        <is>
          <t>2026-07-30</t>
        </is>
      </c>
      <c r="K59" s="15" t="inlineStr">
        <is>
          <t>MONTHLY</t>
        </is>
      </c>
      <c r="L59" s="15" t="n">
        <v>2</v>
      </c>
      <c r="M59" s="15" t="inlineStr">
        <is>
          <t>09:20 IST</t>
        </is>
      </c>
      <c r="N59" s="15" t="inlineStr">
        <is>
          <t>09:56 IST</t>
        </is>
      </c>
      <c r="O59" s="15" t="n">
        <v>57016</v>
      </c>
      <c r="P59" s="15" t="n">
        <v>57087.2</v>
      </c>
      <c r="Q59" s="15" t="inlineStr">
        <is>
          <t>57000 CE</t>
        </is>
      </c>
      <c r="R59" s="15" t="inlineStr">
        <is>
          <t>57200 CE</t>
        </is>
      </c>
      <c r="S59" s="15" t="n">
        <v>38</v>
      </c>
      <c r="T59" s="15" t="n">
        <v>30</v>
      </c>
      <c r="U59" s="15" t="n">
        <v>1140</v>
      </c>
      <c r="V59" s="15" t="n">
        <v>41.89</v>
      </c>
      <c r="W59" s="15" t="n">
        <v>29.32</v>
      </c>
      <c r="X59" s="15" t="n">
        <v>47754.6</v>
      </c>
      <c r="Y59" s="15" t="n">
        <v>47809.31</v>
      </c>
      <c r="Z59" s="15" t="n">
        <v>180245.4</v>
      </c>
      <c r="AA59" s="15" t="n">
        <v>14326.38</v>
      </c>
      <c r="AB59" s="15" t="n">
        <v>14326.38</v>
      </c>
      <c r="AC59" s="15" t="n">
        <v>-14329.8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54.71</v>
      </c>
      <c r="AK59" s="15" t="n">
        <v>-14384.51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BANKNIFTY</t>
        </is>
      </c>
      <c r="C60" s="16" t="inlineStr">
        <is>
          <t>Bull Call Spread</t>
        </is>
      </c>
      <c r="D60" s="16" t="inlineStr">
        <is>
          <t>Bull Call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Price↓(56755.6&lt;57087.2) &amp; EMA9↓(57182.23&lt;57473.39)</t>
        </is>
      </c>
      <c r="H60" s="16" t="n">
        <v>57182.23</v>
      </c>
      <c r="I60" s="16" t="n">
        <v>57473.39</v>
      </c>
      <c r="J60" s="16" t="inlineStr">
        <is>
          <t>2026-07-30</t>
        </is>
      </c>
      <c r="K60" s="16" t="inlineStr">
        <is>
          <t>MONTHLY</t>
        </is>
      </c>
      <c r="L60" s="16" t="n">
        <v>2</v>
      </c>
      <c r="M60" s="16" t="inlineStr">
        <is>
          <t>09:20 IST</t>
        </is>
      </c>
      <c r="N60" s="16" t="inlineStr">
        <is>
          <t>15:13 IST</t>
        </is>
      </c>
      <c r="O60" s="16" t="n">
        <v>56755.6</v>
      </c>
      <c r="P60" s="16" t="n">
        <v>57087.2</v>
      </c>
      <c r="Q60" s="16" t="inlineStr">
        <is>
          <t>56600 CE</t>
        </is>
      </c>
      <c r="R60" s="16" t="inlineStr">
        <is>
          <t>56800 CE</t>
        </is>
      </c>
      <c r="S60" s="16" t="n">
        <v>45</v>
      </c>
      <c r="T60" s="16" t="n">
        <v>30</v>
      </c>
      <c r="U60" s="16" t="n">
        <v>1350</v>
      </c>
      <c r="V60" s="16" t="n">
        <v>35.33</v>
      </c>
      <c r="W60" s="16" t="n">
        <v>34.95</v>
      </c>
      <c r="X60" s="16" t="n">
        <v>47695.5</v>
      </c>
      <c r="Y60" s="16" t="n">
        <v>47750.21</v>
      </c>
      <c r="Z60" s="16" t="n">
        <v>222304.5</v>
      </c>
      <c r="AA60" s="16" t="n">
        <v>14308.65</v>
      </c>
      <c r="AB60" s="16" t="n">
        <v>14308.65</v>
      </c>
      <c r="AC60" s="16" t="n">
        <v>-513</v>
      </c>
      <c r="AD60" s="16" t="n">
        <v>-1.1</v>
      </c>
      <c r="AE60" s="16" t="n">
        <v>40</v>
      </c>
      <c r="AF60" s="16" t="n">
        <v>5.96</v>
      </c>
      <c r="AG60" s="16" t="n">
        <v>0.1</v>
      </c>
      <c r="AH60" s="16" t="n">
        <v>1.43</v>
      </c>
      <c r="AI60" s="16" t="n">
        <v>7.22</v>
      </c>
      <c r="AJ60" s="16" t="n">
        <v>54.71</v>
      </c>
      <c r="AK60" s="16" t="n">
        <v>-567.71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Bull Call Spread</t>
        </is>
      </c>
      <c r="D61" s="17" t="inlineStr">
        <is>
          <t>Bull Call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09:41 IST</t>
        </is>
      </c>
      <c r="O61" s="17" t="n">
        <v>57156.2</v>
      </c>
      <c r="P61" s="17" t="n">
        <v>56755.6</v>
      </c>
      <c r="Q61" s="17" t="inlineStr">
        <is>
          <t>57000 CE</t>
        </is>
      </c>
      <c r="R61" s="17" t="inlineStr">
        <is>
          <t>57200 CE</t>
        </is>
      </c>
      <c r="S61" s="17" t="n">
        <v>34</v>
      </c>
      <c r="T61" s="17" t="n">
        <v>30</v>
      </c>
      <c r="U61" s="17" t="n">
        <v>1020</v>
      </c>
      <c r="V61" s="17" t="n">
        <v>46.96</v>
      </c>
      <c r="W61" s="17" t="n">
        <v>61.05</v>
      </c>
      <c r="X61" s="17" t="n">
        <v>47899.2</v>
      </c>
      <c r="Y61" s="17" t="n">
        <v>47953.94</v>
      </c>
      <c r="Z61" s="17" t="n">
        <v>156100.8</v>
      </c>
      <c r="AA61" s="17" t="n">
        <v>14369.76</v>
      </c>
      <c r="AB61" s="17" t="n">
        <v>14369.76</v>
      </c>
      <c r="AC61" s="17" t="n">
        <v>14371.8</v>
      </c>
      <c r="AD61" s="17" t="n">
        <v>30</v>
      </c>
      <c r="AE61" s="17" t="n">
        <v>40</v>
      </c>
      <c r="AF61" s="17" t="n">
        <v>5.99</v>
      </c>
      <c r="AG61" s="17" t="n">
        <v>0.1</v>
      </c>
      <c r="AH61" s="17" t="n">
        <v>1.44</v>
      </c>
      <c r="AI61" s="17" t="n">
        <v>7.22</v>
      </c>
      <c r="AJ61" s="17" t="n">
        <v>54.74</v>
      </c>
      <c r="AK61" s="17" t="n">
        <v>14317.06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5" t="inlineStr">
        <is>
          <t>2026-07-29</t>
        </is>
      </c>
      <c r="B62" s="15" t="inlineStr">
        <is>
          <t>BANKNIFTY</t>
        </is>
      </c>
      <c r="C62" s="15" t="inlineStr">
        <is>
          <t>Bull Call Spread</t>
        </is>
      </c>
      <c r="D62" s="15" t="inlineStr">
        <is>
          <t>Bull Call Spread</t>
        </is>
      </c>
      <c r="E62" s="15" t="inlineStr">
        <is>
          <t>SIMULATED</t>
        </is>
      </c>
      <c r="F62" s="15" t="inlineStr">
        <is>
          <t>SKIP</t>
        </is>
      </c>
      <c r="G62" s="15" t="inlineStr">
        <is>
          <t>Conflicting — Price:BULLISH EMA:BEARISH</t>
        </is>
      </c>
      <c r="H62" s="15" t="n">
        <v>57186.94</v>
      </c>
      <c r="I62" s="15" t="n">
        <v>57438.52</v>
      </c>
      <c r="J62" s="15" t="inlineStr">
        <is>
          <t>2026-07-30</t>
        </is>
      </c>
      <c r="K62" s="15" t="inlineStr">
        <is>
          <t>MONTHLY</t>
        </is>
      </c>
      <c r="L62" s="15" t="n">
        <v>1</v>
      </c>
      <c r="M62" s="15" t="inlineStr">
        <is>
          <t>09:20 IST</t>
        </is>
      </c>
      <c r="N62" s="15" t="inlineStr">
        <is>
          <t>09:51 IST</t>
        </is>
      </c>
      <c r="O62" s="15" t="n">
        <v>57205.9</v>
      </c>
      <c r="P62" s="15" t="n">
        <v>56755.6</v>
      </c>
      <c r="Q62" s="15" t="inlineStr">
        <is>
          <t>57200 CE</t>
        </is>
      </c>
      <c r="R62" s="15" t="inlineStr">
        <is>
          <t>57400 CE</t>
        </is>
      </c>
      <c r="S62" s="15" t="n">
        <v>35</v>
      </c>
      <c r="T62" s="15" t="n">
        <v>30</v>
      </c>
      <c r="U62" s="15" t="n">
        <v>1050</v>
      </c>
      <c r="V62" s="15" t="n">
        <v>45.56</v>
      </c>
      <c r="W62" s="15" t="n">
        <v>31.89</v>
      </c>
      <c r="X62" s="15" t="n">
        <v>47838</v>
      </c>
      <c r="Y62" s="15" t="n">
        <v>47892.73</v>
      </c>
      <c r="Z62" s="15" t="n">
        <v>162162</v>
      </c>
      <c r="AA62" s="15" t="n">
        <v>14351.4</v>
      </c>
      <c r="AB62" s="15" t="n">
        <v>14351.4</v>
      </c>
      <c r="AC62" s="15" t="n">
        <v>-14353.5</v>
      </c>
      <c r="AD62" s="15" t="n">
        <v>-30</v>
      </c>
      <c r="AE62" s="15" t="n">
        <v>40</v>
      </c>
      <c r="AF62" s="15" t="n">
        <v>5.98</v>
      </c>
      <c r="AG62" s="15" t="n">
        <v>0.1</v>
      </c>
      <c r="AH62" s="15" t="n">
        <v>1.44</v>
      </c>
      <c r="AI62" s="15" t="n">
        <v>7.22</v>
      </c>
      <c r="AJ62" s="15" t="n">
        <v>54.73</v>
      </c>
      <c r="AK62" s="15" t="n">
        <v>-14408.23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BANKNIFTY</t>
        </is>
      </c>
      <c r="C63" s="15" t="inlineStr">
        <is>
          <t>Bull Call Spread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BEARISH</t>
        </is>
      </c>
      <c r="G63" s="15" t="inlineStr">
        <is>
          <t>Price↓(56904.45&lt;57205.9) &amp; EMA9↓(57130.04&lt;57384.53)</t>
        </is>
      </c>
      <c r="H63" s="15" t="n">
        <v>57130.04</v>
      </c>
      <c r="I63" s="15" t="n">
        <v>57384.53</v>
      </c>
      <c r="J63" s="15" t="inlineStr">
        <is>
          <t>2026-07-30</t>
        </is>
      </c>
      <c r="K63" s="15" t="inlineStr">
        <is>
          <t>MONTHLY</t>
        </is>
      </c>
      <c r="L63" s="15" t="n">
        <v>0</v>
      </c>
      <c r="M63" s="15" t="inlineStr">
        <is>
          <t>09:20 IST</t>
        </is>
      </c>
      <c r="N63" s="15" t="inlineStr">
        <is>
          <t>11:18 IST</t>
        </is>
      </c>
      <c r="O63" s="15" t="n">
        <v>56904.45</v>
      </c>
      <c r="P63" s="15" t="n">
        <v>57205.9</v>
      </c>
      <c r="Q63" s="15" t="inlineStr">
        <is>
          <t>56800 CE</t>
        </is>
      </c>
      <c r="R63" s="15" t="inlineStr">
        <is>
          <t>57000 CE</t>
        </is>
      </c>
      <c r="S63" s="15" t="n">
        <v>32</v>
      </c>
      <c r="T63" s="15" t="n">
        <v>30</v>
      </c>
      <c r="U63" s="15" t="n">
        <v>960</v>
      </c>
      <c r="V63" s="15" t="n">
        <v>49.71</v>
      </c>
      <c r="W63" s="15" t="n">
        <v>34.8</v>
      </c>
      <c r="X63" s="15" t="n">
        <v>47721.6</v>
      </c>
      <c r="Y63" s="15" t="n">
        <v>47776.31</v>
      </c>
      <c r="Z63" s="15" t="n">
        <v>144278.4</v>
      </c>
      <c r="AA63" s="15" t="n">
        <v>14316.48</v>
      </c>
      <c r="AB63" s="15" t="n">
        <v>14316.48</v>
      </c>
      <c r="AC63" s="15" t="n">
        <v>-14313.6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54.71</v>
      </c>
      <c r="AK63" s="15" t="n">
        <v>-14368.31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5" t="inlineStr">
        <is>
          <t>2026-07-30</t>
        </is>
      </c>
      <c r="B64" s="15" t="inlineStr">
        <is>
          <t>BANKNIFTY</t>
        </is>
      </c>
      <c r="C64" s="15" t="inlineStr">
        <is>
          <t>Bull Call Spread</t>
        </is>
      </c>
      <c r="D64" s="15" t="inlineStr">
        <is>
          <t>Bull Call Spread</t>
        </is>
      </c>
      <c r="E64" s="15" t="inlineStr">
        <is>
          <t>SIMULATED</t>
        </is>
      </c>
      <c r="F64" s="15" t="inlineStr">
        <is>
          <t>BEARISH</t>
        </is>
      </c>
      <c r="G64" s="15" t="inlineStr">
        <is>
          <t>Price↓(57147.5&lt;57205.9) &amp; EMA9↓(57178.65&lt;57406.62)</t>
        </is>
      </c>
      <c r="H64" s="15" t="n">
        <v>57178.65</v>
      </c>
      <c r="I64" s="15" t="n">
        <v>57406.62</v>
      </c>
      <c r="J64" s="15" t="inlineStr">
        <is>
          <t>2026-07-30</t>
        </is>
      </c>
      <c r="K64" s="15" t="inlineStr">
        <is>
          <t>MONTHLY</t>
        </is>
      </c>
      <c r="L64" s="15" t="n">
        <v>0</v>
      </c>
      <c r="M64" s="15" t="inlineStr">
        <is>
          <t>09:20 IST</t>
        </is>
      </c>
      <c r="N64" s="15" t="inlineStr">
        <is>
          <t>10:35 IST</t>
        </is>
      </c>
      <c r="O64" s="15" t="n">
        <v>57147.5</v>
      </c>
      <c r="P64" s="15" t="n">
        <v>57205.9</v>
      </c>
      <c r="Q64" s="15" t="inlineStr">
        <is>
          <t>57000 CE</t>
        </is>
      </c>
      <c r="R64" s="15" t="inlineStr">
        <is>
          <t>57200 CE</t>
        </is>
      </c>
      <c r="S64" s="15" t="n">
        <v>33</v>
      </c>
      <c r="T64" s="15" t="n">
        <v>30</v>
      </c>
      <c r="U64" s="15" t="n">
        <v>990</v>
      </c>
      <c r="V64" s="15" t="n">
        <v>48.36</v>
      </c>
      <c r="W64" s="15" t="n">
        <v>33.85</v>
      </c>
      <c r="X64" s="15" t="n">
        <v>47876.4</v>
      </c>
      <c r="Y64" s="15" t="n">
        <v>47931.13</v>
      </c>
      <c r="Z64" s="15" t="n">
        <v>150123.6</v>
      </c>
      <c r="AA64" s="15" t="n">
        <v>14362.92</v>
      </c>
      <c r="AB64" s="15" t="n">
        <v>14362.92</v>
      </c>
      <c r="AC64" s="15" t="n">
        <v>-14364.9</v>
      </c>
      <c r="AD64" s="15" t="n">
        <v>-30</v>
      </c>
      <c r="AE64" s="15" t="n">
        <v>40</v>
      </c>
      <c r="AF64" s="15" t="n">
        <v>5.98</v>
      </c>
      <c r="AG64" s="15" t="n">
        <v>0.1</v>
      </c>
      <c r="AH64" s="15" t="n">
        <v>1.44</v>
      </c>
      <c r="AI64" s="15" t="n">
        <v>7.22</v>
      </c>
      <c r="AJ64" s="15" t="n">
        <v>54.73</v>
      </c>
      <c r="AK64" s="15" t="n">
        <v>-14419.63</v>
      </c>
      <c r="AL64" s="15" t="inlineStr">
        <is>
          <t>STOP LOSS</t>
        </is>
      </c>
      <c r="AM64" s="15" t="n">
        <v>50000</v>
      </c>
      <c r="AN64" s="15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Bull Call Spread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10:28 IST</t>
        </is>
      </c>
      <c r="O65" s="15" t="n">
        <v>57181.45</v>
      </c>
      <c r="P65" s="15" t="n">
        <v>57147.5</v>
      </c>
      <c r="Q65" s="15" t="inlineStr">
        <is>
          <t>57000 CE</t>
        </is>
      </c>
      <c r="R65" s="15" t="inlineStr">
        <is>
          <t>57200 CE</t>
        </is>
      </c>
      <c r="S65" s="15" t="n">
        <v>16</v>
      </c>
      <c r="T65" s="15" t="n">
        <v>30</v>
      </c>
      <c r="U65" s="15" t="n">
        <v>480</v>
      </c>
      <c r="V65" s="15" t="n">
        <v>96.90000000000001</v>
      </c>
      <c r="W65" s="15" t="n">
        <v>67.83</v>
      </c>
      <c r="X65" s="15" t="n">
        <v>46512</v>
      </c>
      <c r="Y65" s="15" t="n">
        <v>46566.52</v>
      </c>
      <c r="Z65" s="15" t="n">
        <v>49488</v>
      </c>
      <c r="AA65" s="15" t="n">
        <v>13953.6</v>
      </c>
      <c r="AB65" s="15" t="n">
        <v>13953.6</v>
      </c>
      <c r="AC65" s="15" t="n">
        <v>-13953.6</v>
      </c>
      <c r="AD65" s="15" t="n">
        <v>-30</v>
      </c>
      <c r="AE65" s="15" t="n">
        <v>40</v>
      </c>
      <c r="AF65" s="15" t="n">
        <v>5.81</v>
      </c>
      <c r="AG65" s="15" t="n">
        <v>0.09</v>
      </c>
      <c r="AH65" s="15" t="n">
        <v>1.4</v>
      </c>
      <c r="AI65" s="15" t="n">
        <v>7.22</v>
      </c>
      <c r="AJ65" s="15" t="n">
        <v>54.52</v>
      </c>
      <c r="AK65" s="15" t="n">
        <v>-14008.12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BANKNIFTY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SKIP</t>
        </is>
      </c>
      <c r="G66" s="17" t="inlineStr">
        <is>
          <t>Conflicting — Price:BULLISH EMA:BEARISH</t>
        </is>
      </c>
      <c r="H66" s="17" t="n">
        <v>57195.97</v>
      </c>
      <c r="I66" s="17" t="n">
        <v>57396.65</v>
      </c>
      <c r="J66" s="17" t="inlineStr">
        <is>
          <t>2026-08-27</t>
        </is>
      </c>
      <c r="K66" s="17" t="inlineStr">
        <is>
          <t>MONTHLY</t>
        </is>
      </c>
      <c r="L66" s="17" t="n">
        <v>27</v>
      </c>
      <c r="M66" s="17" t="inlineStr">
        <is>
          <t>09:20 IST</t>
        </is>
      </c>
      <c r="N66" s="17" t="inlineStr">
        <is>
          <t>09:55 IST</t>
        </is>
      </c>
      <c r="O66" s="17" t="n">
        <v>57264.85</v>
      </c>
      <c r="P66" s="17" t="n">
        <v>57147.5</v>
      </c>
      <c r="Q66" s="17" t="inlineStr">
        <is>
          <t>57200 CE</t>
        </is>
      </c>
      <c r="R66" s="17" t="inlineStr">
        <is>
          <t>57400 CE</t>
        </is>
      </c>
      <c r="S66" s="17" t="n">
        <v>15</v>
      </c>
      <c r="T66" s="17" t="n">
        <v>30</v>
      </c>
      <c r="U66" s="17" t="n">
        <v>450</v>
      </c>
      <c r="V66" s="17" t="n">
        <v>108.71</v>
      </c>
      <c r="W66" s="17" t="n">
        <v>141.32</v>
      </c>
      <c r="X66" s="17" t="n">
        <v>48919.5</v>
      </c>
      <c r="Y66" s="17" t="n">
        <v>48974.4</v>
      </c>
      <c r="Z66" s="17" t="n">
        <v>41080.5</v>
      </c>
      <c r="AA66" s="17" t="n">
        <v>14675.85</v>
      </c>
      <c r="AB66" s="17" t="n">
        <v>14675.85</v>
      </c>
      <c r="AC66" s="17" t="n">
        <v>14674.5</v>
      </c>
      <c r="AD66" s="17" t="n">
        <v>30</v>
      </c>
      <c r="AE66" s="17" t="n">
        <v>40</v>
      </c>
      <c r="AF66" s="17" t="n">
        <v>6.11</v>
      </c>
      <c r="AG66" s="17" t="n">
        <v>0.1</v>
      </c>
      <c r="AH66" s="17" t="n">
        <v>1.47</v>
      </c>
      <c r="AI66" s="17" t="n">
        <v>7.22</v>
      </c>
      <c r="AJ66" s="17" t="n">
        <v>54.9</v>
      </c>
      <c r="AK66" s="17" t="n">
        <v>14619.6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Bull Call Spread</t>
        </is>
      </c>
      <c r="D67" s="15" t="inlineStr">
        <is>
          <t>Bull Call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10:26 IST</t>
        </is>
      </c>
      <c r="O67" s="15" t="n">
        <v>57801.65</v>
      </c>
      <c r="P67" s="15" t="n">
        <v>57264.85</v>
      </c>
      <c r="Q67" s="15" t="inlineStr">
        <is>
          <t>57800 CE</t>
        </is>
      </c>
      <c r="R67" s="15" t="inlineStr">
        <is>
          <t>58000 CE</t>
        </is>
      </c>
      <c r="S67" s="15" t="n">
        <v>19</v>
      </c>
      <c r="T67" s="15" t="n">
        <v>30</v>
      </c>
      <c r="U67" s="15" t="n">
        <v>570</v>
      </c>
      <c r="V67" s="15" t="n">
        <v>84.84</v>
      </c>
      <c r="W67" s="15" t="n">
        <v>59.39</v>
      </c>
      <c r="X67" s="15" t="n">
        <v>48358.8</v>
      </c>
      <c r="Y67" s="15" t="n">
        <v>48413.61</v>
      </c>
      <c r="Z67" s="15" t="n">
        <v>65641.2</v>
      </c>
      <c r="AA67" s="15" t="n">
        <v>14507.64</v>
      </c>
      <c r="AB67" s="15" t="n">
        <v>14507.64</v>
      </c>
      <c r="AC67" s="15" t="n">
        <v>-14506.5</v>
      </c>
      <c r="AD67" s="15" t="n">
        <v>-30</v>
      </c>
      <c r="AE67" s="15" t="n">
        <v>40</v>
      </c>
      <c r="AF67" s="15" t="n">
        <v>6.04</v>
      </c>
      <c r="AG67" s="15" t="n">
        <v>0.1</v>
      </c>
      <c r="AH67" s="15" t="n">
        <v>1.45</v>
      </c>
      <c r="AI67" s="15" t="n">
        <v>7.22</v>
      </c>
      <c r="AJ67" s="15" t="n">
        <v>54.81</v>
      </c>
      <c r="AK67" s="15" t="n">
        <v>-14561.31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09:31 IST</t>
        </is>
      </c>
      <c r="O68" s="15" t="n">
        <v>58247.95</v>
      </c>
      <c r="P68" s="15" t="n">
        <v>57264.85</v>
      </c>
      <c r="Q68" s="15" t="inlineStr">
        <is>
          <t>58200 CE</t>
        </is>
      </c>
      <c r="R68" s="15" t="inlineStr">
        <is>
          <t>58400 CE</t>
        </is>
      </c>
      <c r="S68" s="15" t="n">
        <v>19</v>
      </c>
      <c r="T68" s="15" t="n">
        <v>30</v>
      </c>
      <c r="U68" s="15" t="n">
        <v>570</v>
      </c>
      <c r="V68" s="15" t="n">
        <v>82.67</v>
      </c>
      <c r="W68" s="15" t="n">
        <v>57.87</v>
      </c>
      <c r="X68" s="15" t="n">
        <v>47121.9</v>
      </c>
      <c r="Y68" s="15" t="n">
        <v>47176.52</v>
      </c>
      <c r="Z68" s="15" t="n">
        <v>66878.10000000001</v>
      </c>
      <c r="AA68" s="15" t="n">
        <v>14136.57</v>
      </c>
      <c r="AB68" s="15" t="n">
        <v>14136.57</v>
      </c>
      <c r="AC68" s="15" t="n">
        <v>-14136</v>
      </c>
      <c r="AD68" s="15" t="n">
        <v>-30</v>
      </c>
      <c r="AE68" s="15" t="n">
        <v>40</v>
      </c>
      <c r="AF68" s="15" t="n">
        <v>5.89</v>
      </c>
      <c r="AG68" s="15" t="n">
        <v>0.09</v>
      </c>
      <c r="AH68" s="15" t="n">
        <v>1.41</v>
      </c>
      <c r="AI68" s="15" t="n">
        <v>7.22</v>
      </c>
      <c r="AJ68" s="15" t="n">
        <v>54.62</v>
      </c>
      <c r="AK68" s="15" t="n">
        <v>-14190.62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Bull Call Spread</t>
        </is>
      </c>
      <c r="D69" s="15" t="inlineStr">
        <is>
          <t>Bull Call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10:19 IST</t>
        </is>
      </c>
      <c r="O69" s="15" t="n">
        <v>57568.85</v>
      </c>
      <c r="P69" s="15" t="n">
        <v>57264.85</v>
      </c>
      <c r="Q69" s="15" t="inlineStr">
        <is>
          <t>57400 CE</t>
        </is>
      </c>
      <c r="R69" s="15" t="inlineStr">
        <is>
          <t>57600 CE</t>
        </is>
      </c>
      <c r="S69" s="15" t="n">
        <v>15</v>
      </c>
      <c r="T69" s="15" t="n">
        <v>30</v>
      </c>
      <c r="U69" s="15" t="n">
        <v>450</v>
      </c>
      <c r="V69" s="15" t="n">
        <v>109.64</v>
      </c>
      <c r="W69" s="15" t="n">
        <v>76.75</v>
      </c>
      <c r="X69" s="15" t="n">
        <v>49338</v>
      </c>
      <c r="Y69" s="15" t="n">
        <v>49392.96</v>
      </c>
      <c r="Z69" s="15" t="n">
        <v>40662</v>
      </c>
      <c r="AA69" s="15" t="n">
        <v>14801.4</v>
      </c>
      <c r="AB69" s="15" t="n">
        <v>14801.4</v>
      </c>
      <c r="AC69" s="15" t="n">
        <v>-14800.5</v>
      </c>
      <c r="AD69" s="15" t="n">
        <v>-30</v>
      </c>
      <c r="AE69" s="15" t="n">
        <v>40</v>
      </c>
      <c r="AF69" s="15" t="n">
        <v>6.17</v>
      </c>
      <c r="AG69" s="15" t="n">
        <v>0.1</v>
      </c>
      <c r="AH69" s="15" t="n">
        <v>1.48</v>
      </c>
      <c r="AI69" s="15" t="n">
        <v>7.22</v>
      </c>
      <c r="AJ69" s="15" t="n">
        <v>54.96</v>
      </c>
      <c r="AK69" s="15" t="n">
        <v>-14855.46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BANKNIFTY</t>
        </is>
      </c>
      <c r="C70" s="15" t="inlineStr">
        <is>
          <t>Bull Call Spread</t>
        </is>
      </c>
      <c r="D70" s="15" t="inlineStr">
        <is>
          <t>Bull Call Spread</t>
        </is>
      </c>
      <c r="E70" s="15" t="inlineStr">
        <is>
          <t>SIMULATED</t>
        </is>
      </c>
      <c r="F70" s="15" t="inlineStr">
        <is>
          <t>BEARISH</t>
        </is>
      </c>
      <c r="G70" s="15" t="inlineStr">
        <is>
          <t>Price↓(57907.2&lt;58247.95) &amp; EMA9↓(57506.7&lt;57562.15)</t>
        </is>
      </c>
      <c r="H70" s="15" t="n">
        <v>57506.7</v>
      </c>
      <c r="I70" s="15" t="n">
        <v>57562.15</v>
      </c>
      <c r="J70" s="15" t="inlineStr">
        <is>
          <t>2026-08-27</t>
        </is>
      </c>
      <c r="K70" s="15" t="inlineStr">
        <is>
          <t>MONTHLY</t>
        </is>
      </c>
      <c r="L70" s="15" t="n">
        <v>23</v>
      </c>
      <c r="M70" s="15" t="inlineStr">
        <is>
          <t>09:20 IST</t>
        </is>
      </c>
      <c r="N70" s="15" t="inlineStr">
        <is>
          <t>09:40 IST</t>
        </is>
      </c>
      <c r="O70" s="15" t="n">
        <v>57907.2</v>
      </c>
      <c r="P70" s="15" t="n">
        <v>58247.95</v>
      </c>
      <c r="Q70" s="15" t="inlineStr">
        <is>
          <t>57800 CE</t>
        </is>
      </c>
      <c r="R70" s="15" t="inlineStr">
        <is>
          <t>58000 CE</t>
        </is>
      </c>
      <c r="S70" s="15" t="n">
        <v>17</v>
      </c>
      <c r="T70" s="15" t="n">
        <v>30</v>
      </c>
      <c r="U70" s="15" t="n">
        <v>510</v>
      </c>
      <c r="V70" s="15" t="n">
        <v>92.34999999999999</v>
      </c>
      <c r="W70" s="15" t="n">
        <v>64.64</v>
      </c>
      <c r="X70" s="15" t="n">
        <v>47098.5</v>
      </c>
      <c r="Y70" s="15" t="n">
        <v>47153.11</v>
      </c>
      <c r="Z70" s="15" t="n">
        <v>54901.5</v>
      </c>
      <c r="AA70" s="15" t="n">
        <v>14129.55</v>
      </c>
      <c r="AB70" s="15" t="n">
        <v>14129.55</v>
      </c>
      <c r="AC70" s="15" t="n">
        <v>-14132.1</v>
      </c>
      <c r="AD70" s="15" t="n">
        <v>-30</v>
      </c>
      <c r="AE70" s="15" t="n">
        <v>40</v>
      </c>
      <c r="AF70" s="15" t="n">
        <v>5.89</v>
      </c>
      <c r="AG70" s="15" t="n">
        <v>0.09</v>
      </c>
      <c r="AH70" s="15" t="n">
        <v>1.41</v>
      </c>
      <c r="AI70" s="15" t="n">
        <v>7.22</v>
      </c>
      <c r="AJ70" s="15" t="n">
        <v>54.61</v>
      </c>
      <c r="AK70" s="15" t="n">
        <v>-14186.71</v>
      </c>
      <c r="AL70" s="15" t="inlineStr">
        <is>
          <t>STOP LOSS</t>
        </is>
      </c>
      <c r="AM70" s="15" t="n">
        <v>50000</v>
      </c>
      <c r="AN70" s="15" t="inlineStr">
        <is>
          <t>PAPER TRADING</t>
        </is>
      </c>
    </row>
    <row r="71">
      <c r="A71" s="16" t="inlineStr">
        <is>
          <t>2026-08-05</t>
        </is>
      </c>
      <c r="B71" s="16" t="inlineStr">
        <is>
          <t>BANKNIFTY</t>
        </is>
      </c>
      <c r="C71" s="16" t="inlineStr">
        <is>
          <t>Bull Call Spread</t>
        </is>
      </c>
      <c r="D71" s="16" t="inlineStr">
        <is>
          <t>Bull Call Spread</t>
        </is>
      </c>
      <c r="E71" s="16" t="inlineStr">
        <is>
          <t>SIMULATED</t>
        </is>
      </c>
      <c r="F71" s="16" t="inlineStr">
        <is>
          <t>BEARISH</t>
        </is>
      </c>
      <c r="G71" s="16" t="inlineStr">
        <is>
          <t>Price↓(57716.45&lt;57907.2) &amp; EMA9↓(57549.77&lt;57589.3)</t>
        </is>
      </c>
      <c r="H71" s="16" t="n">
        <v>57549.77</v>
      </c>
      <c r="I71" s="16" t="n">
        <v>57589.3</v>
      </c>
      <c r="J71" s="16" t="inlineStr">
        <is>
          <t>2026-08-27</t>
        </is>
      </c>
      <c r="K71" s="16" t="inlineStr">
        <is>
          <t>MONTHLY</t>
        </is>
      </c>
      <c r="L71" s="16" t="n">
        <v>22</v>
      </c>
      <c r="M71" s="16" t="inlineStr">
        <is>
          <t>09:20 IST</t>
        </is>
      </c>
      <c r="N71" s="16" t="inlineStr">
        <is>
          <t>14:05 IST</t>
        </is>
      </c>
      <c r="O71" s="16" t="n">
        <v>57716.45</v>
      </c>
      <c r="P71" s="16" t="n">
        <v>57907.2</v>
      </c>
      <c r="Q71" s="16" t="inlineStr">
        <is>
          <t>57600 CE</t>
        </is>
      </c>
      <c r="R71" s="16" t="inlineStr">
        <is>
          <t>57800 CE</t>
        </is>
      </c>
      <c r="S71" s="16" t="n">
        <v>17</v>
      </c>
      <c r="T71" s="16" t="n">
        <v>30</v>
      </c>
      <c r="U71" s="16" t="n">
        <v>510</v>
      </c>
      <c r="V71" s="16" t="n">
        <v>96.58</v>
      </c>
      <c r="W71" s="16" t="n">
        <v>91.87</v>
      </c>
      <c r="X71" s="16" t="n">
        <v>49255.8</v>
      </c>
      <c r="Y71" s="16" t="n">
        <v>49310.75</v>
      </c>
      <c r="Z71" s="16" t="n">
        <v>52744.2</v>
      </c>
      <c r="AA71" s="16" t="n">
        <v>14776.74</v>
      </c>
      <c r="AB71" s="16" t="n">
        <v>14776.74</v>
      </c>
      <c r="AC71" s="16" t="n">
        <v>-2402.1</v>
      </c>
      <c r="AD71" s="16" t="n">
        <v>-4.9</v>
      </c>
      <c r="AE71" s="16" t="n">
        <v>40</v>
      </c>
      <c r="AF71" s="16" t="n">
        <v>6.16</v>
      </c>
      <c r="AG71" s="16" t="n">
        <v>0.1</v>
      </c>
      <c r="AH71" s="16" t="n">
        <v>1.48</v>
      </c>
      <c r="AI71" s="16" t="n">
        <v>7.22</v>
      </c>
      <c r="AJ71" s="16" t="n">
        <v>54.95</v>
      </c>
      <c r="AK71" s="16" t="n">
        <v>-2457.05</v>
      </c>
      <c r="AL71" s="16" t="inlineStr">
        <is>
          <t>FLAT</t>
        </is>
      </c>
      <c r="AM71" s="16" t="n">
        <v>50000</v>
      </c>
      <c r="AN71" s="16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BANKNIFTY</t>
        </is>
      </c>
      <c r="C72" s="17" t="inlineStr">
        <is>
          <t>Bull Call Spread</t>
        </is>
      </c>
      <c r="D72" s="17" t="inlineStr">
        <is>
          <t>Bull Call Spread</t>
        </is>
      </c>
      <c r="E72" s="17" t="inlineStr">
        <is>
          <t>SIMULATED</t>
        </is>
      </c>
      <c r="F72" s="17" t="inlineStr">
        <is>
          <t>BEARISH</t>
        </is>
      </c>
      <c r="G72" s="17" t="inlineStr">
        <is>
          <t>Price↓(57739.95&lt;57907.2) &amp; EMA9↓(57554.47&lt;57591.44)</t>
        </is>
      </c>
      <c r="H72" s="17" t="n">
        <v>57554.47</v>
      </c>
      <c r="I72" s="17" t="n">
        <v>57591.44</v>
      </c>
      <c r="J72" s="17" t="inlineStr">
        <is>
          <t>2026-08-27</t>
        </is>
      </c>
      <c r="K72" s="17" t="inlineStr">
        <is>
          <t>MONTHLY</t>
        </is>
      </c>
      <c r="L72" s="17" t="n">
        <v>22</v>
      </c>
      <c r="M72" s="17" t="inlineStr">
        <is>
          <t>09:20 IST</t>
        </is>
      </c>
      <c r="N72" s="17" t="inlineStr">
        <is>
          <t>10:32 IST</t>
        </is>
      </c>
      <c r="O72" s="17" t="n">
        <v>57739.95</v>
      </c>
      <c r="P72" s="17" t="n">
        <v>57907.2</v>
      </c>
      <c r="Q72" s="17" t="inlineStr">
        <is>
          <t>57600 CE</t>
        </is>
      </c>
      <c r="R72" s="17" t="inlineStr">
        <is>
          <t>57800 CE</t>
        </is>
      </c>
      <c r="S72" s="17" t="n">
        <v>17</v>
      </c>
      <c r="T72" s="17" t="n">
        <v>30</v>
      </c>
      <c r="U72" s="17" t="n">
        <v>510</v>
      </c>
      <c r="V72" s="17" t="n">
        <v>95.42</v>
      </c>
      <c r="W72" s="17" t="n">
        <v>124.05</v>
      </c>
      <c r="X72" s="17" t="n">
        <v>48664.2</v>
      </c>
      <c r="Y72" s="17" t="n">
        <v>48719.06</v>
      </c>
      <c r="Z72" s="17" t="n">
        <v>53335.8</v>
      </c>
      <c r="AA72" s="17" t="n">
        <v>14599.26</v>
      </c>
      <c r="AB72" s="17" t="n">
        <v>14599.26</v>
      </c>
      <c r="AC72" s="17" t="n">
        <v>14601.3</v>
      </c>
      <c r="AD72" s="17" t="n">
        <v>30</v>
      </c>
      <c r="AE72" s="17" t="n">
        <v>40</v>
      </c>
      <c r="AF72" s="17" t="n">
        <v>6.08</v>
      </c>
      <c r="AG72" s="17" t="n">
        <v>0.1</v>
      </c>
      <c r="AH72" s="17" t="n">
        <v>1.46</v>
      </c>
      <c r="AI72" s="17" t="n">
        <v>7.22</v>
      </c>
      <c r="AJ72" s="17" t="n">
        <v>54.86</v>
      </c>
      <c r="AK72" s="17" t="n">
        <v>14546.44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BANKNIFTY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SKIP</t>
        </is>
      </c>
      <c r="G73" s="17" t="inlineStr">
        <is>
          <t>Conflicting — Price:BULLISH EMA:BEARISH</t>
        </is>
      </c>
      <c r="H73" s="17" t="n">
        <v>57614.31</v>
      </c>
      <c r="I73" s="17" t="n">
        <v>57616.82</v>
      </c>
      <c r="J73" s="17" t="inlineStr">
        <is>
          <t>2026-08-27</t>
        </is>
      </c>
      <c r="K73" s="17" t="inlineStr">
        <is>
          <t>MONTHLY</t>
        </is>
      </c>
      <c r="L73" s="17" t="n">
        <v>21</v>
      </c>
      <c r="M73" s="17" t="inlineStr">
        <is>
          <t>09:20 IST</t>
        </is>
      </c>
      <c r="N73" s="17" t="inlineStr">
        <is>
          <t>11:37 IST</t>
        </is>
      </c>
      <c r="O73" s="17" t="n">
        <v>57852.65</v>
      </c>
      <c r="P73" s="17" t="n">
        <v>57739.95</v>
      </c>
      <c r="Q73" s="17" t="inlineStr">
        <is>
          <t>57800 CE</t>
        </is>
      </c>
      <c r="R73" s="17" t="inlineStr">
        <is>
          <t>58000 CE</t>
        </is>
      </c>
      <c r="S73" s="17" t="n">
        <v>16</v>
      </c>
      <c r="T73" s="17" t="n">
        <v>30</v>
      </c>
      <c r="U73" s="17" t="n">
        <v>480</v>
      </c>
      <c r="V73" s="17" t="n">
        <v>99.2</v>
      </c>
      <c r="W73" s="17" t="n">
        <v>128.96</v>
      </c>
      <c r="X73" s="17" t="n">
        <v>47616</v>
      </c>
      <c r="Y73" s="17" t="n">
        <v>47670.69</v>
      </c>
      <c r="Z73" s="17" t="n">
        <v>48384</v>
      </c>
      <c r="AA73" s="17" t="n">
        <v>14284.8</v>
      </c>
      <c r="AB73" s="17" t="n">
        <v>14284.8</v>
      </c>
      <c r="AC73" s="17" t="n">
        <v>14284.8</v>
      </c>
      <c r="AD73" s="17" t="n">
        <v>30</v>
      </c>
      <c r="AE73" s="17" t="n">
        <v>40</v>
      </c>
      <c r="AF73" s="17" t="n">
        <v>5.95</v>
      </c>
      <c r="AG73" s="17" t="n">
        <v>0.1</v>
      </c>
      <c r="AH73" s="17" t="n">
        <v>1.43</v>
      </c>
      <c r="AI73" s="17" t="n">
        <v>7.22</v>
      </c>
      <c r="AJ73" s="17" t="n">
        <v>54.69</v>
      </c>
      <c r="AK73" s="17" t="n">
        <v>14230.11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BANKNIFTY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57693.7</v>
      </c>
      <c r="I74" s="16" t="n">
        <v>57654.77</v>
      </c>
      <c r="J74" s="16" t="inlineStr">
        <is>
          <t>2026-08-27</t>
        </is>
      </c>
      <c r="K74" s="16" t="inlineStr">
        <is>
          <t>MONTHLY</t>
        </is>
      </c>
      <c r="L74" s="16" t="n">
        <v>20</v>
      </c>
      <c r="M74" s="16" t="inlineStr">
        <is>
          <t>09:20 IST</t>
        </is>
      </c>
      <c r="N74" s="16" t="inlineStr">
        <is>
          <t>13:59 IST</t>
        </is>
      </c>
      <c r="O74" s="16" t="n">
        <v>57842.45</v>
      </c>
      <c r="P74" s="16" t="n">
        <v>58063.65</v>
      </c>
      <c r="Q74" s="16" t="inlineStr">
        <is>
          <t>57800 CE</t>
        </is>
      </c>
      <c r="R74" s="16" t="inlineStr">
        <is>
          <t>58000 CE</t>
        </is>
      </c>
      <c r="S74" s="16" t="n">
        <v>15</v>
      </c>
      <c r="T74" s="16" t="n">
        <v>30</v>
      </c>
      <c r="U74" s="16" t="n">
        <v>450</v>
      </c>
      <c r="V74" s="16" t="n">
        <v>104.16</v>
      </c>
      <c r="W74" s="16" t="n">
        <v>101.69</v>
      </c>
      <c r="X74" s="16" t="n">
        <v>46872</v>
      </c>
      <c r="Y74" s="16" t="n">
        <v>46926.58</v>
      </c>
      <c r="Z74" s="16" t="n">
        <v>43128</v>
      </c>
      <c r="AA74" s="16" t="n">
        <v>14061.6</v>
      </c>
      <c r="AB74" s="16" t="n">
        <v>14061.6</v>
      </c>
      <c r="AC74" s="16" t="n">
        <v>-1111.5</v>
      </c>
      <c r="AD74" s="16" t="n">
        <v>-2.4</v>
      </c>
      <c r="AE74" s="16" t="n">
        <v>40</v>
      </c>
      <c r="AF74" s="16" t="n">
        <v>5.86</v>
      </c>
      <c r="AG74" s="16" t="n">
        <v>0.09</v>
      </c>
      <c r="AH74" s="16" t="n">
        <v>1.41</v>
      </c>
      <c r="AI74" s="16" t="n">
        <v>7.22</v>
      </c>
      <c r="AJ74" s="16" t="n">
        <v>54.58</v>
      </c>
      <c r="AK74" s="16" t="n">
        <v>-1166.08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BANKNIFTY</t>
        </is>
      </c>
      <c r="C75" s="15" t="inlineStr">
        <is>
          <t>Bull Call Spread</t>
        </is>
      </c>
      <c r="D75" s="15" t="inlineStr">
        <is>
          <t>Bull Call Spread</t>
        </is>
      </c>
      <c r="E75" s="15" t="inlineStr">
        <is>
          <t>SIMULATED</t>
        </is>
      </c>
      <c r="F75" s="15" t="inlineStr">
        <is>
          <t>SKIP</t>
        </is>
      </c>
      <c r="G75" s="15" t="inlineStr">
        <is>
          <t>Conflicting — Price:BEARISH EMA:BULLISH</t>
        </is>
      </c>
      <c r="H75" s="15" t="n">
        <v>57674.5</v>
      </c>
      <c r="I75" s="15" t="n">
        <v>57646.04</v>
      </c>
      <c r="J75" s="15" t="inlineStr">
        <is>
          <t>2026-08-27</t>
        </is>
      </c>
      <c r="K75" s="15" t="inlineStr">
        <is>
          <t>MONTHLY</t>
        </is>
      </c>
      <c r="L75" s="15" t="n">
        <v>20</v>
      </c>
      <c r="M75" s="15" t="inlineStr">
        <is>
          <t>09:20 IST</t>
        </is>
      </c>
      <c r="N75" s="15" t="inlineStr">
        <is>
          <t>10:07 IST</t>
        </is>
      </c>
      <c r="O75" s="15" t="n">
        <v>57746.45</v>
      </c>
      <c r="P75" s="15" t="n">
        <v>58063.65</v>
      </c>
      <c r="Q75" s="15" t="inlineStr">
        <is>
          <t>57600 CE</t>
        </is>
      </c>
      <c r="R75" s="15" t="inlineStr">
        <is>
          <t>57800 CE</t>
        </is>
      </c>
      <c r="S75" s="15" t="n">
        <v>17</v>
      </c>
      <c r="T75" s="15" t="n">
        <v>30</v>
      </c>
      <c r="U75" s="15" t="n">
        <v>510</v>
      </c>
      <c r="V75" s="15" t="n">
        <v>92.51000000000001</v>
      </c>
      <c r="W75" s="15" t="n">
        <v>64.76000000000001</v>
      </c>
      <c r="X75" s="15" t="n">
        <v>47180.1</v>
      </c>
      <c r="Y75" s="15" t="n">
        <v>47234.72</v>
      </c>
      <c r="Z75" s="15" t="n">
        <v>54819.9</v>
      </c>
      <c r="AA75" s="15" t="n">
        <v>14154.03</v>
      </c>
      <c r="AB75" s="15" t="n">
        <v>14154.03</v>
      </c>
      <c r="AC75" s="15" t="n">
        <v>-14152.5</v>
      </c>
      <c r="AD75" s="15" t="n">
        <v>-30</v>
      </c>
      <c r="AE75" s="15" t="n">
        <v>40</v>
      </c>
      <c r="AF75" s="15" t="n">
        <v>5.9</v>
      </c>
      <c r="AG75" s="15" t="n">
        <v>0.09</v>
      </c>
      <c r="AH75" s="15" t="n">
        <v>1.42</v>
      </c>
      <c r="AI75" s="15" t="n">
        <v>7.22</v>
      </c>
      <c r="AJ75" s="15" t="n">
        <v>54.62</v>
      </c>
      <c r="AK75" s="15" t="n">
        <v>-14207.12</v>
      </c>
      <c r="AL75" s="15" t="inlineStr">
        <is>
          <t>STOP LOSS</t>
        </is>
      </c>
      <c r="AM75" s="15" t="n">
        <v>50000</v>
      </c>
      <c r="AN75" s="15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BANKNIFTY</t>
        </is>
      </c>
      <c r="C76" s="16" t="inlineStr">
        <is>
          <t>Bull Call Spread</t>
        </is>
      </c>
      <c r="D76" s="16" t="inlineStr">
        <is>
          <t>Bull Call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57681.12</v>
      </c>
      <c r="I76" s="16" t="n">
        <v>57666.4</v>
      </c>
      <c r="J76" s="16" t="inlineStr">
        <is>
          <t>2026-08-27</t>
        </is>
      </c>
      <c r="K76" s="16" t="inlineStr">
        <is>
          <t>MONTHLY</t>
        </is>
      </c>
      <c r="L76" s="16" t="n">
        <v>17</v>
      </c>
      <c r="M76" s="16" t="inlineStr">
        <is>
          <t>09:20 IST</t>
        </is>
      </c>
      <c r="N76" s="16" t="inlineStr">
        <is>
          <t>14:14 IST</t>
        </is>
      </c>
      <c r="O76" s="16" t="n">
        <v>57708.7</v>
      </c>
      <c r="P76" s="16" t="n">
        <v>57746.45</v>
      </c>
      <c r="Q76" s="16" t="inlineStr">
        <is>
          <t>57600 CE</t>
        </is>
      </c>
      <c r="R76" s="16" t="inlineStr">
        <is>
          <t>57800 CE</t>
        </is>
      </c>
      <c r="S76" s="16" t="n">
        <v>19</v>
      </c>
      <c r="T76" s="16" t="n">
        <v>30</v>
      </c>
      <c r="U76" s="16" t="n">
        <v>570</v>
      </c>
      <c r="V76" s="16" t="n">
        <v>85.27</v>
      </c>
      <c r="W76" s="16" t="n">
        <v>85.61</v>
      </c>
      <c r="X76" s="16" t="n">
        <v>48603.9</v>
      </c>
      <c r="Y76" s="16" t="n">
        <v>48658.75</v>
      </c>
      <c r="Z76" s="16" t="n">
        <v>65396.1</v>
      </c>
      <c r="AA76" s="16" t="n">
        <v>14581.17</v>
      </c>
      <c r="AB76" s="16" t="n">
        <v>14581.17</v>
      </c>
      <c r="AC76" s="16" t="n">
        <v>193.8</v>
      </c>
      <c r="AD76" s="16" t="n">
        <v>0.4</v>
      </c>
      <c r="AE76" s="16" t="n">
        <v>40</v>
      </c>
      <c r="AF76" s="16" t="n">
        <v>6.08</v>
      </c>
      <c r="AG76" s="16" t="n">
        <v>0.1</v>
      </c>
      <c r="AH76" s="16" t="n">
        <v>1.46</v>
      </c>
      <c r="AI76" s="16" t="n">
        <v>7.22</v>
      </c>
      <c r="AJ76" s="16" t="n">
        <v>54.85</v>
      </c>
      <c r="AK76" s="16" t="n">
        <v>138.95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7" t="inlineStr">
        <is>
          <t>2026-08-10</t>
        </is>
      </c>
      <c r="B77" s="17" t="inlineStr">
        <is>
          <t>BANKNIFTY</t>
        </is>
      </c>
      <c r="C77" s="17" t="inlineStr">
        <is>
          <t>Bull Call Spread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57676.77</v>
      </c>
      <c r="I77" s="17" t="n">
        <v>57664.42</v>
      </c>
      <c r="J77" s="17" t="inlineStr">
        <is>
          <t>2026-08-27</t>
        </is>
      </c>
      <c r="K77" s="17" t="inlineStr">
        <is>
          <t>MONTHLY</t>
        </is>
      </c>
      <c r="L77" s="17" t="n">
        <v>17</v>
      </c>
      <c r="M77" s="17" t="inlineStr">
        <is>
          <t>09:20 IST</t>
        </is>
      </c>
      <c r="N77" s="17" t="inlineStr">
        <is>
          <t>10:13 IST</t>
        </is>
      </c>
      <c r="O77" s="17" t="n">
        <v>57686.95</v>
      </c>
      <c r="P77" s="17" t="n">
        <v>57746.45</v>
      </c>
      <c r="Q77" s="17" t="inlineStr">
        <is>
          <t>57600 CE</t>
        </is>
      </c>
      <c r="R77" s="17" t="inlineStr">
        <is>
          <t>57800 CE</t>
        </is>
      </c>
      <c r="S77" s="17" t="n">
        <v>18</v>
      </c>
      <c r="T77" s="17" t="n">
        <v>30</v>
      </c>
      <c r="U77" s="17" t="n">
        <v>540</v>
      </c>
      <c r="V77" s="17" t="n">
        <v>90.06999999999999</v>
      </c>
      <c r="W77" s="17" t="n">
        <v>117.09</v>
      </c>
      <c r="X77" s="17" t="n">
        <v>48637.8</v>
      </c>
      <c r="Y77" s="17" t="n">
        <v>48692.65</v>
      </c>
      <c r="Z77" s="17" t="n">
        <v>59362.2</v>
      </c>
      <c r="AA77" s="17" t="n">
        <v>14591.34</v>
      </c>
      <c r="AB77" s="17" t="n">
        <v>14591.34</v>
      </c>
      <c r="AC77" s="17" t="n">
        <v>14590.8</v>
      </c>
      <c r="AD77" s="17" t="n">
        <v>30</v>
      </c>
      <c r="AE77" s="17" t="n">
        <v>40</v>
      </c>
      <c r="AF77" s="17" t="n">
        <v>6.08</v>
      </c>
      <c r="AG77" s="17" t="n">
        <v>0.1</v>
      </c>
      <c r="AH77" s="17" t="n">
        <v>1.46</v>
      </c>
      <c r="AI77" s="17" t="n">
        <v>7.22</v>
      </c>
      <c r="AJ77" s="17" t="n">
        <v>54.85</v>
      </c>
      <c r="AK77" s="17" t="n">
        <v>14535.95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BANKNIFTY</t>
        </is>
      </c>
      <c r="C78" s="17" t="inlineStr">
        <is>
          <t>Bull Call Spread</t>
        </is>
      </c>
      <c r="D78" s="17" t="inlineStr">
        <is>
          <t>Bull Call Spread</t>
        </is>
      </c>
      <c r="E78" s="17" t="inlineStr">
        <is>
          <t>SIMULATED</t>
        </is>
      </c>
      <c r="F78" s="17" t="inlineStr">
        <is>
          <t>BEARISH</t>
        </is>
      </c>
      <c r="G78" s="17" t="inlineStr">
        <is>
          <t>Price↓(57194.1&lt;57686.95) &amp; EMA9↓(57580.2&lt;57630.0)</t>
        </is>
      </c>
      <c r="H78" s="17" t="n">
        <v>57580.2</v>
      </c>
      <c r="I78" s="17" t="n">
        <v>57630</v>
      </c>
      <c r="J78" s="17" t="inlineStr">
        <is>
          <t>2026-08-27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11:05 IST</t>
        </is>
      </c>
      <c r="O78" s="17" t="n">
        <v>57194.1</v>
      </c>
      <c r="P78" s="17" t="n">
        <v>57686.95</v>
      </c>
      <c r="Q78" s="17" t="inlineStr">
        <is>
          <t>57000 CE</t>
        </is>
      </c>
      <c r="R78" s="17" t="inlineStr">
        <is>
          <t>57200 CE</t>
        </is>
      </c>
      <c r="S78" s="17" t="n">
        <v>15</v>
      </c>
      <c r="T78" s="17" t="n">
        <v>30</v>
      </c>
      <c r="U78" s="17" t="n">
        <v>450</v>
      </c>
      <c r="V78" s="17" t="n">
        <v>109.17</v>
      </c>
      <c r="W78" s="17" t="n">
        <v>141.92</v>
      </c>
      <c r="X78" s="17" t="n">
        <v>49126.5</v>
      </c>
      <c r="Y78" s="17" t="n">
        <v>49181.43</v>
      </c>
      <c r="Z78" s="17" t="n">
        <v>40873.5</v>
      </c>
      <c r="AA78" s="17" t="n">
        <v>14737.95</v>
      </c>
      <c r="AB78" s="17" t="n">
        <v>14737.95</v>
      </c>
      <c r="AC78" s="17" t="n">
        <v>14737.5</v>
      </c>
      <c r="AD78" s="17" t="n">
        <v>30</v>
      </c>
      <c r="AE78" s="17" t="n">
        <v>40</v>
      </c>
      <c r="AF78" s="17" t="n">
        <v>6.14</v>
      </c>
      <c r="AG78" s="17" t="n">
        <v>0.1</v>
      </c>
      <c r="AH78" s="17" t="n">
        <v>1.47</v>
      </c>
      <c r="AI78" s="17" t="n">
        <v>7.22</v>
      </c>
      <c r="AJ78" s="17" t="n">
        <v>54.93</v>
      </c>
      <c r="AK78" s="17" t="n">
        <v>14682.57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2026-08-11</t>
        </is>
      </c>
      <c r="B79" s="15" t="inlineStr">
        <is>
          <t>BANKNIFTY</t>
        </is>
      </c>
      <c r="C79" s="15" t="inlineStr">
        <is>
          <t>Bull Call Spread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BEARISH</t>
        </is>
      </c>
      <c r="G79" s="15" t="inlineStr">
        <is>
          <t>Price↓(57446.25&lt;57686.95) &amp; EMA9↓(57630.63&lt;57652.92)</t>
        </is>
      </c>
      <c r="H79" s="15" t="n">
        <v>57630.63</v>
      </c>
      <c r="I79" s="15" t="n">
        <v>57652.92</v>
      </c>
      <c r="J79" s="15" t="inlineStr">
        <is>
          <t>2026-08-27</t>
        </is>
      </c>
      <c r="K79" s="15" t="inlineStr">
        <is>
          <t>MONTHLY</t>
        </is>
      </c>
      <c r="L79" s="15" t="n">
        <v>16</v>
      </c>
      <c r="M79" s="15" t="inlineStr">
        <is>
          <t>09:20 IST</t>
        </is>
      </c>
      <c r="N79" s="15" t="inlineStr">
        <is>
          <t>10:36 IST</t>
        </is>
      </c>
      <c r="O79" s="15" t="n">
        <v>57446.25</v>
      </c>
      <c r="P79" s="15" t="n">
        <v>57686.95</v>
      </c>
      <c r="Q79" s="15" t="inlineStr">
        <is>
          <t>57400 CE</t>
        </is>
      </c>
      <c r="R79" s="15" t="inlineStr">
        <is>
          <t>57600 CE</t>
        </is>
      </c>
      <c r="S79" s="15" t="n">
        <v>17</v>
      </c>
      <c r="T79" s="15" t="n">
        <v>30</v>
      </c>
      <c r="U79" s="15" t="n">
        <v>510</v>
      </c>
      <c r="V79" s="15" t="n">
        <v>93.98999999999999</v>
      </c>
      <c r="W79" s="15" t="n">
        <v>65.79000000000001</v>
      </c>
      <c r="X79" s="15" t="n">
        <v>47934.9</v>
      </c>
      <c r="Y79" s="15" t="n">
        <v>47989.64</v>
      </c>
      <c r="Z79" s="15" t="n">
        <v>54065.1</v>
      </c>
      <c r="AA79" s="15" t="n">
        <v>14380.47</v>
      </c>
      <c r="AB79" s="15" t="n">
        <v>14380.47</v>
      </c>
      <c r="AC79" s="15" t="n">
        <v>-14382</v>
      </c>
      <c r="AD79" s="15" t="n">
        <v>-30</v>
      </c>
      <c r="AE79" s="15" t="n">
        <v>40</v>
      </c>
      <c r="AF79" s="15" t="n">
        <v>5.99</v>
      </c>
      <c r="AG79" s="15" t="n">
        <v>0.1</v>
      </c>
      <c r="AH79" s="15" t="n">
        <v>1.44</v>
      </c>
      <c r="AI79" s="15" t="n">
        <v>7.22</v>
      </c>
      <c r="AJ79" s="15" t="n">
        <v>54.74</v>
      </c>
      <c r="AK79" s="15" t="n">
        <v>-14436.74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5" t="inlineStr">
        <is>
          <t>2026-08-12</t>
        </is>
      </c>
      <c r="B80" s="15" t="inlineStr">
        <is>
          <t>BANKNIFTY</t>
        </is>
      </c>
      <c r="C80" s="15" t="inlineStr">
        <is>
          <t>Bull Call Spread</t>
        </is>
      </c>
      <c r="D80" s="15" t="inlineStr">
        <is>
          <t>Bull Call Spread</t>
        </is>
      </c>
      <c r="E80" s="15" t="inlineStr">
        <is>
          <t>SIMULATED</t>
        </is>
      </c>
      <c r="F80" s="15" t="inlineStr">
        <is>
          <t>SKIP</t>
        </is>
      </c>
      <c r="G80" s="15" t="inlineStr">
        <is>
          <t>Conflicting — Price:BULLISH EMA:BEARISH</t>
        </is>
      </c>
      <c r="H80" s="15" t="n">
        <v>57635.76</v>
      </c>
      <c r="I80" s="15" t="n">
        <v>57652.05</v>
      </c>
      <c r="J80" s="15" t="inlineStr">
        <is>
          <t>2026-08-27</t>
        </is>
      </c>
      <c r="K80" s="15" t="inlineStr">
        <is>
          <t>MONTHLY</t>
        </is>
      </c>
      <c r="L80" s="15" t="n">
        <v>15</v>
      </c>
      <c r="M80" s="15" t="inlineStr">
        <is>
          <t>09:20 IST</t>
        </is>
      </c>
      <c r="N80" s="15" t="inlineStr">
        <is>
          <t>09:50 IST</t>
        </is>
      </c>
      <c r="O80" s="15" t="n">
        <v>57655.6</v>
      </c>
      <c r="P80" s="15" t="n">
        <v>57446.25</v>
      </c>
      <c r="Q80" s="15" t="inlineStr">
        <is>
          <t>57600 CE</t>
        </is>
      </c>
      <c r="R80" s="15" t="inlineStr">
        <is>
          <t>57800 CE</t>
        </is>
      </c>
      <c r="S80" s="15" t="n">
        <v>19</v>
      </c>
      <c r="T80" s="15" t="n">
        <v>30</v>
      </c>
      <c r="U80" s="15" t="n">
        <v>570</v>
      </c>
      <c r="V80" s="15" t="n">
        <v>82.2</v>
      </c>
      <c r="W80" s="15" t="n">
        <v>57.54</v>
      </c>
      <c r="X80" s="15" t="n">
        <v>46854</v>
      </c>
      <c r="Y80" s="15" t="n">
        <v>46908.57</v>
      </c>
      <c r="Z80" s="15" t="n">
        <v>67146</v>
      </c>
      <c r="AA80" s="15" t="n">
        <v>14056.2</v>
      </c>
      <c r="AB80" s="15" t="n">
        <v>14056.2</v>
      </c>
      <c r="AC80" s="15" t="n">
        <v>-14056.2</v>
      </c>
      <c r="AD80" s="15" t="n">
        <v>-30</v>
      </c>
      <c r="AE80" s="15" t="n">
        <v>40</v>
      </c>
      <c r="AF80" s="15" t="n">
        <v>5.86</v>
      </c>
      <c r="AG80" s="15" t="n">
        <v>0.09</v>
      </c>
      <c r="AH80" s="15" t="n">
        <v>1.41</v>
      </c>
      <c r="AI80" s="15" t="n">
        <v>7.22</v>
      </c>
      <c r="AJ80" s="15" t="n">
        <v>54.57</v>
      </c>
      <c r="AK80" s="15" t="n">
        <v>-14110.77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7" t="inlineStr">
        <is>
          <t>2026-08-12</t>
        </is>
      </c>
      <c r="B81" s="17" t="inlineStr">
        <is>
          <t>BANKNIFTY</t>
        </is>
      </c>
      <c r="C81" s="17" t="inlineStr">
        <is>
          <t>Bull Call Spread</t>
        </is>
      </c>
      <c r="D81" s="17" t="inlineStr">
        <is>
          <t>Bull Call Spread</t>
        </is>
      </c>
      <c r="E81" s="17" t="inlineStr">
        <is>
          <t>SIMULATED</t>
        </is>
      </c>
      <c r="F81" s="17" t="inlineStr">
        <is>
          <t>BULLISH</t>
        </is>
      </c>
      <c r="G81" s="17" t="inlineStr">
        <is>
          <t>Price↑(57885.85&gt;57446.25) &amp; EMA9↑(57681.81&gt;57672.99)</t>
        </is>
      </c>
      <c r="H81" s="17" t="n">
        <v>57681.81</v>
      </c>
      <c r="I81" s="17" t="n">
        <v>57672.99</v>
      </c>
      <c r="J81" s="17" t="inlineStr">
        <is>
          <t>2026-08-27</t>
        </is>
      </c>
      <c r="K81" s="17" t="inlineStr">
        <is>
          <t>MONTHLY</t>
        </is>
      </c>
      <c r="L81" s="17" t="n">
        <v>15</v>
      </c>
      <c r="M81" s="17" t="inlineStr">
        <is>
          <t>09:20 IST</t>
        </is>
      </c>
      <c r="N81" s="17" t="inlineStr">
        <is>
          <t>09:59 IST</t>
        </is>
      </c>
      <c r="O81" s="17" t="n">
        <v>57885.85</v>
      </c>
      <c r="P81" s="17" t="n">
        <v>57446.25</v>
      </c>
      <c r="Q81" s="17" t="inlineStr">
        <is>
          <t>57800 CE</t>
        </is>
      </c>
      <c r="R81" s="17" t="inlineStr">
        <is>
          <t>58000 CE</t>
        </is>
      </c>
      <c r="S81" s="17" t="n">
        <v>19</v>
      </c>
      <c r="T81" s="17" t="n">
        <v>30</v>
      </c>
      <c r="U81" s="17" t="n">
        <v>570</v>
      </c>
      <c r="V81" s="17" t="n">
        <v>85.52</v>
      </c>
      <c r="W81" s="17" t="n">
        <v>111.18</v>
      </c>
      <c r="X81" s="17" t="n">
        <v>48746.4</v>
      </c>
      <c r="Y81" s="17" t="n">
        <v>48801.27</v>
      </c>
      <c r="Z81" s="17" t="n">
        <v>65253.6</v>
      </c>
      <c r="AA81" s="17" t="n">
        <v>14623.92</v>
      </c>
      <c r="AB81" s="17" t="n">
        <v>14623.92</v>
      </c>
      <c r="AC81" s="17" t="n">
        <v>14626.2</v>
      </c>
      <c r="AD81" s="17" t="n">
        <v>30</v>
      </c>
      <c r="AE81" s="17" t="n">
        <v>40</v>
      </c>
      <c r="AF81" s="17" t="n">
        <v>6.09</v>
      </c>
      <c r="AG81" s="17" t="n">
        <v>0.1</v>
      </c>
      <c r="AH81" s="17" t="n">
        <v>1.46</v>
      </c>
      <c r="AI81" s="17" t="n">
        <v>7.22</v>
      </c>
      <c r="AJ81" s="17" t="n">
        <v>54.87</v>
      </c>
      <c r="AK81" s="17" t="n">
        <v>14571.33</v>
      </c>
      <c r="AL81" s="17" t="inlineStr">
        <is>
          <t>PROFIT</t>
        </is>
      </c>
      <c r="AM81" s="17" t="n">
        <v>50000</v>
      </c>
      <c r="AN81" s="17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BANKNIFTY</t>
        </is>
      </c>
      <c r="C82" s="17" t="inlineStr">
        <is>
          <t>Bull Call Spread</t>
        </is>
      </c>
      <c r="D82" s="17" t="inlineStr">
        <is>
          <t>Bull Call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57674.11</v>
      </c>
      <c r="I82" s="17" t="n">
        <v>57665.53</v>
      </c>
      <c r="J82" s="17" t="inlineStr">
        <is>
          <t>2026-08-27</t>
        </is>
      </c>
      <c r="K82" s="17" t="inlineStr">
        <is>
          <t>MONTHLY</t>
        </is>
      </c>
      <c r="L82" s="17" t="n">
        <v>14</v>
      </c>
      <c r="M82" s="17" t="inlineStr">
        <is>
          <t>09:20 IST</t>
        </is>
      </c>
      <c r="N82" s="17" t="inlineStr">
        <is>
          <t>10:24 IST</t>
        </is>
      </c>
      <c r="O82" s="17" t="n">
        <v>57644.45</v>
      </c>
      <c r="P82" s="17" t="n">
        <v>57885.85</v>
      </c>
      <c r="Q82" s="17" t="inlineStr">
        <is>
          <t>57600 CE</t>
        </is>
      </c>
      <c r="R82" s="17" t="inlineStr">
        <is>
          <t>57800 CE</t>
        </is>
      </c>
      <c r="S82" s="17" t="n">
        <v>18</v>
      </c>
      <c r="T82" s="17" t="n">
        <v>30</v>
      </c>
      <c r="U82" s="17" t="n">
        <v>540</v>
      </c>
      <c r="V82" s="17" t="n">
        <v>89.36</v>
      </c>
      <c r="W82" s="17" t="n">
        <v>116.17</v>
      </c>
      <c r="X82" s="17" t="n">
        <v>48254.4</v>
      </c>
      <c r="Y82" s="17" t="n">
        <v>48309.19</v>
      </c>
      <c r="Z82" s="17" t="n">
        <v>59745.6</v>
      </c>
      <c r="AA82" s="17" t="n">
        <v>14476.32</v>
      </c>
      <c r="AB82" s="17" t="n">
        <v>14476.32</v>
      </c>
      <c r="AC82" s="17" t="n">
        <v>14477.4</v>
      </c>
      <c r="AD82" s="17" t="n">
        <v>30</v>
      </c>
      <c r="AE82" s="17" t="n">
        <v>40</v>
      </c>
      <c r="AF82" s="17" t="n">
        <v>6.03</v>
      </c>
      <c r="AG82" s="17" t="n">
        <v>0.1</v>
      </c>
      <c r="AH82" s="17" t="n">
        <v>1.45</v>
      </c>
      <c r="AI82" s="17" t="n">
        <v>7.22</v>
      </c>
      <c r="AJ82" s="17" t="n">
        <v>54.79</v>
      </c>
      <c r="AK82" s="17" t="n">
        <v>14422.61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N8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BANKNIFTY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BANKNIFTY</t>
        </is>
      </c>
      <c r="C3" s="15" t="inlineStr">
        <is>
          <t>Bear Put Spread</t>
        </is>
      </c>
      <c r="D3" s="15" t="inlineStr">
        <is>
          <t>Bear Put Spread</t>
        </is>
      </c>
      <c r="E3" s="15" t="inlineStr">
        <is>
          <t>BULLISH</t>
        </is>
      </c>
      <c r="F3" s="15" t="inlineStr">
        <is>
          <t>Price↑(56814.8&gt;55176.75) &amp; EMA9↑(55104.01&gt;54716.74)</t>
        </is>
      </c>
      <c r="G3" s="15" t="n">
        <v>55104.01</v>
      </c>
      <c r="H3" s="15" t="n">
        <v>54716.74</v>
      </c>
      <c r="I3" s="15" t="inlineStr">
        <is>
          <t>2026-06-25</t>
        </is>
      </c>
      <c r="J3" s="15" t="inlineStr">
        <is>
          <t>MONTHLY</t>
        </is>
      </c>
      <c r="K3" s="15" t="n">
        <v>10</v>
      </c>
      <c r="L3" s="15" t="inlineStr">
        <is>
          <t>09:20 IST</t>
        </is>
      </c>
      <c r="M3" s="15" t="inlineStr">
        <is>
          <t>09:45 IST</t>
        </is>
      </c>
      <c r="N3" s="15" t="n">
        <v>56814.8</v>
      </c>
      <c r="O3" s="15" t="n">
        <v>55176.75</v>
      </c>
      <c r="P3" s="15" t="inlineStr">
        <is>
          <t>57000 PE</t>
        </is>
      </c>
      <c r="Q3" s="15" t="inlineStr">
        <is>
          <t>56800 PE</t>
        </is>
      </c>
      <c r="R3" s="15" t="n">
        <v>20</v>
      </c>
      <c r="S3" s="15" t="n">
        <v>30</v>
      </c>
      <c r="T3" s="15" t="n">
        <v>600</v>
      </c>
      <c r="U3" s="15" t="n">
        <v>78.70999999999999</v>
      </c>
      <c r="V3" s="15" t="n">
        <v>55.1</v>
      </c>
      <c r="W3" s="15" t="n">
        <v>47226</v>
      </c>
      <c r="X3" s="15" t="n">
        <v>47280.63</v>
      </c>
      <c r="Y3" s="15" t="n">
        <v>72774</v>
      </c>
      <c r="Z3" s="15" t="n">
        <v>14167.8</v>
      </c>
      <c r="AA3" s="15" t="n">
        <v>14167.8</v>
      </c>
      <c r="AB3" s="15" t="n">
        <v>-14166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-14220.63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Bear Put Spread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10:49 IST</t>
        </is>
      </c>
      <c r="N4" s="17" t="n">
        <v>57963.8</v>
      </c>
      <c r="O4" s="17" t="n">
        <v>57585.05</v>
      </c>
      <c r="P4" s="17" t="inlineStr">
        <is>
          <t>58000 PE</t>
        </is>
      </c>
      <c r="Q4" s="17" t="inlineStr">
        <is>
          <t>57800 PE</t>
        </is>
      </c>
      <c r="R4" s="17" t="n">
        <v>26</v>
      </c>
      <c r="S4" s="17" t="n">
        <v>30</v>
      </c>
      <c r="T4" s="17" t="n">
        <v>780</v>
      </c>
      <c r="U4" s="17" t="n">
        <v>61.13</v>
      </c>
      <c r="V4" s="17" t="n">
        <v>79.47</v>
      </c>
      <c r="W4" s="17" t="n">
        <v>47681.4</v>
      </c>
      <c r="X4" s="17" t="n">
        <v>47736.1</v>
      </c>
      <c r="Y4" s="17" t="n">
        <v>108318.6</v>
      </c>
      <c r="Z4" s="17" t="n">
        <v>14304.42</v>
      </c>
      <c r="AA4" s="17" t="n">
        <v>14304.42</v>
      </c>
      <c r="AB4" s="17" t="n">
        <v>14305.2</v>
      </c>
      <c r="AC4" s="17" t="n">
        <v>30</v>
      </c>
      <c r="AD4" s="17" t="n">
        <v>40</v>
      </c>
      <c r="AE4" s="17" t="n">
        <v>5.96</v>
      </c>
      <c r="AF4" s="17" t="n">
        <v>0.1</v>
      </c>
      <c r="AG4" s="17" t="n">
        <v>1.43</v>
      </c>
      <c r="AH4" s="17" t="n">
        <v>7.22</v>
      </c>
      <c r="AI4" s="17" t="n">
        <v>54.7</v>
      </c>
      <c r="AJ4" s="17" t="n">
        <v>14250.5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BANKNIFTY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56788.95</v>
      </c>
      <c r="H5" s="15" t="n">
        <v>55679.28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10:10 IST</t>
        </is>
      </c>
      <c r="N5" s="15" t="n">
        <v>57685.75</v>
      </c>
      <c r="O5" s="15" t="n">
        <v>57963.8</v>
      </c>
      <c r="P5" s="15" t="inlineStr">
        <is>
          <t>57800 PE</t>
        </is>
      </c>
      <c r="Q5" s="15" t="inlineStr">
        <is>
          <t>57600 PE</t>
        </is>
      </c>
      <c r="R5" s="15" t="n">
        <v>31</v>
      </c>
      <c r="S5" s="15" t="n">
        <v>30</v>
      </c>
      <c r="T5" s="15" t="n">
        <v>930</v>
      </c>
      <c r="U5" s="15" t="n">
        <v>51.34</v>
      </c>
      <c r="V5" s="15" t="n">
        <v>35.94</v>
      </c>
      <c r="W5" s="15" t="n">
        <v>47746.2</v>
      </c>
      <c r="X5" s="15" t="n">
        <v>47800.91</v>
      </c>
      <c r="Y5" s="15" t="n">
        <v>138253.8</v>
      </c>
      <c r="Z5" s="15" t="n">
        <v>14323.86</v>
      </c>
      <c r="AA5" s="15" t="n">
        <v>14323.86</v>
      </c>
      <c r="AB5" s="15" t="n">
        <v>-14322</v>
      </c>
      <c r="AC5" s="15" t="n">
        <v>-30</v>
      </c>
      <c r="AD5" s="15" t="n">
        <v>40</v>
      </c>
      <c r="AE5" s="15" t="n">
        <v>5.97</v>
      </c>
      <c r="AF5" s="15" t="n">
        <v>0.1</v>
      </c>
      <c r="AG5" s="15" t="n">
        <v>1.43</v>
      </c>
      <c r="AH5" s="15" t="n">
        <v>7.22</v>
      </c>
      <c r="AI5" s="15" t="n">
        <v>54.71</v>
      </c>
      <c r="AJ5" s="15" t="n">
        <v>-14376.71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2026-06-20</t>
        </is>
      </c>
      <c r="B6" s="17" t="inlineStr">
        <is>
          <t>BANKNIFTY</t>
        </is>
      </c>
      <c r="C6" s="17" t="inlineStr">
        <is>
          <t>Bear Put Spread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EMA9↑(56564.74&gt;55478.64)</t>
        </is>
      </c>
      <c r="G6" s="17" t="n">
        <v>56564.74</v>
      </c>
      <c r="H6" s="17" t="n">
        <v>55478.64</v>
      </c>
      <c r="I6" s="17" t="inlineStr">
        <is>
          <t>2026-06-25</t>
        </is>
      </c>
      <c r="J6" s="17" t="inlineStr">
        <is>
          <t>MONTHLY</t>
        </is>
      </c>
      <c r="K6" s="17" t="n">
        <v>6</v>
      </c>
      <c r="L6" s="17" t="inlineStr">
        <is>
          <t>09:20 IST</t>
        </is>
      </c>
      <c r="M6" s="17" t="inlineStr">
        <is>
          <t>10:36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25</v>
      </c>
      <c r="S6" s="17" t="n">
        <v>30</v>
      </c>
      <c r="T6" s="17" t="n">
        <v>750</v>
      </c>
      <c r="U6" s="17" t="n">
        <v>65.14</v>
      </c>
      <c r="V6" s="17" t="n">
        <v>84.68000000000001</v>
      </c>
      <c r="W6" s="17" t="n">
        <v>48855</v>
      </c>
      <c r="X6" s="17" t="n">
        <v>48909.89</v>
      </c>
      <c r="Y6" s="17" t="n">
        <v>101145</v>
      </c>
      <c r="Z6" s="17" t="n">
        <v>14656.5</v>
      </c>
      <c r="AA6" s="17" t="n">
        <v>14656.5</v>
      </c>
      <c r="AB6" s="17" t="n">
        <v>14655</v>
      </c>
      <c r="AC6" s="17" t="n">
        <v>30</v>
      </c>
      <c r="AD6" s="17" t="n">
        <v>40</v>
      </c>
      <c r="AE6" s="17" t="n">
        <v>6.11</v>
      </c>
      <c r="AF6" s="17" t="n">
        <v>0.1</v>
      </c>
      <c r="AG6" s="17" t="n">
        <v>1.47</v>
      </c>
      <c r="AH6" s="17" t="n">
        <v>7.22</v>
      </c>
      <c r="AI6" s="17" t="n">
        <v>54.89</v>
      </c>
      <c r="AJ6" s="17" t="n">
        <v>14600.11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BANKNIFTY</t>
        </is>
      </c>
      <c r="C7" s="16" t="inlineStr">
        <is>
          <t>Bear Put Spread</t>
        </is>
      </c>
      <c r="D7" s="16" t="inlineStr">
        <is>
          <t>Bear Put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56787.29</v>
      </c>
      <c r="H7" s="16" t="n">
        <v>55649.38</v>
      </c>
      <c r="I7" s="16" t="inlineStr">
        <is>
          <t>2026-06-25</t>
        </is>
      </c>
      <c r="J7" s="16" t="inlineStr">
        <is>
          <t>MONTHLY</t>
        </is>
      </c>
      <c r="K7" s="16" t="n">
        <v>3</v>
      </c>
      <c r="L7" s="16" t="inlineStr">
        <is>
          <t>09:20 IST</t>
        </is>
      </c>
      <c r="M7" s="16" t="inlineStr">
        <is>
          <t>13:41 IST</t>
        </is>
      </c>
      <c r="N7" s="16" t="n">
        <v>57685.75</v>
      </c>
      <c r="O7" s="16" t="n">
        <v>57963.8</v>
      </c>
      <c r="P7" s="16" t="inlineStr">
        <is>
          <t>57800 PE</t>
        </is>
      </c>
      <c r="Q7" s="16" t="inlineStr">
        <is>
          <t>57600 PE</t>
        </is>
      </c>
      <c r="R7" s="16" t="n">
        <v>20</v>
      </c>
      <c r="S7" s="16" t="n">
        <v>30</v>
      </c>
      <c r="T7" s="16" t="n">
        <v>600</v>
      </c>
      <c r="U7" s="16" t="n">
        <v>78.97</v>
      </c>
      <c r="V7" s="16" t="n">
        <v>75.94</v>
      </c>
      <c r="W7" s="16" t="n">
        <v>47382</v>
      </c>
      <c r="X7" s="16" t="n">
        <v>47436.66</v>
      </c>
      <c r="Y7" s="16" t="n">
        <v>72618</v>
      </c>
      <c r="Z7" s="16" t="n">
        <v>14214.6</v>
      </c>
      <c r="AA7" s="16" t="n">
        <v>14214.6</v>
      </c>
      <c r="AB7" s="16" t="n">
        <v>-1818</v>
      </c>
      <c r="AC7" s="16" t="n">
        <v>-3.8</v>
      </c>
      <c r="AD7" s="16" t="n">
        <v>40</v>
      </c>
      <c r="AE7" s="16" t="n">
        <v>5.92</v>
      </c>
      <c r="AF7" s="16" t="n">
        <v>0.09</v>
      </c>
      <c r="AG7" s="16" t="n">
        <v>1.42</v>
      </c>
      <c r="AH7" s="16" t="n">
        <v>7.22</v>
      </c>
      <c r="AI7" s="16" t="n">
        <v>54.66</v>
      </c>
      <c r="AJ7" s="16" t="n">
        <v>-1872.66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10:30 IST</t>
        </is>
      </c>
      <c r="N8" s="15" t="n">
        <v>57685.75</v>
      </c>
      <c r="O8" s="15" t="n">
        <v>57963.8</v>
      </c>
      <c r="P8" s="15" t="inlineStr">
        <is>
          <t>57800 PE</t>
        </is>
      </c>
      <c r="Q8" s="15" t="inlineStr">
        <is>
          <t>57600 PE</t>
        </is>
      </c>
      <c r="R8" s="15" t="n">
        <v>29</v>
      </c>
      <c r="S8" s="15" t="n">
        <v>30</v>
      </c>
      <c r="T8" s="15" t="n">
        <v>870</v>
      </c>
      <c r="U8" s="15" t="n">
        <v>54.26</v>
      </c>
      <c r="V8" s="15" t="n">
        <v>37.98</v>
      </c>
      <c r="W8" s="15" t="n">
        <v>47206.2</v>
      </c>
      <c r="X8" s="15" t="n">
        <v>47260.83</v>
      </c>
      <c r="Y8" s="15" t="n">
        <v>126793.8</v>
      </c>
      <c r="Z8" s="15" t="n">
        <v>14161.86</v>
      </c>
      <c r="AA8" s="15" t="n">
        <v>14161.86</v>
      </c>
      <c r="AB8" s="15" t="n">
        <v>-14163.6</v>
      </c>
      <c r="AC8" s="15" t="n">
        <v>-30</v>
      </c>
      <c r="AD8" s="15" t="n">
        <v>40</v>
      </c>
      <c r="AE8" s="15" t="n">
        <v>5.9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-14218.23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BANKNIFTY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57048.75</v>
      </c>
      <c r="H9" s="16" t="n">
        <v>55970.07</v>
      </c>
      <c r="I9" s="16" t="inlineStr">
        <is>
          <t>2026-06-25</t>
        </is>
      </c>
      <c r="J9" s="16" t="inlineStr">
        <is>
          <t>MONTHLY</t>
        </is>
      </c>
      <c r="K9" s="16" t="n">
        <v>2</v>
      </c>
      <c r="L9" s="16" t="inlineStr">
        <is>
          <t>09:20 IST</t>
        </is>
      </c>
      <c r="M9" s="16" t="inlineStr">
        <is>
          <t>13:33 IST</t>
        </is>
      </c>
      <c r="N9" s="16" t="n">
        <v>57183.75</v>
      </c>
      <c r="O9" s="16" t="n">
        <v>57935.6</v>
      </c>
      <c r="P9" s="16" t="inlineStr">
        <is>
          <t>57200 PE</t>
        </is>
      </c>
      <c r="Q9" s="16" t="inlineStr">
        <is>
          <t>57000 PE</t>
        </is>
      </c>
      <c r="R9" s="16" t="n">
        <v>44</v>
      </c>
      <c r="S9" s="16" t="n">
        <v>30</v>
      </c>
      <c r="T9" s="16" t="n">
        <v>1320</v>
      </c>
      <c r="U9" s="16" t="n">
        <v>36.54</v>
      </c>
      <c r="V9" s="16" t="n">
        <v>34.91</v>
      </c>
      <c r="W9" s="16" t="n">
        <v>48232.8</v>
      </c>
      <c r="X9" s="16" t="n">
        <v>48287.59</v>
      </c>
      <c r="Y9" s="16" t="n">
        <v>215767.2</v>
      </c>
      <c r="Z9" s="16" t="n">
        <v>14469.84</v>
      </c>
      <c r="AA9" s="16" t="n">
        <v>14469.84</v>
      </c>
      <c r="AB9" s="16" t="n">
        <v>-2151.6</v>
      </c>
      <c r="AC9" s="16" t="n">
        <v>-4.5</v>
      </c>
      <c r="AD9" s="16" t="n">
        <v>40</v>
      </c>
      <c r="AE9" s="16" t="n">
        <v>6.03</v>
      </c>
      <c r="AF9" s="16" t="n">
        <v>0.1</v>
      </c>
      <c r="AG9" s="16" t="n">
        <v>1.45</v>
      </c>
      <c r="AH9" s="16" t="n">
        <v>7.22</v>
      </c>
      <c r="AI9" s="16" t="n">
        <v>54.79</v>
      </c>
      <c r="AJ9" s="16" t="n">
        <v>-2206.39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10:12 IST</t>
        </is>
      </c>
      <c r="N10" s="17" t="n">
        <v>57935.6</v>
      </c>
      <c r="O10" s="17" t="n">
        <v>57685.75</v>
      </c>
      <c r="P10" s="17" t="inlineStr">
        <is>
          <t>58000 PE</t>
        </is>
      </c>
      <c r="Q10" s="17" t="inlineStr">
        <is>
          <t>57800 PE</t>
        </is>
      </c>
      <c r="R10" s="17" t="n">
        <v>39</v>
      </c>
      <c r="S10" s="17" t="n">
        <v>30</v>
      </c>
      <c r="T10" s="17" t="n">
        <v>1170</v>
      </c>
      <c r="U10" s="17" t="n">
        <v>40.39</v>
      </c>
      <c r="V10" s="17" t="n">
        <v>52.51</v>
      </c>
      <c r="W10" s="17" t="n">
        <v>47256.3</v>
      </c>
      <c r="X10" s="17" t="n">
        <v>47310.94</v>
      </c>
      <c r="Y10" s="17" t="n">
        <v>186743.7</v>
      </c>
      <c r="Z10" s="17" t="n">
        <v>14176.89</v>
      </c>
      <c r="AA10" s="17" t="n">
        <v>14176.89</v>
      </c>
      <c r="AB10" s="17" t="n">
        <v>14180.4</v>
      </c>
      <c r="AC10" s="17" t="n">
        <v>30</v>
      </c>
      <c r="AD10" s="17" t="n">
        <v>40</v>
      </c>
      <c r="AE10" s="17" t="n">
        <v>5.91</v>
      </c>
      <c r="AF10" s="17" t="n">
        <v>0.09</v>
      </c>
      <c r="AG10" s="17" t="n">
        <v>1.42</v>
      </c>
      <c r="AH10" s="17" t="n">
        <v>7.22</v>
      </c>
      <c r="AI10" s="17" t="n">
        <v>54.64</v>
      </c>
      <c r="AJ10" s="17" t="n">
        <v>14125.76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BANKNIFTY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Price↑(58150.35&gt;57183.75) &amp; EMA9↑(57268.28&gt;56132.92)</t>
        </is>
      </c>
      <c r="H11" s="17" t="n">
        <v>57268.28</v>
      </c>
      <c r="I11" s="17" t="n">
        <v>56132.92</v>
      </c>
      <c r="J11" s="17" t="inlineStr">
        <is>
          <t>2026-06-25</t>
        </is>
      </c>
      <c r="K11" s="17" t="inlineStr">
        <is>
          <t>MONTHLY</t>
        </is>
      </c>
      <c r="L11" s="17" t="n">
        <v>1</v>
      </c>
      <c r="M11" s="17" t="inlineStr">
        <is>
          <t>09:20 IST</t>
        </is>
      </c>
      <c r="N11" s="17" t="inlineStr">
        <is>
          <t>12:12 IST</t>
        </is>
      </c>
      <c r="O11" s="17" t="n">
        <v>58150.35</v>
      </c>
      <c r="P11" s="17" t="n">
        <v>57183.75</v>
      </c>
      <c r="Q11" s="17" t="inlineStr">
        <is>
          <t>58200 PE</t>
        </is>
      </c>
      <c r="R11" s="17" t="inlineStr">
        <is>
          <t>58000 PE</t>
        </is>
      </c>
      <c r="S11" s="17" t="n">
        <v>42</v>
      </c>
      <c r="T11" s="17" t="n">
        <v>30</v>
      </c>
      <c r="U11" s="17" t="n">
        <v>1260</v>
      </c>
      <c r="V11" s="17" t="n">
        <v>37.6</v>
      </c>
      <c r="W11" s="17" t="n">
        <v>48.88</v>
      </c>
      <c r="X11" s="17" t="n">
        <v>47376</v>
      </c>
      <c r="Y11" s="17" t="n">
        <v>47430.66</v>
      </c>
      <c r="Z11" s="17" t="n">
        <v>204624</v>
      </c>
      <c r="AA11" s="17" t="n">
        <v>14212.8</v>
      </c>
      <c r="AB11" s="17" t="n">
        <v>14212.8</v>
      </c>
      <c r="AC11" s="17" t="n">
        <v>14212.8</v>
      </c>
      <c r="AD11" s="17" t="n">
        <v>30</v>
      </c>
      <c r="AE11" s="17" t="n">
        <v>40</v>
      </c>
      <c r="AF11" s="17" t="n">
        <v>5.92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14158.14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BANKNIFTY</t>
        </is>
      </c>
      <c r="C12" s="16" t="inlineStr">
        <is>
          <t>Bear Put Spread</t>
        </is>
      </c>
      <c r="D12" s="16" t="inlineStr">
        <is>
          <t>Bear Put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57047.77</v>
      </c>
      <c r="I12" s="16" t="n">
        <v>55931.18</v>
      </c>
      <c r="J12" s="16" t="inlineStr">
        <is>
          <t>2026-06-25</t>
        </is>
      </c>
      <c r="K12" s="16" t="inlineStr">
        <is>
          <t>MONTHLY</t>
        </is>
      </c>
      <c r="L12" s="16" t="n">
        <v>1</v>
      </c>
      <c r="M12" s="16" t="inlineStr">
        <is>
          <t>09:20 IST</t>
        </is>
      </c>
      <c r="N12" s="16" t="inlineStr">
        <is>
          <t>14:01 IST</t>
        </is>
      </c>
      <c r="O12" s="16" t="n">
        <v>57183.75</v>
      </c>
      <c r="P12" s="16" t="n">
        <v>57935.6</v>
      </c>
      <c r="Q12" s="16" t="inlineStr">
        <is>
          <t>57200 PE</t>
        </is>
      </c>
      <c r="R12" s="16" t="inlineStr">
        <is>
          <t>57000 PE</t>
        </is>
      </c>
      <c r="S12" s="16" t="n">
        <v>32</v>
      </c>
      <c r="T12" s="16" t="n">
        <v>30</v>
      </c>
      <c r="U12" s="16" t="n">
        <v>960</v>
      </c>
      <c r="V12" s="16" t="n">
        <v>49.96</v>
      </c>
      <c r="W12" s="16" t="n">
        <v>50.89</v>
      </c>
      <c r="X12" s="16" t="n">
        <v>47961.6</v>
      </c>
      <c r="Y12" s="16" t="n">
        <v>48016.35</v>
      </c>
      <c r="Z12" s="16" t="n">
        <v>144038.4</v>
      </c>
      <c r="AA12" s="16" t="n">
        <v>14388.48</v>
      </c>
      <c r="AB12" s="16" t="n">
        <v>14388.48</v>
      </c>
      <c r="AC12" s="16" t="n">
        <v>892.8</v>
      </c>
      <c r="AD12" s="16" t="n">
        <v>1.9</v>
      </c>
      <c r="AE12" s="16" t="n">
        <v>40</v>
      </c>
      <c r="AF12" s="16" t="n">
        <v>6</v>
      </c>
      <c r="AG12" s="16" t="n">
        <v>0.1</v>
      </c>
      <c r="AH12" s="16" t="n">
        <v>1.44</v>
      </c>
      <c r="AI12" s="16" t="n">
        <v>7.22</v>
      </c>
      <c r="AJ12" s="16" t="n">
        <v>54.75</v>
      </c>
      <c r="AK12" s="16" t="n">
        <v>838.05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Bear Put Spread</t>
        </is>
      </c>
      <c r="D13" s="17" t="inlineStr">
        <is>
          <t>Bear Put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09:52 IST</t>
        </is>
      </c>
      <c r="O13" s="17" t="n">
        <v>58177.05</v>
      </c>
      <c r="P13" s="17" t="n">
        <v>58150.35</v>
      </c>
      <c r="Q13" s="17" t="inlineStr">
        <is>
          <t>58200 PE</t>
        </is>
      </c>
      <c r="R13" s="17" t="inlineStr">
        <is>
          <t>58000 PE</t>
        </is>
      </c>
      <c r="S13" s="17" t="n">
        <v>34</v>
      </c>
      <c r="T13" s="17" t="n">
        <v>30</v>
      </c>
      <c r="U13" s="17" t="n">
        <v>1020</v>
      </c>
      <c r="V13" s="17" t="n">
        <v>46.95</v>
      </c>
      <c r="W13" s="17" t="n">
        <v>61.04</v>
      </c>
      <c r="X13" s="17" t="n">
        <v>47889</v>
      </c>
      <c r="Y13" s="17" t="n">
        <v>47943.74</v>
      </c>
      <c r="Z13" s="17" t="n">
        <v>156111</v>
      </c>
      <c r="AA13" s="17" t="n">
        <v>14366.7</v>
      </c>
      <c r="AB13" s="17" t="n">
        <v>14366.7</v>
      </c>
      <c r="AC13" s="17" t="n">
        <v>14371.8</v>
      </c>
      <c r="AD13" s="17" t="n">
        <v>30</v>
      </c>
      <c r="AE13" s="17" t="n">
        <v>40</v>
      </c>
      <c r="AF13" s="17" t="n">
        <v>5.99</v>
      </c>
      <c r="AG13" s="17" t="n">
        <v>0.1</v>
      </c>
      <c r="AH13" s="17" t="n">
        <v>1.44</v>
      </c>
      <c r="AI13" s="17" t="n">
        <v>7.22</v>
      </c>
      <c r="AJ13" s="17" t="n">
        <v>54.74</v>
      </c>
      <c r="AK13" s="17" t="n">
        <v>14317.06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Bear Put Spread</t>
        </is>
      </c>
      <c r="D14" s="17" t="inlineStr">
        <is>
          <t>Bear Put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11:41 IST</t>
        </is>
      </c>
      <c r="O14" s="17" t="n">
        <v>58150.35</v>
      </c>
      <c r="P14" s="17" t="n">
        <v>57183.75</v>
      </c>
      <c r="Q14" s="17" t="inlineStr">
        <is>
          <t>58200 PE</t>
        </is>
      </c>
      <c r="R14" s="17" t="inlineStr">
        <is>
          <t>58000 PE</t>
        </is>
      </c>
      <c r="S14" s="17" t="n">
        <v>48</v>
      </c>
      <c r="T14" s="17" t="n">
        <v>30</v>
      </c>
      <c r="U14" s="17" t="n">
        <v>1440</v>
      </c>
      <c r="V14" s="17" t="n">
        <v>33.01</v>
      </c>
      <c r="W14" s="17" t="n">
        <v>42.91</v>
      </c>
      <c r="X14" s="17" t="n">
        <v>47534.4</v>
      </c>
      <c r="Y14" s="17" t="n">
        <v>47589.08</v>
      </c>
      <c r="Z14" s="17" t="n">
        <v>240465.6</v>
      </c>
      <c r="AA14" s="17" t="n">
        <v>14260.32</v>
      </c>
      <c r="AB14" s="17" t="n">
        <v>14260.32</v>
      </c>
      <c r="AC14" s="17" t="n">
        <v>14256</v>
      </c>
      <c r="AD14" s="17" t="n">
        <v>30</v>
      </c>
      <c r="AE14" s="17" t="n">
        <v>40</v>
      </c>
      <c r="AF14" s="17" t="n">
        <v>5.94</v>
      </c>
      <c r="AG14" s="17" t="n">
        <v>0.1</v>
      </c>
      <c r="AH14" s="17" t="n">
        <v>1.43</v>
      </c>
      <c r="AI14" s="17" t="n">
        <v>7.22</v>
      </c>
      <c r="AJ14" s="17" t="n">
        <v>54.68</v>
      </c>
      <c r="AK14" s="17" t="n">
        <v>14201.32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BANKNIFTY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Price↑(58177.05&gt;58150.35) &amp; EMA9↑(57449.52&gt;56225.95)</t>
        </is>
      </c>
      <c r="H15" s="17" t="n">
        <v>57449.52</v>
      </c>
      <c r="I15" s="17" t="n">
        <v>56225.95</v>
      </c>
      <c r="J15" s="17" t="inlineStr">
        <is>
          <t>2026-07-30</t>
        </is>
      </c>
      <c r="K15" s="17" t="inlineStr">
        <is>
          <t>MONTHLY</t>
        </is>
      </c>
      <c r="L15" s="17" t="n">
        <v>34</v>
      </c>
      <c r="M15" s="17" t="inlineStr">
        <is>
          <t>09:20 IST</t>
        </is>
      </c>
      <c r="N15" s="17" t="inlineStr">
        <is>
          <t>10:42 IST</t>
        </is>
      </c>
      <c r="O15" s="17" t="n">
        <v>58177.05</v>
      </c>
      <c r="P15" s="17" t="n">
        <v>58150.35</v>
      </c>
      <c r="Q15" s="17" t="inlineStr">
        <is>
          <t>58200 PE</t>
        </is>
      </c>
      <c r="R15" s="17" t="inlineStr">
        <is>
          <t>58000 PE</t>
        </is>
      </c>
      <c r="S15" s="17" t="n">
        <v>16</v>
      </c>
      <c r="T15" s="17" t="n">
        <v>30</v>
      </c>
      <c r="U15" s="17" t="n">
        <v>480</v>
      </c>
      <c r="V15" s="17" t="n">
        <v>98.05</v>
      </c>
      <c r="W15" s="17" t="n">
        <v>127.47</v>
      </c>
      <c r="X15" s="17" t="n">
        <v>47064</v>
      </c>
      <c r="Y15" s="17" t="n">
        <v>47118.61</v>
      </c>
      <c r="Z15" s="17" t="n">
        <v>48936</v>
      </c>
      <c r="AA15" s="17" t="n">
        <v>14119.2</v>
      </c>
      <c r="AB15" s="17" t="n">
        <v>14119.2</v>
      </c>
      <c r="AC15" s="17" t="n">
        <v>14121.6</v>
      </c>
      <c r="AD15" s="17" t="n">
        <v>30</v>
      </c>
      <c r="AE15" s="17" t="n">
        <v>40</v>
      </c>
      <c r="AF15" s="17" t="n">
        <v>5.88</v>
      </c>
      <c r="AG15" s="17" t="n">
        <v>0.09</v>
      </c>
      <c r="AH15" s="17" t="n">
        <v>1.41</v>
      </c>
      <c r="AI15" s="17" t="n">
        <v>7.22</v>
      </c>
      <c r="AJ15" s="17" t="n">
        <v>54.61</v>
      </c>
      <c r="AK15" s="17" t="n">
        <v>14066.99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5" t="inlineStr">
        <is>
          <t>2026-06-27</t>
        </is>
      </c>
      <c r="B16" s="15" t="inlineStr">
        <is>
          <t>BANKNIFTY</t>
        </is>
      </c>
      <c r="C16" s="15" t="inlineStr">
        <is>
          <t>Bear Put Spread</t>
        </is>
      </c>
      <c r="D16" s="15" t="inlineStr">
        <is>
          <t>Bear Put Spread</t>
        </is>
      </c>
      <c r="E16" s="15" t="inlineStr">
        <is>
          <t>SIMULATED</t>
        </is>
      </c>
      <c r="F16" s="15" t="inlineStr">
        <is>
          <t>BULLISH</t>
        </is>
      </c>
      <c r="G16" s="15" t="inlineStr">
        <is>
          <t>Price↑(58177.05&gt;58150.35) &amp; EMA9↑(57449.52&gt;56225.95)</t>
        </is>
      </c>
      <c r="H16" s="15" t="n">
        <v>57449.52</v>
      </c>
      <c r="I16" s="15" t="n">
        <v>56225.95</v>
      </c>
      <c r="J16" s="15" t="inlineStr">
        <is>
          <t>2026-07-30</t>
        </is>
      </c>
      <c r="K16" s="15" t="inlineStr">
        <is>
          <t>MONTHLY</t>
        </is>
      </c>
      <c r="L16" s="15" t="n">
        <v>34</v>
      </c>
      <c r="M16" s="15" t="inlineStr">
        <is>
          <t>09:20 IST</t>
        </is>
      </c>
      <c r="N16" s="15" t="inlineStr">
        <is>
          <t>10:05 IST</t>
        </is>
      </c>
      <c r="O16" s="15" t="n">
        <v>58177.05</v>
      </c>
      <c r="P16" s="15" t="n">
        <v>58150.35</v>
      </c>
      <c r="Q16" s="15" t="inlineStr">
        <is>
          <t>58200 PE</t>
        </is>
      </c>
      <c r="R16" s="15" t="inlineStr">
        <is>
          <t>58000 PE</t>
        </is>
      </c>
      <c r="S16" s="15" t="n">
        <v>18</v>
      </c>
      <c r="T16" s="15" t="n">
        <v>30</v>
      </c>
      <c r="U16" s="15" t="n">
        <v>540</v>
      </c>
      <c r="V16" s="15" t="n">
        <v>87.26000000000001</v>
      </c>
      <c r="W16" s="15" t="n">
        <v>61.08</v>
      </c>
      <c r="X16" s="15" t="n">
        <v>47120.4</v>
      </c>
      <c r="Y16" s="15" t="n">
        <v>47175.01</v>
      </c>
      <c r="Z16" s="15" t="n">
        <v>60879.6</v>
      </c>
      <c r="AA16" s="15" t="n">
        <v>14136.12</v>
      </c>
      <c r="AB16" s="15" t="n">
        <v>14136.12</v>
      </c>
      <c r="AC16" s="15" t="n">
        <v>-14137.2</v>
      </c>
      <c r="AD16" s="15" t="n">
        <v>-30</v>
      </c>
      <c r="AE16" s="15" t="n">
        <v>40</v>
      </c>
      <c r="AF16" s="15" t="n">
        <v>5.89</v>
      </c>
      <c r="AG16" s="15" t="n">
        <v>0.09</v>
      </c>
      <c r="AH16" s="15" t="n">
        <v>1.41</v>
      </c>
      <c r="AI16" s="15" t="n">
        <v>7.22</v>
      </c>
      <c r="AJ16" s="15" t="n">
        <v>54.61</v>
      </c>
      <c r="AK16" s="15" t="n">
        <v>-14191.81</v>
      </c>
      <c r="AL16" s="15" t="inlineStr">
        <is>
          <t>STOP LOSS</t>
        </is>
      </c>
      <c r="AM16" s="15" t="n">
        <v>50000</v>
      </c>
      <c r="AN16" s="15" t="inlineStr">
        <is>
          <t>PAPER TRADING</t>
        </is>
      </c>
    </row>
    <row r="17">
      <c r="A17" s="17" t="inlineStr">
        <is>
          <t>2026-06-29</t>
        </is>
      </c>
      <c r="B17" s="17" t="inlineStr">
        <is>
          <t>BANKNIFTY</t>
        </is>
      </c>
      <c r="C17" s="17" t="inlineStr">
        <is>
          <t>Bear Put Spread</t>
        </is>
      </c>
      <c r="D17" s="17" t="inlineStr">
        <is>
          <t>Bear Put Spread</t>
        </is>
      </c>
      <c r="E17" s="17" t="inlineStr">
        <is>
          <t>SIMULATED</t>
        </is>
      </c>
      <c r="F17" s="17" t="inlineStr">
        <is>
          <t>SKIP</t>
        </is>
      </c>
      <c r="G17" s="17" t="inlineStr">
        <is>
          <t>Conflicting — Price:BEARISH EMA:BULLISH</t>
        </is>
      </c>
      <c r="H17" s="17" t="n">
        <v>57506.76</v>
      </c>
      <c r="I17" s="17" t="n">
        <v>56326.72</v>
      </c>
      <c r="J17" s="17" t="inlineStr">
        <is>
          <t>2026-07-30</t>
        </is>
      </c>
      <c r="K17" s="17" t="inlineStr">
        <is>
          <t>MONTHLY</t>
        </is>
      </c>
      <c r="L17" s="17" t="n">
        <v>31</v>
      </c>
      <c r="M17" s="17" t="inlineStr">
        <is>
          <t>09:20 IST</t>
        </is>
      </c>
      <c r="N17" s="17" t="inlineStr">
        <is>
          <t>12:05 IST</t>
        </is>
      </c>
      <c r="O17" s="17" t="n">
        <v>57727.35</v>
      </c>
      <c r="P17" s="17" t="n">
        <v>58177.05</v>
      </c>
      <c r="Q17" s="17" t="inlineStr">
        <is>
          <t>57800 PE</t>
        </is>
      </c>
      <c r="R17" s="17" t="inlineStr">
        <is>
          <t>57600 PE</t>
        </is>
      </c>
      <c r="S17" s="17" t="n">
        <v>18</v>
      </c>
      <c r="T17" s="17" t="n">
        <v>30</v>
      </c>
      <c r="U17" s="17" t="n">
        <v>540</v>
      </c>
      <c r="V17" s="17" t="n">
        <v>87.79000000000001</v>
      </c>
      <c r="W17" s="17" t="n">
        <v>114.13</v>
      </c>
      <c r="X17" s="17" t="n">
        <v>47406.6</v>
      </c>
      <c r="Y17" s="17" t="n">
        <v>47461.26</v>
      </c>
      <c r="Z17" s="17" t="n">
        <v>60593.4</v>
      </c>
      <c r="AA17" s="17" t="n">
        <v>14221.98</v>
      </c>
      <c r="AB17" s="17" t="n">
        <v>14221.98</v>
      </c>
      <c r="AC17" s="17" t="n">
        <v>14223.6</v>
      </c>
      <c r="AD17" s="17" t="n">
        <v>30</v>
      </c>
      <c r="AE17" s="17" t="n">
        <v>40</v>
      </c>
      <c r="AF17" s="17" t="n">
        <v>5.93</v>
      </c>
      <c r="AG17" s="17" t="n">
        <v>0.09</v>
      </c>
      <c r="AH17" s="17" t="n">
        <v>1.42</v>
      </c>
      <c r="AI17" s="17" t="n">
        <v>7.22</v>
      </c>
      <c r="AJ17" s="17" t="n">
        <v>54.66</v>
      </c>
      <c r="AK17" s="17" t="n">
        <v>14168.94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Bear Put Spread</t>
        </is>
      </c>
      <c r="D18" s="16" t="inlineStr">
        <is>
          <t>Bear Put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15:11 IST</t>
        </is>
      </c>
      <c r="O18" s="16" t="n">
        <v>58177.05</v>
      </c>
      <c r="P18" s="16" t="n">
        <v>58150.35</v>
      </c>
      <c r="Q18" s="16" t="inlineStr">
        <is>
          <t>58200 PE</t>
        </is>
      </c>
      <c r="R18" s="16" t="inlineStr">
        <is>
          <t>58000 PE</t>
        </is>
      </c>
      <c r="S18" s="16" t="n">
        <v>19</v>
      </c>
      <c r="T18" s="16" t="n">
        <v>30</v>
      </c>
      <c r="U18" s="16" t="n">
        <v>570</v>
      </c>
      <c r="V18" s="16" t="n">
        <v>85.28</v>
      </c>
      <c r="W18" s="16" t="n">
        <v>84</v>
      </c>
      <c r="X18" s="16" t="n">
        <v>48609.6</v>
      </c>
      <c r="Y18" s="16" t="n">
        <v>48664.45</v>
      </c>
      <c r="Z18" s="16" t="n">
        <v>65390.4</v>
      </c>
      <c r="AA18" s="16" t="n">
        <v>14582.88</v>
      </c>
      <c r="AB18" s="16" t="n">
        <v>14582.88</v>
      </c>
      <c r="AC18" s="16" t="n">
        <v>-729.6</v>
      </c>
      <c r="AD18" s="16" t="n">
        <v>-1.5</v>
      </c>
      <c r="AE18" s="16" t="n">
        <v>40</v>
      </c>
      <c r="AF18" s="16" t="n">
        <v>6.08</v>
      </c>
      <c r="AG18" s="16" t="n">
        <v>0.1</v>
      </c>
      <c r="AH18" s="16" t="n">
        <v>1.46</v>
      </c>
      <c r="AI18" s="16" t="n">
        <v>7.22</v>
      </c>
      <c r="AJ18" s="16" t="n">
        <v>54.85</v>
      </c>
      <c r="AK18" s="16" t="n">
        <v>-784.45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BANKNIFTY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57515.81</v>
      </c>
      <c r="I19" s="15" t="n">
        <v>56405.26</v>
      </c>
      <c r="J19" s="15" t="inlineStr">
        <is>
          <t>2026-07-30</t>
        </is>
      </c>
      <c r="K19" s="15" t="inlineStr">
        <is>
          <t>MONTHLY</t>
        </is>
      </c>
      <c r="L19" s="15" t="n">
        <v>30</v>
      </c>
      <c r="M19" s="15" t="inlineStr">
        <is>
          <t>09:20 IST</t>
        </is>
      </c>
      <c r="N19" s="15" t="inlineStr">
        <is>
          <t>09:36 IST</t>
        </is>
      </c>
      <c r="O19" s="15" t="n">
        <v>57542.9</v>
      </c>
      <c r="P19" s="15" t="n">
        <v>57727.35</v>
      </c>
      <c r="Q19" s="15" t="inlineStr">
        <is>
          <t>57600 PE</t>
        </is>
      </c>
      <c r="R19" s="15" t="inlineStr">
        <is>
          <t>57400 PE</t>
        </is>
      </c>
      <c r="S19" s="15" t="n">
        <v>16</v>
      </c>
      <c r="T19" s="15" t="n">
        <v>30</v>
      </c>
      <c r="U19" s="15" t="n">
        <v>480</v>
      </c>
      <c r="V19" s="15" t="n">
        <v>99.3</v>
      </c>
      <c r="W19" s="15" t="n">
        <v>69.51000000000001</v>
      </c>
      <c r="X19" s="15" t="n">
        <v>47664</v>
      </c>
      <c r="Y19" s="15" t="n">
        <v>47718.7</v>
      </c>
      <c r="Z19" s="15" t="n">
        <v>48336</v>
      </c>
      <c r="AA19" s="15" t="n">
        <v>14299.2</v>
      </c>
      <c r="AB19" s="15" t="n">
        <v>14299.2</v>
      </c>
      <c r="AC19" s="15" t="n">
        <v>-14299.2</v>
      </c>
      <c r="AD19" s="15" t="n">
        <v>-30</v>
      </c>
      <c r="AE19" s="15" t="n">
        <v>40</v>
      </c>
      <c r="AF19" s="15" t="n">
        <v>5.96</v>
      </c>
      <c r="AG19" s="15" t="n">
        <v>0.1</v>
      </c>
      <c r="AH19" s="15" t="n">
        <v>1.43</v>
      </c>
      <c r="AI19" s="15" t="n">
        <v>7.22</v>
      </c>
      <c r="AJ19" s="15" t="n">
        <v>54.7</v>
      </c>
      <c r="AK19" s="15" t="n">
        <v>-14353.9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11:36 IST</t>
        </is>
      </c>
      <c r="O20" s="17" t="n">
        <v>57727.35</v>
      </c>
      <c r="P20" s="17" t="n">
        <v>58177.05</v>
      </c>
      <c r="Q20" s="17" t="inlineStr">
        <is>
          <t>57800 PE</t>
        </is>
      </c>
      <c r="R20" s="17" t="inlineStr">
        <is>
          <t>57600 PE</t>
        </is>
      </c>
      <c r="S20" s="17" t="n">
        <v>17</v>
      </c>
      <c r="T20" s="17" t="n">
        <v>30</v>
      </c>
      <c r="U20" s="17" t="n">
        <v>510</v>
      </c>
      <c r="V20" s="17" t="n">
        <v>95.34</v>
      </c>
      <c r="W20" s="17" t="n">
        <v>123.94</v>
      </c>
      <c r="X20" s="17" t="n">
        <v>48623.4</v>
      </c>
      <c r="Y20" s="17" t="n">
        <v>48678.25</v>
      </c>
      <c r="Z20" s="17" t="n">
        <v>53376.6</v>
      </c>
      <c r="AA20" s="17" t="n">
        <v>14587.02</v>
      </c>
      <c r="AB20" s="17" t="n">
        <v>14587.02</v>
      </c>
      <c r="AC20" s="17" t="n">
        <v>14586</v>
      </c>
      <c r="AD20" s="17" t="n">
        <v>30</v>
      </c>
      <c r="AE20" s="17" t="n">
        <v>40</v>
      </c>
      <c r="AF20" s="17" t="n">
        <v>6.08</v>
      </c>
      <c r="AG20" s="17" t="n">
        <v>0.1</v>
      </c>
      <c r="AH20" s="17" t="n">
        <v>1.46</v>
      </c>
      <c r="AI20" s="17" t="n">
        <v>7.22</v>
      </c>
      <c r="AJ20" s="17" t="n">
        <v>54.85</v>
      </c>
      <c r="AK20" s="17" t="n">
        <v>14531.15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2026-07-01</t>
        </is>
      </c>
      <c r="B21" s="15" t="inlineStr">
        <is>
          <t>BANKNIFTY</t>
        </is>
      </c>
      <c r="C21" s="15" t="inlineStr">
        <is>
          <t>Bear Put Spread</t>
        </is>
      </c>
      <c r="D21" s="15" t="inlineStr">
        <is>
          <t>Bear Put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Price↑(58033.05&gt;57542.9) &amp; EMA9↑(57620.33&gt;56533.78)</t>
        </is>
      </c>
      <c r="H21" s="15" t="n">
        <v>57620.33</v>
      </c>
      <c r="I21" s="15" t="n">
        <v>56533.78</v>
      </c>
      <c r="J21" s="15" t="inlineStr">
        <is>
          <t>2026-07-30</t>
        </is>
      </c>
      <c r="K21" s="15" t="inlineStr">
        <is>
          <t>MONTHLY</t>
        </is>
      </c>
      <c r="L21" s="15" t="n">
        <v>29</v>
      </c>
      <c r="M21" s="15" t="inlineStr">
        <is>
          <t>09:20 IST</t>
        </is>
      </c>
      <c r="N21" s="15" t="inlineStr">
        <is>
          <t>11:07 IST</t>
        </is>
      </c>
      <c r="O21" s="15" t="n">
        <v>58033.05</v>
      </c>
      <c r="P21" s="15" t="n">
        <v>57542.9</v>
      </c>
      <c r="Q21" s="15" t="inlineStr">
        <is>
          <t>58200 PE</t>
        </is>
      </c>
      <c r="R21" s="15" t="inlineStr">
        <is>
          <t>58000 PE</t>
        </is>
      </c>
      <c r="S21" s="15" t="n">
        <v>16</v>
      </c>
      <c r="T21" s="15" t="n">
        <v>30</v>
      </c>
      <c r="U21" s="15" t="n">
        <v>480</v>
      </c>
      <c r="V21" s="15" t="n">
        <v>98.78</v>
      </c>
      <c r="W21" s="15" t="n">
        <v>69.15000000000001</v>
      </c>
      <c r="X21" s="15" t="n">
        <v>47414.4</v>
      </c>
      <c r="Y21" s="15" t="n">
        <v>47469.06</v>
      </c>
      <c r="Z21" s="15" t="n">
        <v>48585.6</v>
      </c>
      <c r="AA21" s="15" t="n">
        <v>14224.32</v>
      </c>
      <c r="AB21" s="15" t="n">
        <v>14224.32</v>
      </c>
      <c r="AC21" s="15" t="n">
        <v>-14222.4</v>
      </c>
      <c r="AD21" s="15" t="n">
        <v>-30</v>
      </c>
      <c r="AE21" s="15" t="n">
        <v>40</v>
      </c>
      <c r="AF21" s="15" t="n">
        <v>5.93</v>
      </c>
      <c r="AG21" s="15" t="n">
        <v>0.09</v>
      </c>
      <c r="AH21" s="15" t="n">
        <v>1.42</v>
      </c>
      <c r="AI21" s="15" t="n">
        <v>7.22</v>
      </c>
      <c r="AJ21" s="15" t="n">
        <v>54.66</v>
      </c>
      <c r="AK21" s="15" t="n">
        <v>-14277.06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11:39 IST</t>
        </is>
      </c>
      <c r="O22" s="17" t="n">
        <v>57542.9</v>
      </c>
      <c r="P22" s="17" t="n">
        <v>57727.35</v>
      </c>
      <c r="Q22" s="17" t="inlineStr">
        <is>
          <t>57600 PE</t>
        </is>
      </c>
      <c r="R22" s="17" t="inlineStr">
        <is>
          <t>57400 PE</t>
        </is>
      </c>
      <c r="S22" s="17" t="n">
        <v>18</v>
      </c>
      <c r="T22" s="17" t="n">
        <v>30</v>
      </c>
      <c r="U22" s="17" t="n">
        <v>540</v>
      </c>
      <c r="V22" s="17" t="n">
        <v>86.94</v>
      </c>
      <c r="W22" s="17" t="n">
        <v>113.02</v>
      </c>
      <c r="X22" s="17" t="n">
        <v>46947.6</v>
      </c>
      <c r="Y22" s="17" t="n">
        <v>47002.19</v>
      </c>
      <c r="Z22" s="17" t="n">
        <v>61052.4</v>
      </c>
      <c r="AA22" s="17" t="n">
        <v>14084.28</v>
      </c>
      <c r="AB22" s="17" t="n">
        <v>14084.28</v>
      </c>
      <c r="AC22" s="17" t="n">
        <v>14083.2</v>
      </c>
      <c r="AD22" s="17" t="n">
        <v>30</v>
      </c>
      <c r="AE22" s="17" t="n">
        <v>40</v>
      </c>
      <c r="AF22" s="17" t="n">
        <v>5.87</v>
      </c>
      <c r="AG22" s="17" t="n">
        <v>0.09</v>
      </c>
      <c r="AH22" s="17" t="n">
        <v>1.41</v>
      </c>
      <c r="AI22" s="17" t="n">
        <v>7.22</v>
      </c>
      <c r="AJ22" s="17" t="n">
        <v>54.59</v>
      </c>
      <c r="AK22" s="17" t="n">
        <v>14028.61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6" t="inlineStr">
        <is>
          <t>2026-07-02</t>
        </is>
      </c>
      <c r="B23" s="16" t="inlineStr">
        <is>
          <t>BANKNIFTY</t>
        </is>
      </c>
      <c r="C23" s="16" t="inlineStr">
        <is>
          <t>Bear Put Spread</t>
        </is>
      </c>
      <c r="D23" s="16" t="inlineStr">
        <is>
          <t>Bear Put Spread</t>
        </is>
      </c>
      <c r="E23" s="16" t="inlineStr">
        <is>
          <t>SIMULATED</t>
        </is>
      </c>
      <c r="F23" s="16" t="inlineStr">
        <is>
          <t>SKIP</t>
        </is>
      </c>
      <c r="G23" s="16" t="inlineStr">
        <is>
          <t>Conflicting — Price:BEARISH EMA:BULLISH</t>
        </is>
      </c>
      <c r="H23" s="16" t="n">
        <v>57703.9</v>
      </c>
      <c r="I23" s="16" t="n">
        <v>56657.09</v>
      </c>
      <c r="J23" s="16" t="inlineStr">
        <is>
          <t>2026-07-30</t>
        </is>
      </c>
      <c r="K23" s="16" t="inlineStr">
        <is>
          <t>MONTHLY</t>
        </is>
      </c>
      <c r="L23" s="16" t="n">
        <v>28</v>
      </c>
      <c r="M23" s="16" t="inlineStr">
        <is>
          <t>09:20 IST</t>
        </is>
      </c>
      <c r="N23" s="16" t="inlineStr">
        <is>
          <t>14:14 IST</t>
        </is>
      </c>
      <c r="O23" s="16" t="n">
        <v>58031.65</v>
      </c>
      <c r="P23" s="16" t="n">
        <v>58033.05</v>
      </c>
      <c r="Q23" s="16" t="inlineStr">
        <is>
          <t>58200 PE</t>
        </is>
      </c>
      <c r="R23" s="16" t="inlineStr">
        <is>
          <t>58000 PE</t>
        </is>
      </c>
      <c r="S23" s="16" t="n">
        <v>18</v>
      </c>
      <c r="T23" s="16" t="n">
        <v>30</v>
      </c>
      <c r="U23" s="16" t="n">
        <v>540</v>
      </c>
      <c r="V23" s="16" t="n">
        <v>89.3</v>
      </c>
      <c r="W23" s="16" t="n">
        <v>87.7</v>
      </c>
      <c r="X23" s="16" t="n">
        <v>48222</v>
      </c>
      <c r="Y23" s="16" t="n">
        <v>48276.79</v>
      </c>
      <c r="Z23" s="16" t="n">
        <v>59778</v>
      </c>
      <c r="AA23" s="16" t="n">
        <v>14466.6</v>
      </c>
      <c r="AB23" s="16" t="n">
        <v>14466.6</v>
      </c>
      <c r="AC23" s="16" t="n">
        <v>-864</v>
      </c>
      <c r="AD23" s="16" t="n">
        <v>-1.8</v>
      </c>
      <c r="AE23" s="16" t="n">
        <v>40</v>
      </c>
      <c r="AF23" s="16" t="n">
        <v>6.03</v>
      </c>
      <c r="AG23" s="16" t="n">
        <v>0.1</v>
      </c>
      <c r="AH23" s="16" t="n">
        <v>1.45</v>
      </c>
      <c r="AI23" s="16" t="n">
        <v>7.22</v>
      </c>
      <c r="AJ23" s="16" t="n">
        <v>54.79</v>
      </c>
      <c r="AK23" s="16" t="n">
        <v>-918.79</v>
      </c>
      <c r="AL23" s="16" t="inlineStr">
        <is>
          <t>FLAT</t>
        </is>
      </c>
      <c r="AM23" s="16" t="n">
        <v>50000</v>
      </c>
      <c r="AN23" s="16" t="inlineStr">
        <is>
          <t>PAPER TRADING</t>
        </is>
      </c>
    </row>
    <row r="24">
      <c r="A24" s="16" t="inlineStr">
        <is>
          <t>2026-07-03</t>
        </is>
      </c>
      <c r="B24" s="16" t="inlineStr">
        <is>
          <t>BANKNIFTY</t>
        </is>
      </c>
      <c r="C24" s="16" t="inlineStr">
        <is>
          <t>Bear Put Spread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BULLISH</t>
        </is>
      </c>
      <c r="G24" s="16" t="inlineStr">
        <is>
          <t>Price↑(58033.05&gt;57542.9) &amp; EMA9↑(57621.96&gt;56519.64)</t>
        </is>
      </c>
      <c r="H24" s="16" t="n">
        <v>57621.96</v>
      </c>
      <c r="I24" s="16" t="n">
        <v>56519.64</v>
      </c>
      <c r="J24" s="16" t="inlineStr">
        <is>
          <t>2026-07-30</t>
        </is>
      </c>
      <c r="K24" s="16" t="inlineStr">
        <is>
          <t>MONTHLY</t>
        </is>
      </c>
      <c r="L24" s="16" t="n">
        <v>28</v>
      </c>
      <c r="M24" s="16" t="inlineStr">
        <is>
          <t>09:20 IST</t>
        </is>
      </c>
      <c r="N24" s="16" t="inlineStr">
        <is>
          <t>14:25 IST</t>
        </is>
      </c>
      <c r="O24" s="16" t="n">
        <v>58033.05</v>
      </c>
      <c r="P24" s="16" t="n">
        <v>57542.9</v>
      </c>
      <c r="Q24" s="16" t="inlineStr">
        <is>
          <t>58200 PE</t>
        </is>
      </c>
      <c r="R24" s="16" t="inlineStr">
        <is>
          <t>58000 PE</t>
        </is>
      </c>
      <c r="S24" s="16" t="n">
        <v>16</v>
      </c>
      <c r="T24" s="16" t="n">
        <v>30</v>
      </c>
      <c r="U24" s="16" t="n">
        <v>480</v>
      </c>
      <c r="V24" s="16" t="n">
        <v>101.14</v>
      </c>
      <c r="W24" s="16" t="n">
        <v>103.77</v>
      </c>
      <c r="X24" s="16" t="n">
        <v>48547.2</v>
      </c>
      <c r="Y24" s="16" t="n">
        <v>48602.04</v>
      </c>
      <c r="Z24" s="16" t="n">
        <v>47452.8</v>
      </c>
      <c r="AA24" s="16" t="n">
        <v>14564.16</v>
      </c>
      <c r="AB24" s="16" t="n">
        <v>14564.16</v>
      </c>
      <c r="AC24" s="16" t="n">
        <v>1262.4</v>
      </c>
      <c r="AD24" s="16" t="n">
        <v>2.6</v>
      </c>
      <c r="AE24" s="16" t="n">
        <v>40</v>
      </c>
      <c r="AF24" s="16" t="n">
        <v>6.07</v>
      </c>
      <c r="AG24" s="16" t="n">
        <v>0.1</v>
      </c>
      <c r="AH24" s="16" t="n">
        <v>1.46</v>
      </c>
      <c r="AI24" s="16" t="n">
        <v>7.22</v>
      </c>
      <c r="AJ24" s="16" t="n">
        <v>54.84</v>
      </c>
      <c r="AK24" s="16" t="n">
        <v>1207.56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09:43 IST</t>
        </is>
      </c>
      <c r="O25" s="17" t="n">
        <v>57938.5</v>
      </c>
      <c r="P25" s="17" t="n">
        <v>58031.65</v>
      </c>
      <c r="Q25" s="17" t="inlineStr">
        <is>
          <t>58000 PE</t>
        </is>
      </c>
      <c r="R25" s="17" t="inlineStr">
        <is>
          <t>57800 PE</t>
        </is>
      </c>
      <c r="S25" s="17" t="n">
        <v>15</v>
      </c>
      <c r="T25" s="17" t="n">
        <v>30</v>
      </c>
      <c r="U25" s="17" t="n">
        <v>450</v>
      </c>
      <c r="V25" s="17" t="n">
        <v>104.64</v>
      </c>
      <c r="W25" s="17" t="n">
        <v>136.03</v>
      </c>
      <c r="X25" s="17" t="n">
        <v>47088</v>
      </c>
      <c r="Y25" s="17" t="n">
        <v>47142.61</v>
      </c>
      <c r="Z25" s="17" t="n">
        <v>42912</v>
      </c>
      <c r="AA25" s="17" t="n">
        <v>14126.4</v>
      </c>
      <c r="AB25" s="17" t="n">
        <v>14126.4</v>
      </c>
      <c r="AC25" s="17" t="n">
        <v>14125.5</v>
      </c>
      <c r="AD25" s="17" t="n">
        <v>30</v>
      </c>
      <c r="AE25" s="17" t="n">
        <v>40</v>
      </c>
      <c r="AF25" s="17" t="n">
        <v>5.89</v>
      </c>
      <c r="AG25" s="17" t="n">
        <v>0.09</v>
      </c>
      <c r="AH25" s="17" t="n">
        <v>1.41</v>
      </c>
      <c r="AI25" s="17" t="n">
        <v>7.22</v>
      </c>
      <c r="AJ25" s="17" t="n">
        <v>54.61</v>
      </c>
      <c r="AK25" s="17" t="n">
        <v>14070.89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2026-07-04</t>
        </is>
      </c>
      <c r="B26" s="15" t="inlineStr">
        <is>
          <t>BANKNIFTY</t>
        </is>
      </c>
      <c r="C26" s="15" t="inlineStr">
        <is>
          <t>Bear Put Spread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SKIP</t>
        </is>
      </c>
      <c r="G26" s="15" t="inlineStr">
        <is>
          <t>Conflicting — Price:BEARISH EMA:BULLISH</t>
        </is>
      </c>
      <c r="H26" s="15" t="n">
        <v>57704.35</v>
      </c>
      <c r="I26" s="15" t="n">
        <v>56655.75</v>
      </c>
      <c r="J26" s="15" t="inlineStr">
        <is>
          <t>2026-07-30</t>
        </is>
      </c>
      <c r="K26" s="15" t="inlineStr">
        <is>
          <t>MONTHLY</t>
        </is>
      </c>
      <c r="L26" s="15" t="n">
        <v>27</v>
      </c>
      <c r="M26" s="15" t="inlineStr">
        <is>
          <t>09:20 IST</t>
        </is>
      </c>
      <c r="N26" s="15" t="inlineStr">
        <is>
          <t>10:03 IST</t>
        </is>
      </c>
      <c r="O26" s="15" t="n">
        <v>58031.65</v>
      </c>
      <c r="P26" s="15" t="n">
        <v>58033.05</v>
      </c>
      <c r="Q26" s="15" t="inlineStr">
        <is>
          <t>58200 PE</t>
        </is>
      </c>
      <c r="R26" s="15" t="inlineStr">
        <is>
          <t>58000 PE</t>
        </is>
      </c>
      <c r="S26" s="15" t="n">
        <v>15</v>
      </c>
      <c r="T26" s="15" t="n">
        <v>30</v>
      </c>
      <c r="U26" s="15" t="n">
        <v>450</v>
      </c>
      <c r="V26" s="15" t="n">
        <v>104.35</v>
      </c>
      <c r="W26" s="15" t="n">
        <v>73.04000000000001</v>
      </c>
      <c r="X26" s="15" t="n">
        <v>46957.5</v>
      </c>
      <c r="Y26" s="15" t="n">
        <v>47012.09</v>
      </c>
      <c r="Z26" s="15" t="n">
        <v>43042.5</v>
      </c>
      <c r="AA26" s="15" t="n">
        <v>14087.25</v>
      </c>
      <c r="AB26" s="15" t="n">
        <v>14087.25</v>
      </c>
      <c r="AC26" s="15" t="n">
        <v>-14089.5</v>
      </c>
      <c r="AD26" s="15" t="n">
        <v>-30</v>
      </c>
      <c r="AE26" s="15" t="n">
        <v>40</v>
      </c>
      <c r="AF26" s="15" t="n">
        <v>5.87</v>
      </c>
      <c r="AG26" s="15" t="n">
        <v>0.09</v>
      </c>
      <c r="AH26" s="15" t="n">
        <v>1.41</v>
      </c>
      <c r="AI26" s="15" t="n">
        <v>7.22</v>
      </c>
      <c r="AJ26" s="15" t="n">
        <v>54.59</v>
      </c>
      <c r="AK26" s="15" t="n">
        <v>-14144.09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BANKNIFTY</t>
        </is>
      </c>
      <c r="C27" s="15" t="inlineStr">
        <is>
          <t>Bear Put Spread</t>
        </is>
      </c>
      <c r="D27" s="15" t="inlineStr">
        <is>
          <t>Bear Put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Price↑(58291.5&gt;57938.5) &amp; EMA9↑(57858.32&gt;56864.47)</t>
        </is>
      </c>
      <c r="H27" s="15" t="n">
        <v>57858.32</v>
      </c>
      <c r="I27" s="15" t="n">
        <v>56864.47</v>
      </c>
      <c r="J27" s="15" t="inlineStr">
        <is>
          <t>2026-07-30</t>
        </is>
      </c>
      <c r="K27" s="15" t="inlineStr">
        <is>
          <t>MONTHLY</t>
        </is>
      </c>
      <c r="L27" s="15" t="n">
        <v>24</v>
      </c>
      <c r="M27" s="15" t="inlineStr">
        <is>
          <t>09:20 IST</t>
        </is>
      </c>
      <c r="N27" s="15" t="inlineStr">
        <is>
          <t>11:16 IST</t>
        </is>
      </c>
      <c r="O27" s="15" t="n">
        <v>58291.5</v>
      </c>
      <c r="P27" s="15" t="n">
        <v>57938.5</v>
      </c>
      <c r="Q27" s="15" t="inlineStr">
        <is>
          <t>58400 PE</t>
        </is>
      </c>
      <c r="R27" s="15" t="inlineStr">
        <is>
          <t>58200 PE</t>
        </is>
      </c>
      <c r="S27" s="15" t="n">
        <v>19</v>
      </c>
      <c r="T27" s="15" t="n">
        <v>30</v>
      </c>
      <c r="U27" s="15" t="n">
        <v>570</v>
      </c>
      <c r="V27" s="15" t="n">
        <v>83.86</v>
      </c>
      <c r="W27" s="15" t="n">
        <v>58.7</v>
      </c>
      <c r="X27" s="15" t="n">
        <v>47800.2</v>
      </c>
      <c r="Y27" s="15" t="n">
        <v>47854.92</v>
      </c>
      <c r="Z27" s="15" t="n">
        <v>66199.8</v>
      </c>
      <c r="AA27" s="15" t="n">
        <v>14340.06</v>
      </c>
      <c r="AB27" s="15" t="n">
        <v>14340.06</v>
      </c>
      <c r="AC27" s="15" t="n">
        <v>-14341.2</v>
      </c>
      <c r="AD27" s="15" t="n">
        <v>-30</v>
      </c>
      <c r="AE27" s="15" t="n">
        <v>40</v>
      </c>
      <c r="AF27" s="15" t="n">
        <v>5.98</v>
      </c>
      <c r="AG27" s="15" t="n">
        <v>0.1</v>
      </c>
      <c r="AH27" s="15" t="n">
        <v>1.43</v>
      </c>
      <c r="AI27" s="15" t="n">
        <v>7.22</v>
      </c>
      <c r="AJ27" s="15" t="n">
        <v>54.72</v>
      </c>
      <c r="AK27" s="15" t="n">
        <v>-14395.92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BANKNIFTY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SKIP</t>
        </is>
      </c>
      <c r="G28" s="17" t="inlineStr">
        <is>
          <t>Conflicting — Price:BEARISH EMA:BULLISH</t>
        </is>
      </c>
      <c r="H28" s="17" t="n">
        <v>57750.02</v>
      </c>
      <c r="I28" s="17" t="n">
        <v>56721.77</v>
      </c>
      <c r="J28" s="17" t="inlineStr">
        <is>
          <t>2026-07-30</t>
        </is>
      </c>
      <c r="K28" s="17" t="inlineStr">
        <is>
          <t>MONTHLY</t>
        </is>
      </c>
      <c r="L28" s="17" t="n">
        <v>24</v>
      </c>
      <c r="M28" s="17" t="inlineStr">
        <is>
          <t>09:20 IST</t>
        </is>
      </c>
      <c r="N28" s="17" t="inlineStr">
        <is>
          <t>10:54 IST</t>
        </is>
      </c>
      <c r="O28" s="17" t="n">
        <v>57938.5</v>
      </c>
      <c r="P28" s="17" t="n">
        <v>58031.65</v>
      </c>
      <c r="Q28" s="17" t="inlineStr">
        <is>
          <t>58000 PE</t>
        </is>
      </c>
      <c r="R28" s="17" t="inlineStr">
        <is>
          <t>57800 PE</t>
        </is>
      </c>
      <c r="S28" s="17" t="n">
        <v>20</v>
      </c>
      <c r="T28" s="17" t="n">
        <v>30</v>
      </c>
      <c r="U28" s="17" t="n">
        <v>600</v>
      </c>
      <c r="V28" s="17" t="n">
        <v>80.52</v>
      </c>
      <c r="W28" s="17" t="n">
        <v>104.68</v>
      </c>
      <c r="X28" s="17" t="n">
        <v>48312</v>
      </c>
      <c r="Y28" s="17" t="n">
        <v>48366.8</v>
      </c>
      <c r="Z28" s="17" t="n">
        <v>71688</v>
      </c>
      <c r="AA28" s="17" t="n">
        <v>14493.6</v>
      </c>
      <c r="AB28" s="17" t="n">
        <v>14493.6</v>
      </c>
      <c r="AC28" s="17" t="n">
        <v>14496</v>
      </c>
      <c r="AD28" s="17" t="n">
        <v>30</v>
      </c>
      <c r="AE28" s="17" t="n">
        <v>40</v>
      </c>
      <c r="AF28" s="17" t="n">
        <v>6.04</v>
      </c>
      <c r="AG28" s="17" t="n">
        <v>0.1</v>
      </c>
      <c r="AH28" s="17" t="n">
        <v>1.45</v>
      </c>
      <c r="AI28" s="17" t="n">
        <v>7.22</v>
      </c>
      <c r="AJ28" s="17" t="n">
        <v>54.8</v>
      </c>
      <c r="AK28" s="17" t="n">
        <v>14441.2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BANKNIFTY</t>
        </is>
      </c>
      <c r="C29" s="16" t="inlineStr">
        <is>
          <t>Bear Put Spread</t>
        </is>
      </c>
      <c r="D29" s="16" t="inlineStr">
        <is>
          <t>Bear Put Spread</t>
        </is>
      </c>
      <c r="E29" s="16" t="inlineStr">
        <is>
          <t>SIMULATED</t>
        </is>
      </c>
      <c r="F29" s="16" t="inlineStr">
        <is>
          <t>SKIP</t>
        </is>
      </c>
      <c r="G29" s="16" t="inlineStr">
        <is>
          <t>Conflicting — Price:BEARISH EMA:BULLISH</t>
        </is>
      </c>
      <c r="H29" s="16" t="n">
        <v>57924.34</v>
      </c>
      <c r="I29" s="16" t="n">
        <v>56950.61</v>
      </c>
      <c r="J29" s="16" t="inlineStr">
        <is>
          <t>2026-07-30</t>
        </is>
      </c>
      <c r="K29" s="16" t="inlineStr">
        <is>
          <t>MONTHLY</t>
        </is>
      </c>
      <c r="L29" s="16" t="n">
        <v>23</v>
      </c>
      <c r="M29" s="16" t="inlineStr">
        <is>
          <t>09:20 IST</t>
        </is>
      </c>
      <c r="N29" s="16" t="inlineStr">
        <is>
          <t>14:24 IST</t>
        </is>
      </c>
      <c r="O29" s="16" t="n">
        <v>58200.7</v>
      </c>
      <c r="P29" s="16" t="n">
        <v>58291.5</v>
      </c>
      <c r="Q29" s="16" t="inlineStr">
        <is>
          <t>58400 PE</t>
        </is>
      </c>
      <c r="R29" s="16" t="inlineStr">
        <is>
          <t>58200 PE</t>
        </is>
      </c>
      <c r="S29" s="16" t="n">
        <v>19</v>
      </c>
      <c r="T29" s="16" t="n">
        <v>30</v>
      </c>
      <c r="U29" s="16" t="n">
        <v>570</v>
      </c>
      <c r="V29" s="16" t="n">
        <v>83.84999999999999</v>
      </c>
      <c r="W29" s="16" t="n">
        <v>83.58</v>
      </c>
      <c r="X29" s="16" t="n">
        <v>47794.5</v>
      </c>
      <c r="Y29" s="16" t="n">
        <v>47849.22</v>
      </c>
      <c r="Z29" s="16" t="n">
        <v>66205.5</v>
      </c>
      <c r="AA29" s="16" t="n">
        <v>14338.35</v>
      </c>
      <c r="AB29" s="16" t="n">
        <v>14338.35</v>
      </c>
      <c r="AC29" s="16" t="n">
        <v>-153.9</v>
      </c>
      <c r="AD29" s="16" t="n">
        <v>-0.3</v>
      </c>
      <c r="AE29" s="16" t="n">
        <v>40</v>
      </c>
      <c r="AF29" s="16" t="n">
        <v>5.97</v>
      </c>
      <c r="AG29" s="16" t="n">
        <v>0.1</v>
      </c>
      <c r="AH29" s="16" t="n">
        <v>1.43</v>
      </c>
      <c r="AI29" s="16" t="n">
        <v>7.22</v>
      </c>
      <c r="AJ29" s="16" t="n">
        <v>54.72</v>
      </c>
      <c r="AK29" s="16" t="n">
        <v>-208.62</v>
      </c>
      <c r="AL29" s="16" t="inlineStr">
        <is>
          <t>FLAT</t>
        </is>
      </c>
      <c r="AM29" s="16" t="n">
        <v>50000</v>
      </c>
      <c r="AN29" s="16" t="inlineStr">
        <is>
          <t>PAPER TRADING</t>
        </is>
      </c>
    </row>
    <row r="30">
      <c r="A30" s="16" t="inlineStr">
        <is>
          <t>2026-07-08</t>
        </is>
      </c>
      <c r="B30" s="16" t="inlineStr">
        <is>
          <t>BANKNIFTY</t>
        </is>
      </c>
      <c r="C30" s="16" t="inlineStr">
        <is>
          <t>Bear Put Spread</t>
        </is>
      </c>
      <c r="D30" s="16" t="inlineStr">
        <is>
          <t>Bear Put Spread</t>
        </is>
      </c>
      <c r="E30" s="16" t="inlineStr">
        <is>
          <t>SIMULATED</t>
        </is>
      </c>
      <c r="F30" s="16" t="inlineStr">
        <is>
          <t>BULLISH</t>
        </is>
      </c>
      <c r="G30" s="16" t="inlineStr">
        <is>
          <t>Price↑(58291.5&gt;57938.5) &amp; EMA9↑(57855.26&gt;56825.6)</t>
        </is>
      </c>
      <c r="H30" s="16" t="n">
        <v>57855.26</v>
      </c>
      <c r="I30" s="16" t="n">
        <v>56825.6</v>
      </c>
      <c r="J30" s="16" t="inlineStr">
        <is>
          <t>2026-07-30</t>
        </is>
      </c>
      <c r="K30" s="16" t="inlineStr">
        <is>
          <t>MONTHLY</t>
        </is>
      </c>
      <c r="L30" s="16" t="n">
        <v>23</v>
      </c>
      <c r="M30" s="16" t="inlineStr">
        <is>
          <t>09:20 IST</t>
        </is>
      </c>
      <c r="N30" s="16" t="inlineStr">
        <is>
          <t>13:51 IST</t>
        </is>
      </c>
      <c r="O30" s="16" t="n">
        <v>58291.5</v>
      </c>
      <c r="P30" s="16" t="n">
        <v>57938.5</v>
      </c>
      <c r="Q30" s="16" t="inlineStr">
        <is>
          <t>58400 PE</t>
        </is>
      </c>
      <c r="R30" s="16" t="inlineStr">
        <is>
          <t>58200 PE</t>
        </is>
      </c>
      <c r="S30" s="16" t="n">
        <v>19</v>
      </c>
      <c r="T30" s="16" t="n">
        <v>30</v>
      </c>
      <c r="U30" s="16" t="n">
        <v>570</v>
      </c>
      <c r="V30" s="16" t="n">
        <v>83.34999999999999</v>
      </c>
      <c r="W30" s="16" t="n">
        <v>79.18000000000001</v>
      </c>
      <c r="X30" s="16" t="n">
        <v>47509.5</v>
      </c>
      <c r="Y30" s="16" t="n">
        <v>47564.18</v>
      </c>
      <c r="Z30" s="16" t="n">
        <v>66490.5</v>
      </c>
      <c r="AA30" s="16" t="n">
        <v>14252.85</v>
      </c>
      <c r="AB30" s="16" t="n">
        <v>14252.85</v>
      </c>
      <c r="AC30" s="16" t="n">
        <v>-2376.9</v>
      </c>
      <c r="AD30" s="16" t="n">
        <v>-5</v>
      </c>
      <c r="AE30" s="16" t="n">
        <v>40</v>
      </c>
      <c r="AF30" s="16" t="n">
        <v>5.94</v>
      </c>
      <c r="AG30" s="16" t="n">
        <v>0.1</v>
      </c>
      <c r="AH30" s="16" t="n">
        <v>1.43</v>
      </c>
      <c r="AI30" s="16" t="n">
        <v>7.22</v>
      </c>
      <c r="AJ30" s="16" t="n">
        <v>54.68</v>
      </c>
      <c r="AK30" s="16" t="n">
        <v>-2431.58</v>
      </c>
      <c r="AL30" s="16" t="inlineStr">
        <is>
          <t>FLAT</t>
        </is>
      </c>
      <c r="AM30" s="16" t="n">
        <v>50000</v>
      </c>
      <c r="AN30" s="16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Bear Put Spread</t>
        </is>
      </c>
      <c r="D31" s="16" t="inlineStr">
        <is>
          <t>Bear Put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14:17 IST</t>
        </is>
      </c>
      <c r="O31" s="16" t="n">
        <v>56742.6</v>
      </c>
      <c r="P31" s="16" t="n">
        <v>58200.7</v>
      </c>
      <c r="Q31" s="16" t="inlineStr">
        <is>
          <t>56800 PE</t>
        </is>
      </c>
      <c r="R31" s="16" t="inlineStr">
        <is>
          <t>56600 PE</t>
        </is>
      </c>
      <c r="S31" s="16" t="n">
        <v>17</v>
      </c>
      <c r="T31" s="16" t="n">
        <v>30</v>
      </c>
      <c r="U31" s="16" t="n">
        <v>510</v>
      </c>
      <c r="V31" s="16" t="n">
        <v>91.42</v>
      </c>
      <c r="W31" s="16" t="n">
        <v>91.70999999999999</v>
      </c>
      <c r="X31" s="16" t="n">
        <v>46624.2</v>
      </c>
      <c r="Y31" s="16" t="n">
        <v>46678.74</v>
      </c>
      <c r="Z31" s="16" t="n">
        <v>55375.8</v>
      </c>
      <c r="AA31" s="16" t="n">
        <v>13987.26</v>
      </c>
      <c r="AB31" s="16" t="n">
        <v>13987.26</v>
      </c>
      <c r="AC31" s="16" t="n">
        <v>147.9</v>
      </c>
      <c r="AD31" s="16" t="n">
        <v>0.3</v>
      </c>
      <c r="AE31" s="16" t="n">
        <v>40</v>
      </c>
      <c r="AF31" s="16" t="n">
        <v>5.83</v>
      </c>
      <c r="AG31" s="16" t="n">
        <v>0.09</v>
      </c>
      <c r="AH31" s="16" t="n">
        <v>1.4</v>
      </c>
      <c r="AI31" s="16" t="n">
        <v>7.22</v>
      </c>
      <c r="AJ31" s="16" t="n">
        <v>54.54</v>
      </c>
      <c r="AK31" s="16" t="n">
        <v>93.36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Bear Put Spread</t>
        </is>
      </c>
      <c r="D32" s="17" t="inlineStr">
        <is>
          <t>Bear Put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12:13 IST</t>
        </is>
      </c>
      <c r="O32" s="17" t="n">
        <v>58200.7</v>
      </c>
      <c r="P32" s="17" t="n">
        <v>58291.5</v>
      </c>
      <c r="Q32" s="17" t="inlineStr">
        <is>
          <t>58400 PE</t>
        </is>
      </c>
      <c r="R32" s="17" t="inlineStr">
        <is>
          <t>58200 PE</t>
        </is>
      </c>
      <c r="S32" s="17" t="n">
        <v>19</v>
      </c>
      <c r="T32" s="17" t="n">
        <v>30</v>
      </c>
      <c r="U32" s="17" t="n">
        <v>570</v>
      </c>
      <c r="V32" s="17" t="n">
        <v>82.47</v>
      </c>
      <c r="W32" s="17" t="n">
        <v>107.21</v>
      </c>
      <c r="X32" s="17" t="n">
        <v>47007.9</v>
      </c>
      <c r="Y32" s="17" t="n">
        <v>47062.5</v>
      </c>
      <c r="Z32" s="17" t="n">
        <v>66992.10000000001</v>
      </c>
      <c r="AA32" s="17" t="n">
        <v>14102.37</v>
      </c>
      <c r="AB32" s="17" t="n">
        <v>14102.37</v>
      </c>
      <c r="AC32" s="17" t="n">
        <v>14101.8</v>
      </c>
      <c r="AD32" s="17" t="n">
        <v>30</v>
      </c>
      <c r="AE32" s="17" t="n">
        <v>40</v>
      </c>
      <c r="AF32" s="17" t="n">
        <v>5.88</v>
      </c>
      <c r="AG32" s="17" t="n">
        <v>0.09</v>
      </c>
      <c r="AH32" s="17" t="n">
        <v>1.41</v>
      </c>
      <c r="AI32" s="17" t="n">
        <v>7.22</v>
      </c>
      <c r="AJ32" s="17" t="n">
        <v>54.6</v>
      </c>
      <c r="AK32" s="17" t="n">
        <v>14047.2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BANKNIFTY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Price↑(57252.45&gt;56742.6) &amp; EMA9↑(57599.36&gt;56949.35)</t>
        </is>
      </c>
      <c r="H33" s="17" t="n">
        <v>57599.36</v>
      </c>
      <c r="I33" s="17" t="n">
        <v>56949.35</v>
      </c>
      <c r="J33" s="17" t="inlineStr">
        <is>
          <t>2026-07-30</t>
        </is>
      </c>
      <c r="K33" s="17" t="inlineStr">
        <is>
          <t>MONTHLY</t>
        </is>
      </c>
      <c r="L33" s="17" t="n">
        <v>21</v>
      </c>
      <c r="M33" s="17" t="inlineStr">
        <is>
          <t>09:20 IST</t>
        </is>
      </c>
      <c r="N33" s="17" t="inlineStr">
        <is>
          <t>09:58 IST</t>
        </is>
      </c>
      <c r="O33" s="17" t="n">
        <v>57252.45</v>
      </c>
      <c r="P33" s="17" t="n">
        <v>56742.6</v>
      </c>
      <c r="Q33" s="17" t="inlineStr">
        <is>
          <t>57400 PE</t>
        </is>
      </c>
      <c r="R33" s="17" t="inlineStr">
        <is>
          <t>57200 PE</t>
        </is>
      </c>
      <c r="S33" s="17" t="n">
        <v>19</v>
      </c>
      <c r="T33" s="17" t="n">
        <v>30</v>
      </c>
      <c r="U33" s="17" t="n">
        <v>570</v>
      </c>
      <c r="V33" s="17" t="n">
        <v>83.93000000000001</v>
      </c>
      <c r="W33" s="17" t="n">
        <v>109.11</v>
      </c>
      <c r="X33" s="17" t="n">
        <v>47840.1</v>
      </c>
      <c r="Y33" s="17" t="n">
        <v>47894.83</v>
      </c>
      <c r="Z33" s="17" t="n">
        <v>66159.89999999999</v>
      </c>
      <c r="AA33" s="17" t="n">
        <v>14352.03</v>
      </c>
      <c r="AB33" s="17" t="n">
        <v>14352.03</v>
      </c>
      <c r="AC33" s="17" t="n">
        <v>14352.6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14297.87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BANKNIFTY</t>
        </is>
      </c>
      <c r="C34" s="16" t="inlineStr">
        <is>
          <t>Bear Put Spread</t>
        </is>
      </c>
      <c r="D34" s="16" t="inlineStr">
        <is>
          <t>Bear Put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57686.08</v>
      </c>
      <c r="I34" s="16" t="n">
        <v>56919.04</v>
      </c>
      <c r="J34" s="16" t="inlineStr">
        <is>
          <t>2026-07-30</t>
        </is>
      </c>
      <c r="K34" s="16" t="inlineStr">
        <is>
          <t>MONTHLY</t>
        </is>
      </c>
      <c r="L34" s="16" t="n">
        <v>21</v>
      </c>
      <c r="M34" s="16" t="inlineStr">
        <is>
          <t>09:20 IST</t>
        </is>
      </c>
      <c r="N34" s="16" t="inlineStr">
        <is>
          <t>15:14 IST</t>
        </is>
      </c>
      <c r="O34" s="16" t="n">
        <v>56742.6</v>
      </c>
      <c r="P34" s="16" t="n">
        <v>58200.7</v>
      </c>
      <c r="Q34" s="16" t="inlineStr">
        <is>
          <t>56800 PE</t>
        </is>
      </c>
      <c r="R34" s="16" t="inlineStr">
        <is>
          <t>56600 PE</t>
        </is>
      </c>
      <c r="S34" s="16" t="n">
        <v>18</v>
      </c>
      <c r="T34" s="16" t="n">
        <v>30</v>
      </c>
      <c r="U34" s="16" t="n">
        <v>540</v>
      </c>
      <c r="V34" s="16" t="n">
        <v>88.81999999999999</v>
      </c>
      <c r="W34" s="16" t="n">
        <v>85.92</v>
      </c>
      <c r="X34" s="16" t="n">
        <v>47962.8</v>
      </c>
      <c r="Y34" s="16" t="n">
        <v>48017.55</v>
      </c>
      <c r="Z34" s="16" t="n">
        <v>60037.2</v>
      </c>
      <c r="AA34" s="16" t="n">
        <v>14388.84</v>
      </c>
      <c r="AB34" s="16" t="n">
        <v>14388.84</v>
      </c>
      <c r="AC34" s="16" t="n">
        <v>-1566</v>
      </c>
      <c r="AD34" s="16" t="n">
        <v>-3.3</v>
      </c>
      <c r="AE34" s="16" t="n">
        <v>40</v>
      </c>
      <c r="AF34" s="16" t="n">
        <v>6</v>
      </c>
      <c r="AG34" s="16" t="n">
        <v>0.1</v>
      </c>
      <c r="AH34" s="16" t="n">
        <v>1.44</v>
      </c>
      <c r="AI34" s="16" t="n">
        <v>7.22</v>
      </c>
      <c r="AJ34" s="16" t="n">
        <v>54.75</v>
      </c>
      <c r="AK34" s="16" t="n">
        <v>-1620.75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BANKNIFTY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Price↑(58045.9&gt;57252.45) &amp; EMA9↑(57687.91&gt;57060.71)</t>
        </is>
      </c>
      <c r="H35" s="17" t="n">
        <v>57687.91</v>
      </c>
      <c r="I35" s="17" t="n">
        <v>57060.71</v>
      </c>
      <c r="J35" s="17" t="inlineStr">
        <is>
          <t>2026-07-30</t>
        </is>
      </c>
      <c r="K35" s="17" t="inlineStr">
        <is>
          <t>MONTHLY</t>
        </is>
      </c>
      <c r="L35" s="17" t="n">
        <v>20</v>
      </c>
      <c r="M35" s="17" t="inlineStr">
        <is>
          <t>09:20 IST</t>
        </is>
      </c>
      <c r="N35" s="17" t="inlineStr">
        <is>
          <t>12:08 IST</t>
        </is>
      </c>
      <c r="O35" s="17" t="n">
        <v>58045.9</v>
      </c>
      <c r="P35" s="17" t="n">
        <v>57252.45</v>
      </c>
      <c r="Q35" s="17" t="inlineStr">
        <is>
          <t>58200 PE</t>
        </is>
      </c>
      <c r="R35" s="17" t="inlineStr">
        <is>
          <t>58000 PE</t>
        </is>
      </c>
      <c r="S35" s="17" t="n">
        <v>20</v>
      </c>
      <c r="T35" s="17" t="n">
        <v>30</v>
      </c>
      <c r="U35" s="17" t="n">
        <v>600</v>
      </c>
      <c r="V35" s="17" t="n">
        <v>80.16</v>
      </c>
      <c r="W35" s="17" t="n">
        <v>104.21</v>
      </c>
      <c r="X35" s="17" t="n">
        <v>48096</v>
      </c>
      <c r="Y35" s="17" t="n">
        <v>48150.77</v>
      </c>
      <c r="Z35" s="17" t="n">
        <v>71904</v>
      </c>
      <c r="AA35" s="17" t="n">
        <v>14428.8</v>
      </c>
      <c r="AB35" s="17" t="n">
        <v>14428.8</v>
      </c>
      <c r="AC35" s="17" t="n">
        <v>14430</v>
      </c>
      <c r="AD35" s="17" t="n">
        <v>30</v>
      </c>
      <c r="AE35" s="17" t="n">
        <v>40</v>
      </c>
      <c r="AF35" s="17" t="n">
        <v>6.01</v>
      </c>
      <c r="AG35" s="17" t="n">
        <v>0.1</v>
      </c>
      <c r="AH35" s="17" t="n">
        <v>1.44</v>
      </c>
      <c r="AI35" s="17" t="n">
        <v>7.22</v>
      </c>
      <c r="AJ35" s="17" t="n">
        <v>54.77</v>
      </c>
      <c r="AK35" s="17" t="n">
        <v>14375.23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5" t="inlineStr">
        <is>
          <t>2026-07-11</t>
        </is>
      </c>
      <c r="B36" s="15" t="inlineStr">
        <is>
          <t>BANKNIFTY</t>
        </is>
      </c>
      <c r="C36" s="15" t="inlineStr">
        <is>
          <t>Bear Put Spread</t>
        </is>
      </c>
      <c r="D36" s="15" t="inlineStr">
        <is>
          <t>Bear Put Spread</t>
        </is>
      </c>
      <c r="E36" s="15" t="inlineStr">
        <is>
          <t>SIMULATED</t>
        </is>
      </c>
      <c r="F36" s="15" t="inlineStr">
        <is>
          <t>BULLISH</t>
        </is>
      </c>
      <c r="G36" s="15" t="inlineStr">
        <is>
          <t>Price↑(57252.45&gt;56742.6) &amp; EMA9↑(57598.41&gt;56962.19)</t>
        </is>
      </c>
      <c r="H36" s="15" t="n">
        <v>57598.41</v>
      </c>
      <c r="I36" s="15" t="n">
        <v>56962.19</v>
      </c>
      <c r="J36" s="15" t="inlineStr">
        <is>
          <t>2026-07-30</t>
        </is>
      </c>
      <c r="K36" s="15" t="inlineStr">
        <is>
          <t>MONTHLY</t>
        </is>
      </c>
      <c r="L36" s="15" t="n">
        <v>20</v>
      </c>
      <c r="M36" s="15" t="inlineStr">
        <is>
          <t>09:20 IST</t>
        </is>
      </c>
      <c r="N36" s="15" t="inlineStr">
        <is>
          <t>10:03 IST</t>
        </is>
      </c>
      <c r="O36" s="15" t="n">
        <v>57252.45</v>
      </c>
      <c r="P36" s="15" t="n">
        <v>56742.6</v>
      </c>
      <c r="Q36" s="15" t="inlineStr">
        <is>
          <t>57400 PE</t>
        </is>
      </c>
      <c r="R36" s="15" t="inlineStr">
        <is>
          <t>57200 PE</t>
        </is>
      </c>
      <c r="S36" s="15" t="n">
        <v>16</v>
      </c>
      <c r="T36" s="15" t="n">
        <v>30</v>
      </c>
      <c r="U36" s="15" t="n">
        <v>480</v>
      </c>
      <c r="V36" s="15" t="n">
        <v>96.81</v>
      </c>
      <c r="W36" s="15" t="n">
        <v>67.77</v>
      </c>
      <c r="X36" s="15" t="n">
        <v>46468.8</v>
      </c>
      <c r="Y36" s="15" t="n">
        <v>46523.31</v>
      </c>
      <c r="Z36" s="15" t="n">
        <v>49531.2</v>
      </c>
      <c r="AA36" s="15" t="n">
        <v>13940.64</v>
      </c>
      <c r="AB36" s="15" t="n">
        <v>13940.64</v>
      </c>
      <c r="AC36" s="15" t="n">
        <v>-13939.2</v>
      </c>
      <c r="AD36" s="15" t="n">
        <v>-30</v>
      </c>
      <c r="AE36" s="15" t="n">
        <v>40</v>
      </c>
      <c r="AF36" s="15" t="n">
        <v>5.81</v>
      </c>
      <c r="AG36" s="15" t="n">
        <v>0.09</v>
      </c>
      <c r="AH36" s="15" t="n">
        <v>1.39</v>
      </c>
      <c r="AI36" s="15" t="n">
        <v>7.22</v>
      </c>
      <c r="AJ36" s="15" t="n">
        <v>54.51</v>
      </c>
      <c r="AK36" s="15" t="n">
        <v>-13993.71</v>
      </c>
      <c r="AL36" s="15" t="inlineStr">
        <is>
          <t>STOP LOSS</t>
        </is>
      </c>
      <c r="AM36" s="15" t="n">
        <v>50000</v>
      </c>
      <c r="AN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BANKNIFTY</t>
        </is>
      </c>
      <c r="C37" s="17" t="inlineStr">
        <is>
          <t>Bear Put Spread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Price↑(58131.45&gt;58045.9) &amp; EMA9↑(57775.18&gt;57179.74)</t>
        </is>
      </c>
      <c r="H37" s="17" t="n">
        <v>57775.18</v>
      </c>
      <c r="I37" s="17" t="n">
        <v>57179.74</v>
      </c>
      <c r="J37" s="17" t="inlineStr">
        <is>
          <t>2026-07-30</t>
        </is>
      </c>
      <c r="K37" s="17" t="inlineStr">
        <is>
          <t>MONTHLY</t>
        </is>
      </c>
      <c r="L37" s="17" t="n">
        <v>17</v>
      </c>
      <c r="M37" s="17" t="inlineStr">
        <is>
          <t>09:20 IST</t>
        </is>
      </c>
      <c r="N37" s="17" t="inlineStr">
        <is>
          <t>11:09 IST</t>
        </is>
      </c>
      <c r="O37" s="17" t="n">
        <v>58131.45</v>
      </c>
      <c r="P37" s="17" t="n">
        <v>58045.9</v>
      </c>
      <c r="Q37" s="17" t="inlineStr">
        <is>
          <t>58200 PE</t>
        </is>
      </c>
      <c r="R37" s="17" t="inlineStr">
        <is>
          <t>58000 PE</t>
        </is>
      </c>
      <c r="S37" s="17" t="n">
        <v>20</v>
      </c>
      <c r="T37" s="17" t="n">
        <v>30</v>
      </c>
      <c r="U37" s="17" t="n">
        <v>600</v>
      </c>
      <c r="V37" s="17" t="n">
        <v>81.65000000000001</v>
      </c>
      <c r="W37" s="17" t="n">
        <v>106.15</v>
      </c>
      <c r="X37" s="17" t="n">
        <v>48990</v>
      </c>
      <c r="Y37" s="17" t="n">
        <v>49044.91</v>
      </c>
      <c r="Z37" s="17" t="n">
        <v>71010</v>
      </c>
      <c r="AA37" s="17" t="n">
        <v>14697</v>
      </c>
      <c r="AB37" s="17" t="n">
        <v>14697</v>
      </c>
      <c r="AC37" s="17" t="n">
        <v>14700</v>
      </c>
      <c r="AD37" s="17" t="n">
        <v>30</v>
      </c>
      <c r="AE37" s="17" t="n">
        <v>40</v>
      </c>
      <c r="AF37" s="17" t="n">
        <v>6.12</v>
      </c>
      <c r="AG37" s="17" t="n">
        <v>0.1</v>
      </c>
      <c r="AH37" s="17" t="n">
        <v>1.47</v>
      </c>
      <c r="AI37" s="17" t="n">
        <v>7.22</v>
      </c>
      <c r="AJ37" s="17" t="n">
        <v>54.91</v>
      </c>
      <c r="AK37" s="17" t="n">
        <v>14645.09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BANKNIFTY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Price↑(58045.9&gt;57252.45) &amp; EMA9↑(57686.12&gt;57084.57)</t>
        </is>
      </c>
      <c r="H38" s="17" t="n">
        <v>57686.12</v>
      </c>
      <c r="I38" s="17" t="n">
        <v>57084.57</v>
      </c>
      <c r="J38" s="17" t="inlineStr">
        <is>
          <t>2026-07-30</t>
        </is>
      </c>
      <c r="K38" s="17" t="inlineStr">
        <is>
          <t>MONTHLY</t>
        </is>
      </c>
      <c r="L38" s="17" t="n">
        <v>17</v>
      </c>
      <c r="M38" s="17" t="inlineStr">
        <is>
          <t>09:20 IST</t>
        </is>
      </c>
      <c r="N38" s="17" t="inlineStr">
        <is>
          <t>09:49 IST</t>
        </is>
      </c>
      <c r="O38" s="17" t="n">
        <v>58045.9</v>
      </c>
      <c r="P38" s="17" t="n">
        <v>57252.45</v>
      </c>
      <c r="Q38" s="17" t="inlineStr">
        <is>
          <t>58200 PE</t>
        </is>
      </c>
      <c r="R38" s="17" t="inlineStr">
        <is>
          <t>58000 PE</t>
        </is>
      </c>
      <c r="S38" s="17" t="n">
        <v>17</v>
      </c>
      <c r="T38" s="17" t="n">
        <v>30</v>
      </c>
      <c r="U38" s="17" t="n">
        <v>510</v>
      </c>
      <c r="V38" s="17" t="n">
        <v>95.52</v>
      </c>
      <c r="W38" s="17" t="n">
        <v>124.18</v>
      </c>
      <c r="X38" s="17" t="n">
        <v>48715.2</v>
      </c>
      <c r="Y38" s="17" t="n">
        <v>48770.07</v>
      </c>
      <c r="Z38" s="17" t="n">
        <v>53284.8</v>
      </c>
      <c r="AA38" s="17" t="n">
        <v>14614.56</v>
      </c>
      <c r="AB38" s="17" t="n">
        <v>14614.56</v>
      </c>
      <c r="AC38" s="17" t="n">
        <v>14616.6</v>
      </c>
      <c r="AD38" s="17" t="n">
        <v>30</v>
      </c>
      <c r="AE38" s="17" t="n">
        <v>40</v>
      </c>
      <c r="AF38" s="17" t="n">
        <v>6.09</v>
      </c>
      <c r="AG38" s="17" t="n">
        <v>0.1</v>
      </c>
      <c r="AH38" s="17" t="n">
        <v>1.46</v>
      </c>
      <c r="AI38" s="17" t="n">
        <v>7.22</v>
      </c>
      <c r="AJ38" s="17" t="n">
        <v>54.87</v>
      </c>
      <c r="AK38" s="17" t="n">
        <v>14561.73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BANKNIFTY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57746.15</v>
      </c>
      <c r="I39" s="17" t="n">
        <v>57250.18</v>
      </c>
      <c r="J39" s="17" t="inlineStr">
        <is>
          <t>2026-07-30</t>
        </is>
      </c>
      <c r="K39" s="17" t="inlineStr">
        <is>
          <t>MONTHLY</t>
        </is>
      </c>
      <c r="L39" s="17" t="n">
        <v>16</v>
      </c>
      <c r="M39" s="17" t="inlineStr">
        <is>
          <t>09:20 IST</t>
        </is>
      </c>
      <c r="N39" s="17" t="inlineStr">
        <is>
          <t>11:25 IST</t>
        </is>
      </c>
      <c r="O39" s="17" t="n">
        <v>57635.55</v>
      </c>
      <c r="P39" s="17" t="n">
        <v>58131.45</v>
      </c>
      <c r="Q39" s="17" t="inlineStr">
        <is>
          <t>57800 PE</t>
        </is>
      </c>
      <c r="R39" s="17" t="inlineStr">
        <is>
          <t>57600 PE</t>
        </is>
      </c>
      <c r="S39" s="17" t="n">
        <v>17</v>
      </c>
      <c r="T39" s="17" t="n">
        <v>30</v>
      </c>
      <c r="U39" s="17" t="n">
        <v>510</v>
      </c>
      <c r="V39" s="17" t="n">
        <v>92.27</v>
      </c>
      <c r="W39" s="17" t="n">
        <v>119.95</v>
      </c>
      <c r="X39" s="17" t="n">
        <v>47057.7</v>
      </c>
      <c r="Y39" s="17" t="n">
        <v>47112.3</v>
      </c>
      <c r="Z39" s="17" t="n">
        <v>54942.3</v>
      </c>
      <c r="AA39" s="17" t="n">
        <v>14117.31</v>
      </c>
      <c r="AB39" s="17" t="n">
        <v>14117.31</v>
      </c>
      <c r="AC39" s="17" t="n">
        <v>14116.8</v>
      </c>
      <c r="AD39" s="17" t="n">
        <v>30</v>
      </c>
      <c r="AE39" s="17" t="n">
        <v>40</v>
      </c>
      <c r="AF39" s="17" t="n">
        <v>5.88</v>
      </c>
      <c r="AG39" s="17" t="n">
        <v>0.09</v>
      </c>
      <c r="AH39" s="17" t="n">
        <v>1.41</v>
      </c>
      <c r="AI39" s="17" t="n">
        <v>7.22</v>
      </c>
      <c r="AJ39" s="17" t="n">
        <v>54.6</v>
      </c>
      <c r="AK39" s="17" t="n">
        <v>14062.2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2026-07-14</t>
        </is>
      </c>
      <c r="B40" s="15" t="inlineStr">
        <is>
          <t>BANKNIFTY</t>
        </is>
      </c>
      <c r="C40" s="15" t="inlineStr">
        <is>
          <t>Bear Put Spread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SKIP</t>
        </is>
      </c>
      <c r="G40" s="15" t="inlineStr">
        <is>
          <t>Conflicting — Price:BEARISH EMA:BULLISH</t>
        </is>
      </c>
      <c r="H40" s="15" t="n">
        <v>57711.5</v>
      </c>
      <c r="I40" s="15" t="n">
        <v>57234.43</v>
      </c>
      <c r="J40" s="15" t="inlineStr">
        <is>
          <t>2026-07-30</t>
        </is>
      </c>
      <c r="K40" s="15" t="inlineStr">
        <is>
          <t>MONTHLY</t>
        </is>
      </c>
      <c r="L40" s="15" t="n">
        <v>16</v>
      </c>
      <c r="M40" s="15" t="inlineStr">
        <is>
          <t>09:20 IST</t>
        </is>
      </c>
      <c r="N40" s="15" t="inlineStr">
        <is>
          <t>09:47 IST</t>
        </is>
      </c>
      <c r="O40" s="15" t="n">
        <v>57462.3</v>
      </c>
      <c r="P40" s="15" t="n">
        <v>58131.45</v>
      </c>
      <c r="Q40" s="15" t="inlineStr">
        <is>
          <t>57600 PE</t>
        </is>
      </c>
      <c r="R40" s="15" t="inlineStr">
        <is>
          <t>57400 PE</t>
        </is>
      </c>
      <c r="S40" s="15" t="n">
        <v>16</v>
      </c>
      <c r="T40" s="15" t="n">
        <v>30</v>
      </c>
      <c r="U40" s="15" t="n">
        <v>480</v>
      </c>
      <c r="V40" s="15" t="n">
        <v>98.69</v>
      </c>
      <c r="W40" s="15" t="n">
        <v>69.08</v>
      </c>
      <c r="X40" s="15" t="n">
        <v>47371.2</v>
      </c>
      <c r="Y40" s="15" t="n">
        <v>47425.85</v>
      </c>
      <c r="Z40" s="15" t="n">
        <v>48628.8</v>
      </c>
      <c r="AA40" s="15" t="n">
        <v>14211.36</v>
      </c>
      <c r="AB40" s="15" t="n">
        <v>14211.36</v>
      </c>
      <c r="AC40" s="15" t="n">
        <v>-14212.8</v>
      </c>
      <c r="AD40" s="15" t="n">
        <v>-30</v>
      </c>
      <c r="AE40" s="15" t="n">
        <v>40</v>
      </c>
      <c r="AF40" s="15" t="n">
        <v>5.92</v>
      </c>
      <c r="AG40" s="15" t="n">
        <v>0.09</v>
      </c>
      <c r="AH40" s="15" t="n">
        <v>1.42</v>
      </c>
      <c r="AI40" s="15" t="n">
        <v>7.22</v>
      </c>
      <c r="AJ40" s="15" t="n">
        <v>54.65</v>
      </c>
      <c r="AK40" s="15" t="n">
        <v>-14267.45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Bear Put Spread</t>
        </is>
      </c>
      <c r="D41" s="17" t="inlineStr">
        <is>
          <t>Bear Put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11:37 IST</t>
        </is>
      </c>
      <c r="O41" s="17" t="n">
        <v>58073.65</v>
      </c>
      <c r="P41" s="17" t="n">
        <v>58131.45</v>
      </c>
      <c r="Q41" s="17" t="inlineStr">
        <is>
          <t>58200 PE</t>
        </is>
      </c>
      <c r="R41" s="17" t="inlineStr">
        <is>
          <t>58000 PE</t>
        </is>
      </c>
      <c r="S41" s="17" t="n">
        <v>18</v>
      </c>
      <c r="T41" s="17" t="n">
        <v>30</v>
      </c>
      <c r="U41" s="17" t="n">
        <v>540</v>
      </c>
      <c r="V41" s="17" t="n">
        <v>87.56</v>
      </c>
      <c r="W41" s="17" t="n">
        <v>113.83</v>
      </c>
      <c r="X41" s="17" t="n">
        <v>47282.4</v>
      </c>
      <c r="Y41" s="17" t="n">
        <v>47337.04</v>
      </c>
      <c r="Z41" s="17" t="n">
        <v>60717.6</v>
      </c>
      <c r="AA41" s="17" t="n">
        <v>14184.72</v>
      </c>
      <c r="AB41" s="17" t="n">
        <v>14184.72</v>
      </c>
      <c r="AC41" s="17" t="n">
        <v>14185.8</v>
      </c>
      <c r="AD41" s="17" t="n">
        <v>30</v>
      </c>
      <c r="AE41" s="17" t="n">
        <v>40</v>
      </c>
      <c r="AF41" s="17" t="n">
        <v>5.91</v>
      </c>
      <c r="AG41" s="17" t="n">
        <v>0.09</v>
      </c>
      <c r="AH41" s="17" t="n">
        <v>1.42</v>
      </c>
      <c r="AI41" s="17" t="n">
        <v>7.22</v>
      </c>
      <c r="AJ41" s="17" t="n">
        <v>54.64</v>
      </c>
      <c r="AK41" s="17" t="n">
        <v>14131.16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Bear Put Spread</t>
        </is>
      </c>
      <c r="D42" s="16" t="inlineStr">
        <is>
          <t>Bear Put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13:38 IST</t>
        </is>
      </c>
      <c r="O42" s="16" t="n">
        <v>57757.85</v>
      </c>
      <c r="P42" s="16" t="n">
        <v>58131.45</v>
      </c>
      <c r="Q42" s="16" t="inlineStr">
        <is>
          <t>57800 PE</t>
        </is>
      </c>
      <c r="R42" s="16" t="inlineStr">
        <is>
          <t>57600 PE</t>
        </is>
      </c>
      <c r="S42" s="16" t="n">
        <v>19</v>
      </c>
      <c r="T42" s="16" t="n">
        <v>30</v>
      </c>
      <c r="U42" s="16" t="n">
        <v>570</v>
      </c>
      <c r="V42" s="16" t="n">
        <v>85.86</v>
      </c>
      <c r="W42" s="16" t="n">
        <v>82.08</v>
      </c>
      <c r="X42" s="16" t="n">
        <v>48940.2</v>
      </c>
      <c r="Y42" s="16" t="n">
        <v>48995.1</v>
      </c>
      <c r="Z42" s="16" t="n">
        <v>65059.8</v>
      </c>
      <c r="AA42" s="16" t="n">
        <v>14682.06</v>
      </c>
      <c r="AB42" s="16" t="n">
        <v>14682.06</v>
      </c>
      <c r="AC42" s="16" t="n">
        <v>-2154.6</v>
      </c>
      <c r="AD42" s="16" t="n">
        <v>-4.4</v>
      </c>
      <c r="AE42" s="16" t="n">
        <v>40</v>
      </c>
      <c r="AF42" s="16" t="n">
        <v>6.12</v>
      </c>
      <c r="AG42" s="16" t="n">
        <v>0.1</v>
      </c>
      <c r="AH42" s="16" t="n">
        <v>1.47</v>
      </c>
      <c r="AI42" s="16" t="n">
        <v>7.22</v>
      </c>
      <c r="AJ42" s="16" t="n">
        <v>54.9</v>
      </c>
      <c r="AK42" s="16" t="n">
        <v>-2209.5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BANKNIFTY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SKIP</t>
        </is>
      </c>
      <c r="G43" s="16" t="inlineStr">
        <is>
          <t>Conflicting — Price:BEARISH EMA:BULLISH</t>
        </is>
      </c>
      <c r="H43" s="16" t="n">
        <v>57711.42</v>
      </c>
      <c r="I43" s="16" t="n">
        <v>57371.59</v>
      </c>
      <c r="J43" s="16" t="inlineStr">
        <is>
          <t>2026-07-30</t>
        </is>
      </c>
      <c r="K43" s="16" t="inlineStr">
        <is>
          <t>MONTHLY</t>
        </is>
      </c>
      <c r="L43" s="16" t="n">
        <v>14</v>
      </c>
      <c r="M43" s="16" t="inlineStr">
        <is>
          <t>09:20 IST</t>
        </is>
      </c>
      <c r="N43" s="16" t="inlineStr">
        <is>
          <t>14:13 IST</t>
        </is>
      </c>
      <c r="O43" s="16" t="n">
        <v>57680.55</v>
      </c>
      <c r="P43" s="16" t="n">
        <v>57757.85</v>
      </c>
      <c r="Q43" s="16" t="inlineStr">
        <is>
          <t>57800 PE</t>
        </is>
      </c>
      <c r="R43" s="16" t="inlineStr">
        <is>
          <t>57600 PE</t>
        </is>
      </c>
      <c r="S43" s="16" t="n">
        <v>20</v>
      </c>
      <c r="T43" s="16" t="n">
        <v>30</v>
      </c>
      <c r="U43" s="16" t="n">
        <v>600</v>
      </c>
      <c r="V43" s="16" t="n">
        <v>79.91</v>
      </c>
      <c r="W43" s="16" t="n">
        <v>82.59</v>
      </c>
      <c r="X43" s="16" t="n">
        <v>47946</v>
      </c>
      <c r="Y43" s="16" t="n">
        <v>48000.74</v>
      </c>
      <c r="Z43" s="16" t="n">
        <v>72054</v>
      </c>
      <c r="AA43" s="16" t="n">
        <v>14383.8</v>
      </c>
      <c r="AB43" s="16" t="n">
        <v>14383.8</v>
      </c>
      <c r="AC43" s="16" t="n">
        <v>1608</v>
      </c>
      <c r="AD43" s="16" t="n">
        <v>3.4</v>
      </c>
      <c r="AE43" s="16" t="n">
        <v>40</v>
      </c>
      <c r="AF43" s="16" t="n">
        <v>5.99</v>
      </c>
      <c r="AG43" s="16" t="n">
        <v>0.1</v>
      </c>
      <c r="AH43" s="16" t="n">
        <v>1.44</v>
      </c>
      <c r="AI43" s="16" t="n">
        <v>7.22</v>
      </c>
      <c r="AJ43" s="16" t="n">
        <v>54.74</v>
      </c>
      <c r="AK43" s="16" t="n">
        <v>1553.26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13:40 IST</t>
        </is>
      </c>
      <c r="O44" s="16" t="n">
        <v>57582.25</v>
      </c>
      <c r="P44" s="16" t="n">
        <v>57757.85</v>
      </c>
      <c r="Q44" s="16" t="inlineStr">
        <is>
          <t>57600 PE</t>
        </is>
      </c>
      <c r="R44" s="16" t="inlineStr">
        <is>
          <t>57400 PE</t>
        </is>
      </c>
      <c r="S44" s="16" t="n">
        <v>16</v>
      </c>
      <c r="T44" s="16" t="n">
        <v>30</v>
      </c>
      <c r="U44" s="16" t="n">
        <v>480</v>
      </c>
      <c r="V44" s="16" t="n">
        <v>99.23999999999999</v>
      </c>
      <c r="W44" s="16" t="n">
        <v>101.13</v>
      </c>
      <c r="X44" s="16" t="n">
        <v>47635.2</v>
      </c>
      <c r="Y44" s="16" t="n">
        <v>47689.9</v>
      </c>
      <c r="Z44" s="16" t="n">
        <v>48364.8</v>
      </c>
      <c r="AA44" s="16" t="n">
        <v>14290.56</v>
      </c>
      <c r="AB44" s="16" t="n">
        <v>14290.56</v>
      </c>
      <c r="AC44" s="16" t="n">
        <v>907.2</v>
      </c>
      <c r="AD44" s="16" t="n">
        <v>1.9</v>
      </c>
      <c r="AE44" s="16" t="n">
        <v>40</v>
      </c>
      <c r="AF44" s="16" t="n">
        <v>5.95</v>
      </c>
      <c r="AG44" s="16" t="n">
        <v>0.1</v>
      </c>
      <c r="AH44" s="16" t="n">
        <v>1.43</v>
      </c>
      <c r="AI44" s="16" t="n">
        <v>7.22</v>
      </c>
      <c r="AJ44" s="16" t="n">
        <v>54.7</v>
      </c>
      <c r="AK44" s="16" t="n">
        <v>852.5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BANKNIFTY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Price↑(58085.9&gt;57582.25) &amp; EMA9↑(57770.23&gt;57460.96)</t>
        </is>
      </c>
      <c r="H45" s="17" t="n">
        <v>57770.23</v>
      </c>
      <c r="I45" s="17" t="n">
        <v>57460.96</v>
      </c>
      <c r="J45" s="17" t="inlineStr">
        <is>
          <t>2026-07-30</t>
        </is>
      </c>
      <c r="K45" s="17" t="inlineStr">
        <is>
          <t>MONTHLY</t>
        </is>
      </c>
      <c r="L45" s="17" t="n">
        <v>13</v>
      </c>
      <c r="M45" s="17" t="inlineStr">
        <is>
          <t>09:20 IST</t>
        </is>
      </c>
      <c r="N45" s="17" t="inlineStr">
        <is>
          <t>11:01 IST</t>
        </is>
      </c>
      <c r="O45" s="17" t="n">
        <v>58085.9</v>
      </c>
      <c r="P45" s="17" t="n">
        <v>57582.25</v>
      </c>
      <c r="Q45" s="17" t="inlineStr">
        <is>
          <t>58200 PE</t>
        </is>
      </c>
      <c r="R45" s="17" t="inlineStr">
        <is>
          <t>58000 PE</t>
        </is>
      </c>
      <c r="S45" s="17" t="n">
        <v>19</v>
      </c>
      <c r="T45" s="17" t="n">
        <v>30</v>
      </c>
      <c r="U45" s="17" t="n">
        <v>570</v>
      </c>
      <c r="V45" s="17" t="n">
        <v>84.39</v>
      </c>
      <c r="W45" s="17" t="n">
        <v>109.71</v>
      </c>
      <c r="X45" s="17" t="n">
        <v>48102.3</v>
      </c>
      <c r="Y45" s="17" t="n">
        <v>48157.07</v>
      </c>
      <c r="Z45" s="17" t="n">
        <v>65897.7</v>
      </c>
      <c r="AA45" s="17" t="n">
        <v>14430.69</v>
      </c>
      <c r="AB45" s="17" t="n">
        <v>14430.69</v>
      </c>
      <c r="AC45" s="17" t="n">
        <v>14432.4</v>
      </c>
      <c r="AD45" s="17" t="n">
        <v>30</v>
      </c>
      <c r="AE45" s="17" t="n">
        <v>40</v>
      </c>
      <c r="AF45" s="17" t="n">
        <v>6.01</v>
      </c>
      <c r="AG45" s="17" t="n">
        <v>0.1</v>
      </c>
      <c r="AH45" s="17" t="n">
        <v>1.44</v>
      </c>
      <c r="AI45" s="17" t="n">
        <v>7.22</v>
      </c>
      <c r="AJ45" s="17" t="n">
        <v>54.77</v>
      </c>
      <c r="AK45" s="17" t="n">
        <v>14377.63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09:47 IST</t>
        </is>
      </c>
      <c r="O46" s="17" t="n">
        <v>58521.4</v>
      </c>
      <c r="P46" s="17" t="n">
        <v>57582.25</v>
      </c>
      <c r="Q46" s="17" t="inlineStr">
        <is>
          <t>58600 PE</t>
        </is>
      </c>
      <c r="R46" s="17" t="inlineStr">
        <is>
          <t>58400 PE</t>
        </is>
      </c>
      <c r="S46" s="17" t="n">
        <v>17</v>
      </c>
      <c r="T46" s="17" t="n">
        <v>30</v>
      </c>
      <c r="U46" s="17" t="n">
        <v>510</v>
      </c>
      <c r="V46" s="17" t="n">
        <v>94.04000000000001</v>
      </c>
      <c r="W46" s="17" t="n">
        <v>122.25</v>
      </c>
      <c r="X46" s="17" t="n">
        <v>47960.4</v>
      </c>
      <c r="Y46" s="17" t="n">
        <v>48015.15</v>
      </c>
      <c r="Z46" s="17" t="n">
        <v>54039.6</v>
      </c>
      <c r="AA46" s="17" t="n">
        <v>14388.12</v>
      </c>
      <c r="AB46" s="17" t="n">
        <v>14388.12</v>
      </c>
      <c r="AC46" s="17" t="n">
        <v>14387.1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14332.35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BANKNIFTY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57821.95</v>
      </c>
      <c r="I47" s="17" t="n">
        <v>57595.38</v>
      </c>
      <c r="J47" s="17" t="inlineStr">
        <is>
          <t>2026-07-30</t>
        </is>
      </c>
      <c r="K47" s="17" t="inlineStr">
        <is>
          <t>MONTHLY</t>
        </is>
      </c>
      <c r="L47" s="17" t="n">
        <v>10</v>
      </c>
      <c r="M47" s="17" t="inlineStr">
        <is>
          <t>09:20 IST</t>
        </is>
      </c>
      <c r="N47" s="17" t="inlineStr">
        <is>
          <t>10:47 IST</t>
        </is>
      </c>
      <c r="O47" s="17" t="n">
        <v>57673.6</v>
      </c>
      <c r="P47" s="17" t="n">
        <v>58521.4</v>
      </c>
      <c r="Q47" s="17" t="inlineStr">
        <is>
          <t>57800 PE</t>
        </is>
      </c>
      <c r="R47" s="17" t="inlineStr">
        <is>
          <t>57600 PE</t>
        </is>
      </c>
      <c r="S47" s="17" t="n">
        <v>17</v>
      </c>
      <c r="T47" s="17" t="n">
        <v>30</v>
      </c>
      <c r="U47" s="17" t="n">
        <v>510</v>
      </c>
      <c r="V47" s="17" t="n">
        <v>92.17</v>
      </c>
      <c r="W47" s="17" t="n">
        <v>119.82</v>
      </c>
      <c r="X47" s="17" t="n">
        <v>47006.7</v>
      </c>
      <c r="Y47" s="17" t="n">
        <v>47061.3</v>
      </c>
      <c r="Z47" s="17" t="n">
        <v>54993.3</v>
      </c>
      <c r="AA47" s="17" t="n">
        <v>14102.01</v>
      </c>
      <c r="AB47" s="17" t="n">
        <v>14102.01</v>
      </c>
      <c r="AC47" s="17" t="n">
        <v>14101.5</v>
      </c>
      <c r="AD47" s="17" t="n">
        <v>30</v>
      </c>
      <c r="AE47" s="17" t="n">
        <v>40</v>
      </c>
      <c r="AF47" s="17" t="n">
        <v>5.88</v>
      </c>
      <c r="AG47" s="17" t="n">
        <v>0.09</v>
      </c>
      <c r="AH47" s="17" t="n">
        <v>1.41</v>
      </c>
      <c r="AI47" s="17" t="n">
        <v>7.22</v>
      </c>
      <c r="AJ47" s="17" t="n">
        <v>54.6</v>
      </c>
      <c r="AK47" s="17" t="n">
        <v>14046.9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7" t="inlineStr">
        <is>
          <t>2026-07-20</t>
        </is>
      </c>
      <c r="B48" s="17" t="inlineStr">
        <is>
          <t>BANKNIFTY</t>
        </is>
      </c>
      <c r="C48" s="17" t="inlineStr">
        <is>
          <t>Bear Put Spread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SKIP</t>
        </is>
      </c>
      <c r="G48" s="17" t="inlineStr">
        <is>
          <t>Conflicting — Price:BEARISH EMA:BULLISH</t>
        </is>
      </c>
      <c r="H48" s="17" t="n">
        <v>57876.23</v>
      </c>
      <c r="I48" s="17" t="n">
        <v>57620.05</v>
      </c>
      <c r="J48" s="17" t="inlineStr">
        <is>
          <t>2026-07-30</t>
        </is>
      </c>
      <c r="K48" s="17" t="inlineStr">
        <is>
          <t>MONTHLY</t>
        </is>
      </c>
      <c r="L48" s="17" t="n">
        <v>10</v>
      </c>
      <c r="M48" s="17" t="inlineStr">
        <is>
          <t>09:20 IST</t>
        </is>
      </c>
      <c r="N48" s="17" t="inlineStr">
        <is>
          <t>10:25 IST</t>
        </is>
      </c>
      <c r="O48" s="17" t="n">
        <v>57945</v>
      </c>
      <c r="P48" s="17" t="n">
        <v>58521.4</v>
      </c>
      <c r="Q48" s="17" t="inlineStr">
        <is>
          <t>58000 PE</t>
        </is>
      </c>
      <c r="R48" s="17" t="inlineStr">
        <is>
          <t>57800 PE</t>
        </is>
      </c>
      <c r="S48" s="17" t="n">
        <v>21</v>
      </c>
      <c r="T48" s="17" t="n">
        <v>30</v>
      </c>
      <c r="U48" s="17" t="n">
        <v>630</v>
      </c>
      <c r="V48" s="17" t="n">
        <v>76.36</v>
      </c>
      <c r="W48" s="17" t="n">
        <v>99.27</v>
      </c>
      <c r="X48" s="17" t="n">
        <v>48106.8</v>
      </c>
      <c r="Y48" s="17" t="n">
        <v>48161.57</v>
      </c>
      <c r="Z48" s="17" t="n">
        <v>77893.2</v>
      </c>
      <c r="AA48" s="17" t="n">
        <v>14432.04</v>
      </c>
      <c r="AB48" s="17" t="n">
        <v>14432.04</v>
      </c>
      <c r="AC48" s="17" t="n">
        <v>14433.3</v>
      </c>
      <c r="AD48" s="17" t="n">
        <v>30</v>
      </c>
      <c r="AE48" s="17" t="n">
        <v>40</v>
      </c>
      <c r="AF48" s="17" t="n">
        <v>6.01</v>
      </c>
      <c r="AG48" s="17" t="n">
        <v>0.1</v>
      </c>
      <c r="AH48" s="17" t="n">
        <v>1.44</v>
      </c>
      <c r="AI48" s="17" t="n">
        <v>7.22</v>
      </c>
      <c r="AJ48" s="17" t="n">
        <v>54.77</v>
      </c>
      <c r="AK48" s="17" t="n">
        <v>14378.53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BANKNIFTY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57869.66</v>
      </c>
      <c r="I49" s="15" t="n">
        <v>57689.18</v>
      </c>
      <c r="J49" s="15" t="inlineStr">
        <is>
          <t>2026-07-30</t>
        </is>
      </c>
      <c r="K49" s="15" t="inlineStr">
        <is>
          <t>MONTHLY</t>
        </is>
      </c>
      <c r="L49" s="15" t="n">
        <v>9</v>
      </c>
      <c r="M49" s="15" t="inlineStr">
        <is>
          <t>09:20 IST</t>
        </is>
      </c>
      <c r="N49" s="15" t="inlineStr">
        <is>
          <t>10:22 IST</t>
        </is>
      </c>
      <c r="O49" s="15" t="n">
        <v>57840.45</v>
      </c>
      <c r="P49" s="15" t="n">
        <v>57945</v>
      </c>
      <c r="Q49" s="15" t="inlineStr">
        <is>
          <t>58000 PE</t>
        </is>
      </c>
      <c r="R49" s="15" t="inlineStr">
        <is>
          <t>57800 PE</t>
        </is>
      </c>
      <c r="S49" s="15" t="n">
        <v>18</v>
      </c>
      <c r="T49" s="15" t="n">
        <v>30</v>
      </c>
      <c r="U49" s="15" t="n">
        <v>540</v>
      </c>
      <c r="V49" s="15" t="n">
        <v>86.95999999999999</v>
      </c>
      <c r="W49" s="15" t="n">
        <v>60.87</v>
      </c>
      <c r="X49" s="15" t="n">
        <v>46958.4</v>
      </c>
      <c r="Y49" s="15" t="n">
        <v>47012.99</v>
      </c>
      <c r="Z49" s="15" t="n">
        <v>61041.6</v>
      </c>
      <c r="AA49" s="15" t="n">
        <v>14087.52</v>
      </c>
      <c r="AB49" s="15" t="n">
        <v>14087.52</v>
      </c>
      <c r="AC49" s="15" t="n">
        <v>-14088.6</v>
      </c>
      <c r="AD49" s="15" t="n">
        <v>-30</v>
      </c>
      <c r="AE49" s="15" t="n">
        <v>40</v>
      </c>
      <c r="AF49" s="15" t="n">
        <v>5.87</v>
      </c>
      <c r="AG49" s="15" t="n">
        <v>0.09</v>
      </c>
      <c r="AH49" s="15" t="n">
        <v>1.41</v>
      </c>
      <c r="AI49" s="15" t="n">
        <v>7.22</v>
      </c>
      <c r="AJ49" s="15" t="n">
        <v>54.59</v>
      </c>
      <c r="AK49" s="15" t="n">
        <v>-14143.19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09:44 IST</t>
        </is>
      </c>
      <c r="O50" s="15" t="n">
        <v>57835.35</v>
      </c>
      <c r="P50" s="15" t="n">
        <v>57945</v>
      </c>
      <c r="Q50" s="15" t="inlineStr">
        <is>
          <t>58000 PE</t>
        </is>
      </c>
      <c r="R50" s="15" t="inlineStr">
        <is>
          <t>57800 PE</t>
        </is>
      </c>
      <c r="S50" s="15" t="n">
        <v>22</v>
      </c>
      <c r="T50" s="15" t="n">
        <v>30</v>
      </c>
      <c r="U50" s="15" t="n">
        <v>660</v>
      </c>
      <c r="V50" s="15" t="n">
        <v>73.28</v>
      </c>
      <c r="W50" s="15" t="n">
        <v>51.3</v>
      </c>
      <c r="X50" s="15" t="n">
        <v>48364.8</v>
      </c>
      <c r="Y50" s="15" t="n">
        <v>48419.61</v>
      </c>
      <c r="Z50" s="15" t="n">
        <v>83635.2</v>
      </c>
      <c r="AA50" s="15" t="n">
        <v>14509.44</v>
      </c>
      <c r="AB50" s="15" t="n">
        <v>14509.44</v>
      </c>
      <c r="AC50" s="15" t="n">
        <v>-14506.8</v>
      </c>
      <c r="AD50" s="15" t="n">
        <v>-30</v>
      </c>
      <c r="AE50" s="15" t="n">
        <v>40</v>
      </c>
      <c r="AF50" s="15" t="n">
        <v>6.05</v>
      </c>
      <c r="AG50" s="15" t="n">
        <v>0.1</v>
      </c>
      <c r="AH50" s="15" t="n">
        <v>1.45</v>
      </c>
      <c r="AI50" s="15" t="n">
        <v>7.22</v>
      </c>
      <c r="AJ50" s="15" t="n">
        <v>54.81</v>
      </c>
      <c r="AK50" s="15" t="n">
        <v>-14561.61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BANKNIFTY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57751.03</v>
      </c>
      <c r="I51" s="17" t="n">
        <v>57689.93</v>
      </c>
      <c r="J51" s="17" t="inlineStr">
        <is>
          <t>2026-07-30</t>
        </is>
      </c>
      <c r="K51" s="17" t="inlineStr">
        <is>
          <t>MONTHLY</t>
        </is>
      </c>
      <c r="L51" s="17" t="n">
        <v>8</v>
      </c>
      <c r="M51" s="17" t="inlineStr">
        <is>
          <t>09:20 IST</t>
        </is>
      </c>
      <c r="N51" s="17" t="inlineStr">
        <is>
          <t>11:27 IST</t>
        </is>
      </c>
      <c r="O51" s="17" t="n">
        <v>57269.65</v>
      </c>
      <c r="P51" s="17" t="n">
        <v>57835.35</v>
      </c>
      <c r="Q51" s="17" t="inlineStr">
        <is>
          <t>57400 PE</t>
        </is>
      </c>
      <c r="R51" s="17" t="inlineStr">
        <is>
          <t>57200 PE</t>
        </is>
      </c>
      <c r="S51" s="17" t="n">
        <v>20</v>
      </c>
      <c r="T51" s="17" t="n">
        <v>30</v>
      </c>
      <c r="U51" s="17" t="n">
        <v>600</v>
      </c>
      <c r="V51" s="17" t="n">
        <v>78.79000000000001</v>
      </c>
      <c r="W51" s="17" t="n">
        <v>102.43</v>
      </c>
      <c r="X51" s="17" t="n">
        <v>47274</v>
      </c>
      <c r="Y51" s="17" t="n">
        <v>47328.64</v>
      </c>
      <c r="Z51" s="17" t="n">
        <v>72726</v>
      </c>
      <c r="AA51" s="17" t="n">
        <v>14182.2</v>
      </c>
      <c r="AB51" s="17" t="n">
        <v>14182.2</v>
      </c>
      <c r="AC51" s="17" t="n">
        <v>14184</v>
      </c>
      <c r="AD51" s="17" t="n">
        <v>30</v>
      </c>
      <c r="AE51" s="17" t="n">
        <v>40</v>
      </c>
      <c r="AF51" s="17" t="n">
        <v>5.91</v>
      </c>
      <c r="AG51" s="17" t="n">
        <v>0.09</v>
      </c>
      <c r="AH51" s="17" t="n">
        <v>1.42</v>
      </c>
      <c r="AI51" s="17" t="n">
        <v>7.22</v>
      </c>
      <c r="AJ51" s="17" t="n">
        <v>54.64</v>
      </c>
      <c r="AK51" s="17" t="n">
        <v>14129.36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5" t="inlineStr">
        <is>
          <t>2026-07-22</t>
        </is>
      </c>
      <c r="B52" s="15" t="inlineStr">
        <is>
          <t>BANKNIFTY</t>
        </is>
      </c>
      <c r="C52" s="15" t="inlineStr">
        <is>
          <t>Bear Put Spread</t>
        </is>
      </c>
      <c r="D52" s="15" t="inlineStr">
        <is>
          <t>Bear Put Spread</t>
        </is>
      </c>
      <c r="E52" s="15" t="inlineStr">
        <is>
          <t>SIMULATED</t>
        </is>
      </c>
      <c r="F52" s="15" t="inlineStr">
        <is>
          <t>SKIP</t>
        </is>
      </c>
      <c r="G52" s="15" t="inlineStr">
        <is>
          <t>Conflicting — Price:BEARISH EMA:BULLISH</t>
        </is>
      </c>
      <c r="H52" s="15" t="n">
        <v>57722.46</v>
      </c>
      <c r="I52" s="15" t="n">
        <v>57676.95</v>
      </c>
      <c r="J52" s="15" t="inlineStr">
        <is>
          <t>2026-07-30</t>
        </is>
      </c>
      <c r="K52" s="15" t="inlineStr">
        <is>
          <t>MONTHLY</t>
        </is>
      </c>
      <c r="L52" s="15" t="n">
        <v>8</v>
      </c>
      <c r="M52" s="15" t="inlineStr">
        <is>
          <t>09:20 IST</t>
        </is>
      </c>
      <c r="N52" s="15" t="inlineStr">
        <is>
          <t>11:09 IST</t>
        </is>
      </c>
      <c r="O52" s="15" t="n">
        <v>57126.8</v>
      </c>
      <c r="P52" s="15" t="n">
        <v>57835.35</v>
      </c>
      <c r="Q52" s="15" t="inlineStr">
        <is>
          <t>57200 PE</t>
        </is>
      </c>
      <c r="R52" s="15" t="inlineStr">
        <is>
          <t>57000 PE</t>
        </is>
      </c>
      <c r="S52" s="15" t="n">
        <v>18</v>
      </c>
      <c r="T52" s="15" t="n">
        <v>30</v>
      </c>
      <c r="U52" s="15" t="n">
        <v>540</v>
      </c>
      <c r="V52" s="15" t="n">
        <v>87.29000000000001</v>
      </c>
      <c r="W52" s="15" t="n">
        <v>61.1</v>
      </c>
      <c r="X52" s="15" t="n">
        <v>47136.6</v>
      </c>
      <c r="Y52" s="15" t="n">
        <v>47191.22</v>
      </c>
      <c r="Z52" s="15" t="n">
        <v>60863.4</v>
      </c>
      <c r="AA52" s="15" t="n">
        <v>14140.98</v>
      </c>
      <c r="AB52" s="15" t="n">
        <v>14140.98</v>
      </c>
      <c r="AC52" s="15" t="n">
        <v>-14142.6</v>
      </c>
      <c r="AD52" s="15" t="n">
        <v>-30</v>
      </c>
      <c r="AE52" s="15" t="n">
        <v>40</v>
      </c>
      <c r="AF52" s="15" t="n">
        <v>5.89</v>
      </c>
      <c r="AG52" s="15" t="n">
        <v>0.09</v>
      </c>
      <c r="AH52" s="15" t="n">
        <v>1.41</v>
      </c>
      <c r="AI52" s="15" t="n">
        <v>7.22</v>
      </c>
      <c r="AJ52" s="15" t="n">
        <v>54.62</v>
      </c>
      <c r="AK52" s="15" t="n">
        <v>-14197.22</v>
      </c>
      <c r="AL52" s="15" t="inlineStr">
        <is>
          <t>STOP LOSS</t>
        </is>
      </c>
      <c r="AM52" s="15" t="n">
        <v>50000</v>
      </c>
      <c r="AN52" s="15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Bear Put Spread</t>
        </is>
      </c>
      <c r="D53" s="16" t="inlineStr">
        <is>
          <t>Bear Put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14:11 IST</t>
        </is>
      </c>
      <c r="O53" s="16" t="n">
        <v>56618.7</v>
      </c>
      <c r="P53" s="16" t="n">
        <v>57126.8</v>
      </c>
      <c r="Q53" s="16" t="inlineStr">
        <is>
          <t>56800 PE</t>
        </is>
      </c>
      <c r="R53" s="16" t="inlineStr">
        <is>
          <t>56600 PE</t>
        </is>
      </c>
      <c r="S53" s="16" t="n">
        <v>26</v>
      </c>
      <c r="T53" s="16" t="n">
        <v>30</v>
      </c>
      <c r="U53" s="16" t="n">
        <v>780</v>
      </c>
      <c r="V53" s="16" t="n">
        <v>62.67</v>
      </c>
      <c r="W53" s="16" t="n">
        <v>63.71</v>
      </c>
      <c r="X53" s="16" t="n">
        <v>48882.6</v>
      </c>
      <c r="Y53" s="16" t="n">
        <v>48937.49</v>
      </c>
      <c r="Z53" s="16" t="n">
        <v>107117.4</v>
      </c>
      <c r="AA53" s="16" t="n">
        <v>14664.78</v>
      </c>
      <c r="AB53" s="16" t="n">
        <v>14664.78</v>
      </c>
      <c r="AC53" s="16" t="n">
        <v>811.2</v>
      </c>
      <c r="AD53" s="16" t="n">
        <v>1.7</v>
      </c>
      <c r="AE53" s="16" t="n">
        <v>40</v>
      </c>
      <c r="AF53" s="16" t="n">
        <v>6.11</v>
      </c>
      <c r="AG53" s="16" t="n">
        <v>0.1</v>
      </c>
      <c r="AH53" s="16" t="n">
        <v>1.47</v>
      </c>
      <c r="AI53" s="16" t="n">
        <v>7.22</v>
      </c>
      <c r="AJ53" s="16" t="n">
        <v>54.89</v>
      </c>
      <c r="AK53" s="16" t="n">
        <v>756.3099999999999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Bear Put Spread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10:21 IST</t>
        </is>
      </c>
      <c r="O54" s="17" t="n">
        <v>56592</v>
      </c>
      <c r="P54" s="17" t="n">
        <v>57126.8</v>
      </c>
      <c r="Q54" s="17" t="inlineStr">
        <is>
          <t>56600 PE</t>
        </is>
      </c>
      <c r="R54" s="17" t="inlineStr">
        <is>
          <t>56400 PE</t>
        </is>
      </c>
      <c r="S54" s="17" t="n">
        <v>22</v>
      </c>
      <c r="T54" s="17" t="n">
        <v>30</v>
      </c>
      <c r="U54" s="17" t="n">
        <v>660</v>
      </c>
      <c r="V54" s="17" t="n">
        <v>72.01000000000001</v>
      </c>
      <c r="W54" s="17" t="n">
        <v>93.61</v>
      </c>
      <c r="X54" s="17" t="n">
        <v>47526.6</v>
      </c>
      <c r="Y54" s="17" t="n">
        <v>47581.28</v>
      </c>
      <c r="Z54" s="17" t="n">
        <v>84473.39999999999</v>
      </c>
      <c r="AA54" s="17" t="n">
        <v>14257.98</v>
      </c>
      <c r="AB54" s="17" t="n">
        <v>14257.98</v>
      </c>
      <c r="AC54" s="17" t="n">
        <v>14256</v>
      </c>
      <c r="AD54" s="17" t="n">
        <v>30</v>
      </c>
      <c r="AE54" s="17" t="n">
        <v>40</v>
      </c>
      <c r="AF54" s="17" t="n">
        <v>5.94</v>
      </c>
      <c r="AG54" s="17" t="n">
        <v>0.1</v>
      </c>
      <c r="AH54" s="17" t="n">
        <v>1.43</v>
      </c>
      <c r="AI54" s="17" t="n">
        <v>7.22</v>
      </c>
      <c r="AJ54" s="17" t="n">
        <v>54.68</v>
      </c>
      <c r="AK54" s="17" t="n">
        <v>14201.32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BANKNIFTY</t>
        </is>
      </c>
      <c r="C55" s="15" t="inlineStr">
        <is>
          <t>Bear Put Spread</t>
        </is>
      </c>
      <c r="D55" s="15" t="inlineStr">
        <is>
          <t>Bear Put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Price↓(56220.4&lt;56592.0) &amp; EMA9↓(57242.74&lt;57517.83)</t>
        </is>
      </c>
      <c r="H55" s="15" t="n">
        <v>57242.74</v>
      </c>
      <c r="I55" s="15" t="n">
        <v>57517.83</v>
      </c>
      <c r="J55" s="15" t="inlineStr">
        <is>
          <t>2026-07-30</t>
        </is>
      </c>
      <c r="K55" s="15" t="inlineStr">
        <is>
          <t>MONTHLY</t>
        </is>
      </c>
      <c r="L55" s="15" t="n">
        <v>6</v>
      </c>
      <c r="M55" s="15" t="inlineStr">
        <is>
          <t>09:20 IST</t>
        </is>
      </c>
      <c r="N55" s="15" t="inlineStr">
        <is>
          <t>09:37 IST</t>
        </is>
      </c>
      <c r="O55" s="15" t="n">
        <v>56220.4</v>
      </c>
      <c r="P55" s="15" t="n">
        <v>56592</v>
      </c>
      <c r="Q55" s="15" t="inlineStr">
        <is>
          <t>56400 PE</t>
        </is>
      </c>
      <c r="R55" s="15" t="inlineStr">
        <is>
          <t>56200 PE</t>
        </is>
      </c>
      <c r="S55" s="15" t="n">
        <v>32</v>
      </c>
      <c r="T55" s="15" t="n">
        <v>30</v>
      </c>
      <c r="U55" s="15" t="n">
        <v>960</v>
      </c>
      <c r="V55" s="15" t="n">
        <v>50.26</v>
      </c>
      <c r="W55" s="15" t="n">
        <v>35.18</v>
      </c>
      <c r="X55" s="15" t="n">
        <v>48249.6</v>
      </c>
      <c r="Y55" s="15" t="n">
        <v>48304.39</v>
      </c>
      <c r="Z55" s="15" t="n">
        <v>143750.4</v>
      </c>
      <c r="AA55" s="15" t="n">
        <v>14474.88</v>
      </c>
      <c r="AB55" s="15" t="n">
        <v>14474.88</v>
      </c>
      <c r="AC55" s="15" t="n">
        <v>-14476.8</v>
      </c>
      <c r="AD55" s="15" t="n">
        <v>-30</v>
      </c>
      <c r="AE55" s="15" t="n">
        <v>40</v>
      </c>
      <c r="AF55" s="15" t="n">
        <v>6.03</v>
      </c>
      <c r="AG55" s="15" t="n">
        <v>0.1</v>
      </c>
      <c r="AH55" s="15" t="n">
        <v>1.45</v>
      </c>
      <c r="AI55" s="15" t="n">
        <v>7.22</v>
      </c>
      <c r="AJ55" s="15" t="n">
        <v>54.79</v>
      </c>
      <c r="AK55" s="15" t="n">
        <v>-14531.59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Bear Put Spread</t>
        </is>
      </c>
      <c r="D56" s="17" t="inlineStr">
        <is>
          <t>Bear Put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11:39 IST</t>
        </is>
      </c>
      <c r="O56" s="17" t="n">
        <v>56693.5</v>
      </c>
      <c r="P56" s="17" t="n">
        <v>56592</v>
      </c>
      <c r="Q56" s="17" t="inlineStr">
        <is>
          <t>56800 PE</t>
        </is>
      </c>
      <c r="R56" s="17" t="inlineStr">
        <is>
          <t>56600 PE</t>
        </is>
      </c>
      <c r="S56" s="17" t="n">
        <v>23</v>
      </c>
      <c r="T56" s="17" t="n">
        <v>30</v>
      </c>
      <c r="U56" s="17" t="n">
        <v>690</v>
      </c>
      <c r="V56" s="17" t="n">
        <v>68.34999999999999</v>
      </c>
      <c r="W56" s="17" t="n">
        <v>88.84999999999999</v>
      </c>
      <c r="X56" s="17" t="n">
        <v>47161.5</v>
      </c>
      <c r="Y56" s="17" t="n">
        <v>47216.12</v>
      </c>
      <c r="Z56" s="17" t="n">
        <v>90838.5</v>
      </c>
      <c r="AA56" s="17" t="n">
        <v>14148.45</v>
      </c>
      <c r="AB56" s="17" t="n">
        <v>14148.45</v>
      </c>
      <c r="AC56" s="17" t="n">
        <v>14145</v>
      </c>
      <c r="AD56" s="17" t="n">
        <v>30</v>
      </c>
      <c r="AE56" s="17" t="n">
        <v>40</v>
      </c>
      <c r="AF56" s="17" t="n">
        <v>5.9</v>
      </c>
      <c r="AG56" s="17" t="n">
        <v>0.09</v>
      </c>
      <c r="AH56" s="17" t="n">
        <v>1.41</v>
      </c>
      <c r="AI56" s="17" t="n">
        <v>7.22</v>
      </c>
      <c r="AJ56" s="17" t="n">
        <v>54.62</v>
      </c>
      <c r="AK56" s="17" t="n">
        <v>14090.38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09:49 IST</t>
        </is>
      </c>
      <c r="O57" s="17" t="n">
        <v>57089.15</v>
      </c>
      <c r="P57" s="17" t="n">
        <v>56693.5</v>
      </c>
      <c r="Q57" s="17" t="inlineStr">
        <is>
          <t>57200 PE</t>
        </is>
      </c>
      <c r="R57" s="17" t="inlineStr">
        <is>
          <t>57000 PE</t>
        </is>
      </c>
      <c r="S57" s="17" t="n">
        <v>29</v>
      </c>
      <c r="T57" s="17" t="n">
        <v>30</v>
      </c>
      <c r="U57" s="17" t="n">
        <v>870</v>
      </c>
      <c r="V57" s="17" t="n">
        <v>55.83</v>
      </c>
      <c r="W57" s="17" t="n">
        <v>72.58</v>
      </c>
      <c r="X57" s="17" t="n">
        <v>48572.1</v>
      </c>
      <c r="Y57" s="17" t="n">
        <v>48626.94</v>
      </c>
      <c r="Z57" s="17" t="n">
        <v>125427.9</v>
      </c>
      <c r="AA57" s="17" t="n">
        <v>14571.63</v>
      </c>
      <c r="AB57" s="17" t="n">
        <v>14571.63</v>
      </c>
      <c r="AC57" s="17" t="n">
        <v>14572.5</v>
      </c>
      <c r="AD57" s="17" t="n">
        <v>30</v>
      </c>
      <c r="AE57" s="17" t="n">
        <v>40</v>
      </c>
      <c r="AF57" s="17" t="n">
        <v>6.07</v>
      </c>
      <c r="AG57" s="17" t="n">
        <v>0.1</v>
      </c>
      <c r="AH57" s="17" t="n">
        <v>1.46</v>
      </c>
      <c r="AI57" s="17" t="n">
        <v>7.22</v>
      </c>
      <c r="AJ57" s="17" t="n">
        <v>54.84</v>
      </c>
      <c r="AK57" s="17" t="n">
        <v>14517.66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2026-07-27</t>
        </is>
      </c>
      <c r="B58" s="15" t="inlineStr">
        <is>
          <t>BANKNIFTY</t>
        </is>
      </c>
      <c r="C58" s="15" t="inlineStr">
        <is>
          <t>Bear Put Spread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SKIP</t>
        </is>
      </c>
      <c r="G58" s="15" t="inlineStr">
        <is>
          <t>Conflicting — Price:BULLISH EMA:BEARISH</t>
        </is>
      </c>
      <c r="H58" s="15" t="n">
        <v>57287.91</v>
      </c>
      <c r="I58" s="15" t="n">
        <v>57529.52</v>
      </c>
      <c r="J58" s="15" t="inlineStr">
        <is>
          <t>2026-07-30</t>
        </is>
      </c>
      <c r="K58" s="15" t="inlineStr">
        <is>
          <t>MONTHLY</t>
        </is>
      </c>
      <c r="L58" s="15" t="n">
        <v>3</v>
      </c>
      <c r="M58" s="15" t="inlineStr">
        <is>
          <t>09:20 IST</t>
        </is>
      </c>
      <c r="N58" s="15" t="inlineStr">
        <is>
          <t>09:47 IST</t>
        </is>
      </c>
      <c r="O58" s="15" t="n">
        <v>57087.2</v>
      </c>
      <c r="P58" s="15" t="n">
        <v>56693.5</v>
      </c>
      <c r="Q58" s="15" t="inlineStr">
        <is>
          <t>57200 PE</t>
        </is>
      </c>
      <c r="R58" s="15" t="inlineStr">
        <is>
          <t>57000 PE</t>
        </is>
      </c>
      <c r="S58" s="15" t="n">
        <v>20</v>
      </c>
      <c r="T58" s="15" t="n">
        <v>30</v>
      </c>
      <c r="U58" s="15" t="n">
        <v>600</v>
      </c>
      <c r="V58" s="15" t="n">
        <v>79.37</v>
      </c>
      <c r="W58" s="15" t="n">
        <v>55.56</v>
      </c>
      <c r="X58" s="15" t="n">
        <v>47622</v>
      </c>
      <c r="Y58" s="15" t="n">
        <v>47676.69</v>
      </c>
      <c r="Z58" s="15" t="n">
        <v>72378</v>
      </c>
      <c r="AA58" s="15" t="n">
        <v>14286.6</v>
      </c>
      <c r="AB58" s="15" t="n">
        <v>14286.6</v>
      </c>
      <c r="AC58" s="15" t="n">
        <v>-14286</v>
      </c>
      <c r="AD58" s="15" t="n">
        <v>-30</v>
      </c>
      <c r="AE58" s="15" t="n">
        <v>40</v>
      </c>
      <c r="AF58" s="15" t="n">
        <v>5.95</v>
      </c>
      <c r="AG58" s="15" t="n">
        <v>0.1</v>
      </c>
      <c r="AH58" s="15" t="n">
        <v>1.43</v>
      </c>
      <c r="AI58" s="15" t="n">
        <v>7.22</v>
      </c>
      <c r="AJ58" s="15" t="n">
        <v>54.69</v>
      </c>
      <c r="AK58" s="15" t="n">
        <v>-14340.69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6" t="inlineStr">
        <is>
          <t>2026-07-28</t>
        </is>
      </c>
      <c r="B59" s="16" t="inlineStr">
        <is>
          <t>BANKNIFTY</t>
        </is>
      </c>
      <c r="C59" s="16" t="inlineStr">
        <is>
          <t>Bear Put Spread</t>
        </is>
      </c>
      <c r="D59" s="16" t="inlineStr">
        <is>
          <t>Bear Put Spread</t>
        </is>
      </c>
      <c r="E59" s="16" t="inlineStr">
        <is>
          <t>SIMULATED</t>
        </is>
      </c>
      <c r="F59" s="16" t="inlineStr">
        <is>
          <t>BEARISH</t>
        </is>
      </c>
      <c r="G59" s="16" t="inlineStr">
        <is>
          <t>Price↓(57016.0&lt;57087.2) &amp; EMA9↓(57337.64&lt;57571.24)</t>
        </is>
      </c>
      <c r="H59" s="16" t="n">
        <v>57337.64</v>
      </c>
      <c r="I59" s="16" t="n">
        <v>57571.24</v>
      </c>
      <c r="J59" s="16" t="inlineStr">
        <is>
          <t>2026-07-30</t>
        </is>
      </c>
      <c r="K59" s="16" t="inlineStr">
        <is>
          <t>MONTHLY</t>
        </is>
      </c>
      <c r="L59" s="16" t="n">
        <v>2</v>
      </c>
      <c r="M59" s="16" t="inlineStr">
        <is>
          <t>09:20 IST</t>
        </is>
      </c>
      <c r="N59" s="16" t="inlineStr">
        <is>
          <t>14:11 IST</t>
        </is>
      </c>
      <c r="O59" s="16" t="n">
        <v>57016</v>
      </c>
      <c r="P59" s="16" t="n">
        <v>57087.2</v>
      </c>
      <c r="Q59" s="16" t="inlineStr">
        <is>
          <t>57200 PE</t>
        </is>
      </c>
      <c r="R59" s="16" t="inlineStr">
        <is>
          <t>57000 PE</t>
        </is>
      </c>
      <c r="S59" s="16" t="n">
        <v>35</v>
      </c>
      <c r="T59" s="16" t="n">
        <v>30</v>
      </c>
      <c r="U59" s="16" t="n">
        <v>1050</v>
      </c>
      <c r="V59" s="16" t="n">
        <v>45.25</v>
      </c>
      <c r="W59" s="16" t="n">
        <v>46.56</v>
      </c>
      <c r="X59" s="16" t="n">
        <v>47512.5</v>
      </c>
      <c r="Y59" s="16" t="n">
        <v>47567.18</v>
      </c>
      <c r="Z59" s="16" t="n">
        <v>162487.5</v>
      </c>
      <c r="AA59" s="16" t="n">
        <v>14253.75</v>
      </c>
      <c r="AB59" s="16" t="n">
        <v>14253.75</v>
      </c>
      <c r="AC59" s="16" t="n">
        <v>1375.5</v>
      </c>
      <c r="AD59" s="16" t="n">
        <v>2.9</v>
      </c>
      <c r="AE59" s="16" t="n">
        <v>40</v>
      </c>
      <c r="AF59" s="16" t="n">
        <v>5.94</v>
      </c>
      <c r="AG59" s="16" t="n">
        <v>0.1</v>
      </c>
      <c r="AH59" s="16" t="n">
        <v>1.43</v>
      </c>
      <c r="AI59" s="16" t="n">
        <v>7.22</v>
      </c>
      <c r="AJ59" s="16" t="n">
        <v>54.68</v>
      </c>
      <c r="AK59" s="16" t="n">
        <v>1320.82</v>
      </c>
      <c r="AL59" s="16" t="inlineStr">
        <is>
          <t>FLAT</t>
        </is>
      </c>
      <c r="AM59" s="16" t="n">
        <v>50000</v>
      </c>
      <c r="AN59" s="16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BANKNIFTY</t>
        </is>
      </c>
      <c r="C60" s="15" t="inlineStr">
        <is>
          <t>Bear Put Spread</t>
        </is>
      </c>
      <c r="D60" s="15" t="inlineStr">
        <is>
          <t>Bear Put Spread</t>
        </is>
      </c>
      <c r="E60" s="15" t="inlineStr">
        <is>
          <t>SIMULATED</t>
        </is>
      </c>
      <c r="F60" s="15" t="inlineStr">
        <is>
          <t>BEARISH</t>
        </is>
      </c>
      <c r="G60" s="15" t="inlineStr">
        <is>
          <t>Price↓(56755.6&lt;57087.2) &amp; EMA9↓(57182.23&lt;57473.39)</t>
        </is>
      </c>
      <c r="H60" s="15" t="n">
        <v>57182.23</v>
      </c>
      <c r="I60" s="15" t="n">
        <v>57473.39</v>
      </c>
      <c r="J60" s="15" t="inlineStr">
        <is>
          <t>2026-07-30</t>
        </is>
      </c>
      <c r="K60" s="15" t="inlineStr">
        <is>
          <t>MONTHLY</t>
        </is>
      </c>
      <c r="L60" s="15" t="n">
        <v>2</v>
      </c>
      <c r="M60" s="15" t="inlineStr">
        <is>
          <t>09:20 IST</t>
        </is>
      </c>
      <c r="N60" s="15" t="inlineStr">
        <is>
          <t>10:42 IST</t>
        </is>
      </c>
      <c r="O60" s="15" t="n">
        <v>56755.6</v>
      </c>
      <c r="P60" s="15" t="n">
        <v>57087.2</v>
      </c>
      <c r="Q60" s="15" t="inlineStr">
        <is>
          <t>56800 PE</t>
        </is>
      </c>
      <c r="R60" s="15" t="inlineStr">
        <is>
          <t>56600 PE</t>
        </is>
      </c>
      <c r="S60" s="15" t="n">
        <v>52</v>
      </c>
      <c r="T60" s="15" t="n">
        <v>30</v>
      </c>
      <c r="U60" s="15" t="n">
        <v>1560</v>
      </c>
      <c r="V60" s="15" t="n">
        <v>30.62</v>
      </c>
      <c r="W60" s="15" t="n">
        <v>21.43</v>
      </c>
      <c r="X60" s="15" t="n">
        <v>47767.2</v>
      </c>
      <c r="Y60" s="15" t="n">
        <v>47821.92</v>
      </c>
      <c r="Z60" s="15" t="n">
        <v>264232.8</v>
      </c>
      <c r="AA60" s="15" t="n">
        <v>14330.16</v>
      </c>
      <c r="AB60" s="15" t="n">
        <v>14330.16</v>
      </c>
      <c r="AC60" s="15" t="n">
        <v>-14336.4</v>
      </c>
      <c r="AD60" s="15" t="n">
        <v>-30</v>
      </c>
      <c r="AE60" s="15" t="n">
        <v>40</v>
      </c>
      <c r="AF60" s="15" t="n">
        <v>5.97</v>
      </c>
      <c r="AG60" s="15" t="n">
        <v>0.1</v>
      </c>
      <c r="AH60" s="15" t="n">
        <v>1.43</v>
      </c>
      <c r="AI60" s="15" t="n">
        <v>7.22</v>
      </c>
      <c r="AJ60" s="15" t="n">
        <v>54.72</v>
      </c>
      <c r="AK60" s="15" t="n">
        <v>-14391.12</v>
      </c>
      <c r="AL60" s="15" t="inlineStr">
        <is>
          <t>STOP LOSS</t>
        </is>
      </c>
      <c r="AM60" s="15" t="n">
        <v>50000</v>
      </c>
      <c r="AN60" s="15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09:44 IST</t>
        </is>
      </c>
      <c r="O61" s="17" t="n">
        <v>57156.2</v>
      </c>
      <c r="P61" s="17" t="n">
        <v>56755.6</v>
      </c>
      <c r="Q61" s="17" t="inlineStr">
        <is>
          <t>57200 PE</t>
        </is>
      </c>
      <c r="R61" s="17" t="inlineStr">
        <is>
          <t>57000 PE</t>
        </is>
      </c>
      <c r="S61" s="17" t="n">
        <v>39</v>
      </c>
      <c r="T61" s="17" t="n">
        <v>30</v>
      </c>
      <c r="U61" s="17" t="n">
        <v>1170</v>
      </c>
      <c r="V61" s="17" t="n">
        <v>40.33</v>
      </c>
      <c r="W61" s="17" t="n">
        <v>52.43</v>
      </c>
      <c r="X61" s="17" t="n">
        <v>47186.1</v>
      </c>
      <c r="Y61" s="17" t="n">
        <v>47240.73</v>
      </c>
      <c r="Z61" s="17" t="n">
        <v>186813.9</v>
      </c>
      <c r="AA61" s="17" t="n">
        <v>14155.83</v>
      </c>
      <c r="AB61" s="17" t="n">
        <v>14155.83</v>
      </c>
      <c r="AC61" s="17" t="n">
        <v>14157</v>
      </c>
      <c r="AD61" s="17" t="n">
        <v>30</v>
      </c>
      <c r="AE61" s="17" t="n">
        <v>40</v>
      </c>
      <c r="AF61" s="17" t="n">
        <v>5.9</v>
      </c>
      <c r="AG61" s="17" t="n">
        <v>0.09</v>
      </c>
      <c r="AH61" s="17" t="n">
        <v>1.42</v>
      </c>
      <c r="AI61" s="17" t="n">
        <v>7.22</v>
      </c>
      <c r="AJ61" s="17" t="n">
        <v>54.63</v>
      </c>
      <c r="AK61" s="17" t="n">
        <v>14102.37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BANKNIFTY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57186.94</v>
      </c>
      <c r="I62" s="17" t="n">
        <v>57438.52</v>
      </c>
      <c r="J62" s="17" t="inlineStr">
        <is>
          <t>2026-07-30</t>
        </is>
      </c>
      <c r="K62" s="17" t="inlineStr">
        <is>
          <t>MONTHLY</t>
        </is>
      </c>
      <c r="L62" s="17" t="n">
        <v>1</v>
      </c>
      <c r="M62" s="17" t="inlineStr">
        <is>
          <t>09:20 IST</t>
        </is>
      </c>
      <c r="N62" s="17" t="inlineStr">
        <is>
          <t>11:39 IST</t>
        </is>
      </c>
      <c r="O62" s="17" t="n">
        <v>57205.9</v>
      </c>
      <c r="P62" s="17" t="n">
        <v>56755.6</v>
      </c>
      <c r="Q62" s="17" t="inlineStr">
        <is>
          <t>57400 PE</t>
        </is>
      </c>
      <c r="R62" s="17" t="inlineStr">
        <is>
          <t>57200 PE</t>
        </is>
      </c>
      <c r="S62" s="17" t="n">
        <v>48</v>
      </c>
      <c r="T62" s="17" t="n">
        <v>30</v>
      </c>
      <c r="U62" s="17" t="n">
        <v>1440</v>
      </c>
      <c r="V62" s="17" t="n">
        <v>33.28</v>
      </c>
      <c r="W62" s="17" t="n">
        <v>43.26</v>
      </c>
      <c r="X62" s="17" t="n">
        <v>47923.2</v>
      </c>
      <c r="Y62" s="17" t="n">
        <v>47977.94</v>
      </c>
      <c r="Z62" s="17" t="n">
        <v>240076.8</v>
      </c>
      <c r="AA62" s="17" t="n">
        <v>14376.96</v>
      </c>
      <c r="AB62" s="17" t="n">
        <v>14376.96</v>
      </c>
      <c r="AC62" s="17" t="n">
        <v>14371.2</v>
      </c>
      <c r="AD62" s="17" t="n">
        <v>30</v>
      </c>
      <c r="AE62" s="17" t="n">
        <v>40</v>
      </c>
      <c r="AF62" s="17" t="n">
        <v>5.99</v>
      </c>
      <c r="AG62" s="17" t="n">
        <v>0.1</v>
      </c>
      <c r="AH62" s="17" t="n">
        <v>1.44</v>
      </c>
      <c r="AI62" s="17" t="n">
        <v>7.22</v>
      </c>
      <c r="AJ62" s="17" t="n">
        <v>54.74</v>
      </c>
      <c r="AK62" s="17" t="n">
        <v>14316.46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BANKNIFTY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Price↓(56904.45&lt;57205.9) &amp; EMA9↓(57130.04&lt;57384.53)</t>
        </is>
      </c>
      <c r="H63" s="17" t="n">
        <v>57130.04</v>
      </c>
      <c r="I63" s="17" t="n">
        <v>57384.53</v>
      </c>
      <c r="J63" s="17" t="inlineStr">
        <is>
          <t>2026-07-30</t>
        </is>
      </c>
      <c r="K63" s="17" t="inlineStr">
        <is>
          <t>MONTHLY</t>
        </is>
      </c>
      <c r="L63" s="17" t="n">
        <v>0</v>
      </c>
      <c r="M63" s="17" t="inlineStr">
        <is>
          <t>09:20 IST</t>
        </is>
      </c>
      <c r="N63" s="17" t="inlineStr">
        <is>
          <t>10:02 IST</t>
        </is>
      </c>
      <c r="O63" s="17" t="n">
        <v>56904.45</v>
      </c>
      <c r="P63" s="17" t="n">
        <v>57205.9</v>
      </c>
      <c r="Q63" s="17" t="inlineStr">
        <is>
          <t>57000 PE</t>
        </is>
      </c>
      <c r="R63" s="17" t="inlineStr">
        <is>
          <t>56800 PE</t>
        </is>
      </c>
      <c r="S63" s="17" t="n">
        <v>44</v>
      </c>
      <c r="T63" s="17" t="n">
        <v>30</v>
      </c>
      <c r="U63" s="17" t="n">
        <v>1320</v>
      </c>
      <c r="V63" s="17" t="n">
        <v>35.8</v>
      </c>
      <c r="W63" s="17" t="n">
        <v>46.54</v>
      </c>
      <c r="X63" s="17" t="n">
        <v>47256</v>
      </c>
      <c r="Y63" s="17" t="n">
        <v>47310.64</v>
      </c>
      <c r="Z63" s="17" t="n">
        <v>216744</v>
      </c>
      <c r="AA63" s="17" t="n">
        <v>14176.8</v>
      </c>
      <c r="AB63" s="17" t="n">
        <v>14176.8</v>
      </c>
      <c r="AC63" s="17" t="n">
        <v>14176.8</v>
      </c>
      <c r="AD63" s="17" t="n">
        <v>30</v>
      </c>
      <c r="AE63" s="17" t="n">
        <v>40</v>
      </c>
      <c r="AF63" s="17" t="n">
        <v>5.91</v>
      </c>
      <c r="AG63" s="17" t="n">
        <v>0.09</v>
      </c>
      <c r="AH63" s="17" t="n">
        <v>1.42</v>
      </c>
      <c r="AI63" s="17" t="n">
        <v>7.22</v>
      </c>
      <c r="AJ63" s="17" t="n">
        <v>54.64</v>
      </c>
      <c r="AK63" s="17" t="n">
        <v>14122.16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BANKNIFTY</t>
        </is>
      </c>
      <c r="C64" s="17" t="inlineStr">
        <is>
          <t>Bear Put Spread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BEARISH</t>
        </is>
      </c>
      <c r="G64" s="17" t="inlineStr">
        <is>
          <t>Price↓(57147.5&lt;57205.9) &amp; EMA9↓(57178.65&lt;57406.62)</t>
        </is>
      </c>
      <c r="H64" s="17" t="n">
        <v>57178.65</v>
      </c>
      <c r="I64" s="17" t="n">
        <v>57406.62</v>
      </c>
      <c r="J64" s="17" t="inlineStr">
        <is>
          <t>2026-07-30</t>
        </is>
      </c>
      <c r="K64" s="17" t="inlineStr">
        <is>
          <t>MONTHLY</t>
        </is>
      </c>
      <c r="L64" s="17" t="n">
        <v>0</v>
      </c>
      <c r="M64" s="17" t="inlineStr">
        <is>
          <t>09:20 IST</t>
        </is>
      </c>
      <c r="N64" s="17" t="inlineStr">
        <is>
          <t>11:53 IST</t>
        </is>
      </c>
      <c r="O64" s="17" t="n">
        <v>57147.5</v>
      </c>
      <c r="P64" s="17" t="n">
        <v>57205.9</v>
      </c>
      <c r="Q64" s="17" t="inlineStr">
        <is>
          <t>57200 PE</t>
        </is>
      </c>
      <c r="R64" s="17" t="inlineStr">
        <is>
          <t>57000 PE</t>
        </is>
      </c>
      <c r="S64" s="17" t="n">
        <v>36</v>
      </c>
      <c r="T64" s="17" t="n">
        <v>30</v>
      </c>
      <c r="U64" s="17" t="n">
        <v>1080</v>
      </c>
      <c r="V64" s="17" t="n">
        <v>44.54</v>
      </c>
      <c r="W64" s="17" t="n">
        <v>57.9</v>
      </c>
      <c r="X64" s="17" t="n">
        <v>48103.2</v>
      </c>
      <c r="Y64" s="17" t="n">
        <v>48157.97</v>
      </c>
      <c r="Z64" s="17" t="n">
        <v>167896.8</v>
      </c>
      <c r="AA64" s="17" t="n">
        <v>14430.96</v>
      </c>
      <c r="AB64" s="17" t="n">
        <v>14430.96</v>
      </c>
      <c r="AC64" s="17" t="n">
        <v>14428.8</v>
      </c>
      <c r="AD64" s="17" t="n">
        <v>30</v>
      </c>
      <c r="AE64" s="17" t="n">
        <v>40</v>
      </c>
      <c r="AF64" s="17" t="n">
        <v>6.01</v>
      </c>
      <c r="AG64" s="17" t="n">
        <v>0.1</v>
      </c>
      <c r="AH64" s="17" t="n">
        <v>1.44</v>
      </c>
      <c r="AI64" s="17" t="n">
        <v>7.22</v>
      </c>
      <c r="AJ64" s="17" t="n">
        <v>54.77</v>
      </c>
      <c r="AK64" s="17" t="n">
        <v>14374.03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10:07 IST</t>
        </is>
      </c>
      <c r="O65" s="15" t="n">
        <v>57181.45</v>
      </c>
      <c r="P65" s="15" t="n">
        <v>57147.5</v>
      </c>
      <c r="Q65" s="15" t="inlineStr">
        <is>
          <t>57200 PE</t>
        </is>
      </c>
      <c r="R65" s="15" t="inlineStr">
        <is>
          <t>57000 PE</t>
        </is>
      </c>
      <c r="S65" s="15" t="n">
        <v>16</v>
      </c>
      <c r="T65" s="15" t="n">
        <v>30</v>
      </c>
      <c r="U65" s="15" t="n">
        <v>480</v>
      </c>
      <c r="V65" s="15" t="n">
        <v>100.4</v>
      </c>
      <c r="W65" s="15" t="n">
        <v>70.28</v>
      </c>
      <c r="X65" s="15" t="n">
        <v>48192</v>
      </c>
      <c r="Y65" s="15" t="n">
        <v>48246.78</v>
      </c>
      <c r="Z65" s="15" t="n">
        <v>47808</v>
      </c>
      <c r="AA65" s="15" t="n">
        <v>14457.6</v>
      </c>
      <c r="AB65" s="15" t="n">
        <v>14457.6</v>
      </c>
      <c r="AC65" s="15" t="n">
        <v>-14457.6</v>
      </c>
      <c r="AD65" s="15" t="n">
        <v>-30</v>
      </c>
      <c r="AE65" s="15" t="n">
        <v>40</v>
      </c>
      <c r="AF65" s="15" t="n">
        <v>6.02</v>
      </c>
      <c r="AG65" s="15" t="n">
        <v>0.1</v>
      </c>
      <c r="AH65" s="15" t="n">
        <v>1.45</v>
      </c>
      <c r="AI65" s="15" t="n">
        <v>7.22</v>
      </c>
      <c r="AJ65" s="15" t="n">
        <v>54.78</v>
      </c>
      <c r="AK65" s="15" t="n">
        <v>-14512.38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5" t="inlineStr">
        <is>
          <t>2026-07-31</t>
        </is>
      </c>
      <c r="B66" s="15" t="inlineStr">
        <is>
          <t>BANKNIFTY</t>
        </is>
      </c>
      <c r="C66" s="15" t="inlineStr">
        <is>
          <t>Bear Put Spread</t>
        </is>
      </c>
      <c r="D66" s="15" t="inlineStr">
        <is>
          <t>Bear Put Spread</t>
        </is>
      </c>
      <c r="E66" s="15" t="inlineStr">
        <is>
          <t>SIMULATED</t>
        </is>
      </c>
      <c r="F66" s="15" t="inlineStr">
        <is>
          <t>SKIP</t>
        </is>
      </c>
      <c r="G66" s="15" t="inlineStr">
        <is>
          <t>Conflicting — Price:BULLISH EMA:BEARISH</t>
        </is>
      </c>
      <c r="H66" s="15" t="n">
        <v>57195.97</v>
      </c>
      <c r="I66" s="15" t="n">
        <v>57396.65</v>
      </c>
      <c r="J66" s="15" t="inlineStr">
        <is>
          <t>2026-08-27</t>
        </is>
      </c>
      <c r="K66" s="15" t="inlineStr">
        <is>
          <t>MONTHLY</t>
        </is>
      </c>
      <c r="L66" s="15" t="n">
        <v>27</v>
      </c>
      <c r="M66" s="15" t="inlineStr">
        <is>
          <t>09:20 IST</t>
        </is>
      </c>
      <c r="N66" s="15" t="inlineStr">
        <is>
          <t>09:35 IST</t>
        </is>
      </c>
      <c r="O66" s="15" t="n">
        <v>57264.85</v>
      </c>
      <c r="P66" s="15" t="n">
        <v>57147.5</v>
      </c>
      <c r="Q66" s="15" t="inlineStr">
        <is>
          <t>57400 PE</t>
        </is>
      </c>
      <c r="R66" s="15" t="inlineStr">
        <is>
          <t>57200 PE</t>
        </is>
      </c>
      <c r="S66" s="15" t="n">
        <v>16</v>
      </c>
      <c r="T66" s="15" t="n">
        <v>30</v>
      </c>
      <c r="U66" s="15" t="n">
        <v>480</v>
      </c>
      <c r="V66" s="15" t="n">
        <v>100.93</v>
      </c>
      <c r="W66" s="15" t="n">
        <v>70.65000000000001</v>
      </c>
      <c r="X66" s="15" t="n">
        <v>48446.4</v>
      </c>
      <c r="Y66" s="15" t="n">
        <v>48501.22</v>
      </c>
      <c r="Z66" s="15" t="n">
        <v>47553.6</v>
      </c>
      <c r="AA66" s="15" t="n">
        <v>14533.92</v>
      </c>
      <c r="AB66" s="15" t="n">
        <v>14533.92</v>
      </c>
      <c r="AC66" s="15" t="n">
        <v>-14534.4</v>
      </c>
      <c r="AD66" s="15" t="n">
        <v>-30</v>
      </c>
      <c r="AE66" s="15" t="n">
        <v>40</v>
      </c>
      <c r="AF66" s="15" t="n">
        <v>6.06</v>
      </c>
      <c r="AG66" s="15" t="n">
        <v>0.1</v>
      </c>
      <c r="AH66" s="15" t="n">
        <v>1.45</v>
      </c>
      <c r="AI66" s="15" t="n">
        <v>7.22</v>
      </c>
      <c r="AJ66" s="15" t="n">
        <v>54.82</v>
      </c>
      <c r="AK66" s="15" t="n">
        <v>-14589.22</v>
      </c>
      <c r="AL66" s="15" t="inlineStr">
        <is>
          <t>STOP LOSS</t>
        </is>
      </c>
      <c r="AM66" s="15" t="n">
        <v>50000</v>
      </c>
      <c r="AN66" s="15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Bear Put Spread</t>
        </is>
      </c>
      <c r="D67" s="15" t="inlineStr">
        <is>
          <t>Bear Put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09:53 IST</t>
        </is>
      </c>
      <c r="O67" s="15" t="n">
        <v>57801.65</v>
      </c>
      <c r="P67" s="15" t="n">
        <v>57264.85</v>
      </c>
      <c r="Q67" s="15" t="inlineStr">
        <is>
          <t>58000 PE</t>
        </is>
      </c>
      <c r="R67" s="15" t="inlineStr">
        <is>
          <t>57800 PE</t>
        </is>
      </c>
      <c r="S67" s="15" t="n">
        <v>19</v>
      </c>
      <c r="T67" s="15" t="n">
        <v>30</v>
      </c>
      <c r="U67" s="15" t="n">
        <v>570</v>
      </c>
      <c r="V67" s="15" t="n">
        <v>85.18000000000001</v>
      </c>
      <c r="W67" s="15" t="n">
        <v>59.63</v>
      </c>
      <c r="X67" s="15" t="n">
        <v>48552.6</v>
      </c>
      <c r="Y67" s="15" t="n">
        <v>48607.44</v>
      </c>
      <c r="Z67" s="15" t="n">
        <v>65447.4</v>
      </c>
      <c r="AA67" s="15" t="n">
        <v>14565.78</v>
      </c>
      <c r="AB67" s="15" t="n">
        <v>14565.78</v>
      </c>
      <c r="AC67" s="15" t="n">
        <v>-14563.5</v>
      </c>
      <c r="AD67" s="15" t="n">
        <v>-30</v>
      </c>
      <c r="AE67" s="15" t="n">
        <v>40</v>
      </c>
      <c r="AF67" s="15" t="n">
        <v>6.07</v>
      </c>
      <c r="AG67" s="15" t="n">
        <v>0.1</v>
      </c>
      <c r="AH67" s="15" t="n">
        <v>1.46</v>
      </c>
      <c r="AI67" s="15" t="n">
        <v>7.22</v>
      </c>
      <c r="AJ67" s="15" t="n">
        <v>54.84</v>
      </c>
      <c r="AK67" s="15" t="n">
        <v>-14618.34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09:59 IST</t>
        </is>
      </c>
      <c r="O68" s="15" t="n">
        <v>58247.95</v>
      </c>
      <c r="P68" s="15" t="n">
        <v>57264.85</v>
      </c>
      <c r="Q68" s="15" t="inlineStr">
        <is>
          <t>58400 PE</t>
        </is>
      </c>
      <c r="R68" s="15" t="inlineStr">
        <is>
          <t>58200 PE</t>
        </is>
      </c>
      <c r="S68" s="15" t="n">
        <v>16</v>
      </c>
      <c r="T68" s="15" t="n">
        <v>30</v>
      </c>
      <c r="U68" s="15" t="n">
        <v>480</v>
      </c>
      <c r="V68" s="15" t="n">
        <v>98.39</v>
      </c>
      <c r="W68" s="15" t="n">
        <v>68.87</v>
      </c>
      <c r="X68" s="15" t="n">
        <v>47227.2</v>
      </c>
      <c r="Y68" s="15" t="n">
        <v>47281.83</v>
      </c>
      <c r="Z68" s="15" t="n">
        <v>48772.8</v>
      </c>
      <c r="AA68" s="15" t="n">
        <v>14168.16</v>
      </c>
      <c r="AB68" s="15" t="n">
        <v>14168.16</v>
      </c>
      <c r="AC68" s="15" t="n">
        <v>-14169.6</v>
      </c>
      <c r="AD68" s="15" t="n">
        <v>-30</v>
      </c>
      <c r="AE68" s="15" t="n">
        <v>40</v>
      </c>
      <c r="AF68" s="15" t="n">
        <v>5.9</v>
      </c>
      <c r="AG68" s="15" t="n">
        <v>0.09</v>
      </c>
      <c r="AH68" s="15" t="n">
        <v>1.42</v>
      </c>
      <c r="AI68" s="15" t="n">
        <v>7.22</v>
      </c>
      <c r="AJ68" s="15" t="n">
        <v>54.63</v>
      </c>
      <c r="AK68" s="15" t="n">
        <v>-14224.23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Bear Put Spread</t>
        </is>
      </c>
      <c r="D69" s="15" t="inlineStr">
        <is>
          <t>Bear Put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11:12 IST</t>
        </is>
      </c>
      <c r="O69" s="15" t="n">
        <v>57568.85</v>
      </c>
      <c r="P69" s="15" t="n">
        <v>57264.85</v>
      </c>
      <c r="Q69" s="15" t="inlineStr">
        <is>
          <t>57600 PE</t>
        </is>
      </c>
      <c r="R69" s="15" t="inlineStr">
        <is>
          <t>57400 PE</t>
        </is>
      </c>
      <c r="S69" s="15" t="n">
        <v>17</v>
      </c>
      <c r="T69" s="15" t="n">
        <v>30</v>
      </c>
      <c r="U69" s="15" t="n">
        <v>510</v>
      </c>
      <c r="V69" s="15" t="n">
        <v>94.2</v>
      </c>
      <c r="W69" s="15" t="n">
        <v>65.94</v>
      </c>
      <c r="X69" s="15" t="n">
        <v>48042</v>
      </c>
      <c r="Y69" s="15" t="n">
        <v>48096.76</v>
      </c>
      <c r="Z69" s="15" t="n">
        <v>53958</v>
      </c>
      <c r="AA69" s="15" t="n">
        <v>14412.6</v>
      </c>
      <c r="AB69" s="15" t="n">
        <v>14412.6</v>
      </c>
      <c r="AC69" s="15" t="n">
        <v>-14412.6</v>
      </c>
      <c r="AD69" s="15" t="n">
        <v>-30</v>
      </c>
      <c r="AE69" s="15" t="n">
        <v>40</v>
      </c>
      <c r="AF69" s="15" t="n">
        <v>6.01</v>
      </c>
      <c r="AG69" s="15" t="n">
        <v>0.1</v>
      </c>
      <c r="AH69" s="15" t="n">
        <v>1.44</v>
      </c>
      <c r="AI69" s="15" t="n">
        <v>7.22</v>
      </c>
      <c r="AJ69" s="15" t="n">
        <v>54.76</v>
      </c>
      <c r="AK69" s="15" t="n">
        <v>-14467.36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BANKNIFTY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BEARISH</t>
        </is>
      </c>
      <c r="G70" s="17" t="inlineStr">
        <is>
          <t>Price↓(57907.2&lt;58247.95) &amp; EMA9↓(57506.7&lt;57562.15)</t>
        </is>
      </c>
      <c r="H70" s="17" t="n">
        <v>57506.7</v>
      </c>
      <c r="I70" s="17" t="n">
        <v>57562.15</v>
      </c>
      <c r="J70" s="17" t="inlineStr">
        <is>
          <t>2026-08-27</t>
        </is>
      </c>
      <c r="K70" s="17" t="inlineStr">
        <is>
          <t>MONTHLY</t>
        </is>
      </c>
      <c r="L70" s="17" t="n">
        <v>23</v>
      </c>
      <c r="M70" s="17" t="inlineStr">
        <is>
          <t>09:20 IST</t>
        </is>
      </c>
      <c r="N70" s="17" t="inlineStr">
        <is>
          <t>10:49 IST</t>
        </is>
      </c>
      <c r="O70" s="17" t="n">
        <v>57907.2</v>
      </c>
      <c r="P70" s="17" t="n">
        <v>58247.95</v>
      </c>
      <c r="Q70" s="17" t="inlineStr">
        <is>
          <t>58000 PE</t>
        </is>
      </c>
      <c r="R70" s="17" t="inlineStr">
        <is>
          <t>57800 PE</t>
        </is>
      </c>
      <c r="S70" s="17" t="n">
        <v>15</v>
      </c>
      <c r="T70" s="17" t="n">
        <v>30</v>
      </c>
      <c r="U70" s="17" t="n">
        <v>450</v>
      </c>
      <c r="V70" s="17" t="n">
        <v>102.92</v>
      </c>
      <c r="W70" s="17" t="n">
        <v>133.8</v>
      </c>
      <c r="X70" s="17" t="n">
        <v>46314</v>
      </c>
      <c r="Y70" s="17" t="n">
        <v>46368.49</v>
      </c>
      <c r="Z70" s="17" t="n">
        <v>43686</v>
      </c>
      <c r="AA70" s="17" t="n">
        <v>13894.2</v>
      </c>
      <c r="AB70" s="17" t="n">
        <v>13894.2</v>
      </c>
      <c r="AC70" s="17" t="n">
        <v>13896</v>
      </c>
      <c r="AD70" s="17" t="n">
        <v>30</v>
      </c>
      <c r="AE70" s="17" t="n">
        <v>40</v>
      </c>
      <c r="AF70" s="17" t="n">
        <v>5.79</v>
      </c>
      <c r="AG70" s="17" t="n">
        <v>0.09</v>
      </c>
      <c r="AH70" s="17" t="n">
        <v>1.39</v>
      </c>
      <c r="AI70" s="17" t="n">
        <v>7.22</v>
      </c>
      <c r="AJ70" s="17" t="n">
        <v>54.49</v>
      </c>
      <c r="AK70" s="17" t="n">
        <v>13841.51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BANKNIFTY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BEARISH</t>
        </is>
      </c>
      <c r="G71" s="17" t="inlineStr">
        <is>
          <t>Price↓(57716.45&lt;57907.2) &amp; EMA9↓(57549.77&lt;57589.3)</t>
        </is>
      </c>
      <c r="H71" s="17" t="n">
        <v>57549.77</v>
      </c>
      <c r="I71" s="17" t="n">
        <v>57589.3</v>
      </c>
      <c r="J71" s="17" t="inlineStr">
        <is>
          <t>2026-08-27</t>
        </is>
      </c>
      <c r="K71" s="17" t="inlineStr">
        <is>
          <t>MONTHLY</t>
        </is>
      </c>
      <c r="L71" s="17" t="n">
        <v>22</v>
      </c>
      <c r="M71" s="17" t="inlineStr">
        <is>
          <t>09:20 IST</t>
        </is>
      </c>
      <c r="N71" s="17" t="inlineStr">
        <is>
          <t>11:44 IST</t>
        </is>
      </c>
      <c r="O71" s="17" t="n">
        <v>57716.45</v>
      </c>
      <c r="P71" s="17" t="n">
        <v>57907.2</v>
      </c>
      <c r="Q71" s="17" t="inlineStr">
        <is>
          <t>57800 PE</t>
        </is>
      </c>
      <c r="R71" s="17" t="inlineStr">
        <is>
          <t>57600 PE</t>
        </is>
      </c>
      <c r="S71" s="17" t="n">
        <v>18</v>
      </c>
      <c r="T71" s="17" t="n">
        <v>30</v>
      </c>
      <c r="U71" s="17" t="n">
        <v>540</v>
      </c>
      <c r="V71" s="17" t="n">
        <v>87.56</v>
      </c>
      <c r="W71" s="17" t="n">
        <v>113.83</v>
      </c>
      <c r="X71" s="17" t="n">
        <v>47282.4</v>
      </c>
      <c r="Y71" s="17" t="n">
        <v>47337.04</v>
      </c>
      <c r="Z71" s="17" t="n">
        <v>60717.6</v>
      </c>
      <c r="AA71" s="17" t="n">
        <v>14184.72</v>
      </c>
      <c r="AB71" s="17" t="n">
        <v>14184.72</v>
      </c>
      <c r="AC71" s="17" t="n">
        <v>14185.8</v>
      </c>
      <c r="AD71" s="17" t="n">
        <v>30</v>
      </c>
      <c r="AE71" s="17" t="n">
        <v>40</v>
      </c>
      <c r="AF71" s="17" t="n">
        <v>5.91</v>
      </c>
      <c r="AG71" s="17" t="n">
        <v>0.09</v>
      </c>
      <c r="AH71" s="17" t="n">
        <v>1.42</v>
      </c>
      <c r="AI71" s="17" t="n">
        <v>7.22</v>
      </c>
      <c r="AJ71" s="17" t="n">
        <v>54.64</v>
      </c>
      <c r="AK71" s="17" t="n">
        <v>14131.16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BANKNIFTY</t>
        </is>
      </c>
      <c r="C72" s="15" t="inlineStr">
        <is>
          <t>Bear Put Spread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BEARISH</t>
        </is>
      </c>
      <c r="G72" s="15" t="inlineStr">
        <is>
          <t>Price↓(57739.95&lt;57907.2) &amp; EMA9↓(57554.47&lt;57591.44)</t>
        </is>
      </c>
      <c r="H72" s="15" t="n">
        <v>57554.47</v>
      </c>
      <c r="I72" s="15" t="n">
        <v>57591.44</v>
      </c>
      <c r="J72" s="15" t="inlineStr">
        <is>
          <t>2026-08-27</t>
        </is>
      </c>
      <c r="K72" s="15" t="inlineStr">
        <is>
          <t>MONTHLY</t>
        </is>
      </c>
      <c r="L72" s="15" t="n">
        <v>22</v>
      </c>
      <c r="M72" s="15" t="inlineStr">
        <is>
          <t>09:20 IST</t>
        </is>
      </c>
      <c r="N72" s="15" t="inlineStr">
        <is>
          <t>09:45 IST</t>
        </is>
      </c>
      <c r="O72" s="15" t="n">
        <v>57739.95</v>
      </c>
      <c r="P72" s="15" t="n">
        <v>57907.2</v>
      </c>
      <c r="Q72" s="15" t="inlineStr">
        <is>
          <t>57800 PE</t>
        </is>
      </c>
      <c r="R72" s="15" t="inlineStr">
        <is>
          <t>57600 PE</t>
        </is>
      </c>
      <c r="S72" s="15" t="n">
        <v>17</v>
      </c>
      <c r="T72" s="15" t="n">
        <v>30</v>
      </c>
      <c r="U72" s="15" t="n">
        <v>510</v>
      </c>
      <c r="V72" s="15" t="n">
        <v>92.01000000000001</v>
      </c>
      <c r="W72" s="15" t="n">
        <v>64.41</v>
      </c>
      <c r="X72" s="15" t="n">
        <v>46925.1</v>
      </c>
      <c r="Y72" s="15" t="n">
        <v>46979.68</v>
      </c>
      <c r="Z72" s="15" t="n">
        <v>55074.9</v>
      </c>
      <c r="AA72" s="15" t="n">
        <v>14077.53</v>
      </c>
      <c r="AB72" s="15" t="n">
        <v>14077.53</v>
      </c>
      <c r="AC72" s="15" t="n">
        <v>-14076</v>
      </c>
      <c r="AD72" s="15" t="n">
        <v>-30</v>
      </c>
      <c r="AE72" s="15" t="n">
        <v>40</v>
      </c>
      <c r="AF72" s="15" t="n">
        <v>5.87</v>
      </c>
      <c r="AG72" s="15" t="n">
        <v>0.09</v>
      </c>
      <c r="AH72" s="15" t="n">
        <v>1.41</v>
      </c>
      <c r="AI72" s="15" t="n">
        <v>7.22</v>
      </c>
      <c r="AJ72" s="15" t="n">
        <v>54.58</v>
      </c>
      <c r="AK72" s="15" t="n">
        <v>-14130.58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BANKNIFTY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SKIP</t>
        </is>
      </c>
      <c r="G73" s="15" t="inlineStr">
        <is>
          <t>Conflicting — Price:BULLISH EMA:BEARISH</t>
        </is>
      </c>
      <c r="H73" s="15" t="n">
        <v>57614.31</v>
      </c>
      <c r="I73" s="15" t="n">
        <v>57616.82</v>
      </c>
      <c r="J73" s="15" t="inlineStr">
        <is>
          <t>2026-08-27</t>
        </is>
      </c>
      <c r="K73" s="15" t="inlineStr">
        <is>
          <t>MONTHLY</t>
        </is>
      </c>
      <c r="L73" s="15" t="n">
        <v>21</v>
      </c>
      <c r="M73" s="15" t="inlineStr">
        <is>
          <t>09:20 IST</t>
        </is>
      </c>
      <c r="N73" s="15" t="inlineStr">
        <is>
          <t>09:48 IST</t>
        </is>
      </c>
      <c r="O73" s="15" t="n">
        <v>57852.65</v>
      </c>
      <c r="P73" s="15" t="n">
        <v>57739.95</v>
      </c>
      <c r="Q73" s="15" t="inlineStr">
        <is>
          <t>58000 PE</t>
        </is>
      </c>
      <c r="R73" s="15" t="inlineStr">
        <is>
          <t>57800 PE</t>
        </is>
      </c>
      <c r="S73" s="15" t="n">
        <v>17</v>
      </c>
      <c r="T73" s="15" t="n">
        <v>30</v>
      </c>
      <c r="U73" s="15" t="n">
        <v>510</v>
      </c>
      <c r="V73" s="15" t="n">
        <v>96.54000000000001</v>
      </c>
      <c r="W73" s="15" t="n">
        <v>67.58</v>
      </c>
      <c r="X73" s="15" t="n">
        <v>49235.4</v>
      </c>
      <c r="Y73" s="15" t="n">
        <v>49290.35</v>
      </c>
      <c r="Z73" s="15" t="n">
        <v>52764.6</v>
      </c>
      <c r="AA73" s="15" t="n">
        <v>14770.62</v>
      </c>
      <c r="AB73" s="15" t="n">
        <v>14770.62</v>
      </c>
      <c r="AC73" s="15" t="n">
        <v>-14769.6</v>
      </c>
      <c r="AD73" s="15" t="n">
        <v>-30</v>
      </c>
      <c r="AE73" s="15" t="n">
        <v>40</v>
      </c>
      <c r="AF73" s="15" t="n">
        <v>6.15</v>
      </c>
      <c r="AG73" s="15" t="n">
        <v>0.1</v>
      </c>
      <c r="AH73" s="15" t="n">
        <v>1.48</v>
      </c>
      <c r="AI73" s="15" t="n">
        <v>7.22</v>
      </c>
      <c r="AJ73" s="15" t="n">
        <v>54.95</v>
      </c>
      <c r="AK73" s="15" t="n">
        <v>-14824.55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BANKNIFTY</t>
        </is>
      </c>
      <c r="C74" s="17" t="inlineStr">
        <is>
          <t>Bear Put Spread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SKIP</t>
        </is>
      </c>
      <c r="G74" s="17" t="inlineStr">
        <is>
          <t>Conflicting — Price:BEARISH EMA:BULLISH</t>
        </is>
      </c>
      <c r="H74" s="17" t="n">
        <v>57693.7</v>
      </c>
      <c r="I74" s="17" t="n">
        <v>57654.77</v>
      </c>
      <c r="J74" s="17" t="inlineStr">
        <is>
          <t>2026-08-27</t>
        </is>
      </c>
      <c r="K74" s="17" t="inlineStr">
        <is>
          <t>MONTHLY</t>
        </is>
      </c>
      <c r="L74" s="17" t="n">
        <v>20</v>
      </c>
      <c r="M74" s="17" t="inlineStr">
        <is>
          <t>09:20 IST</t>
        </is>
      </c>
      <c r="N74" s="17" t="inlineStr">
        <is>
          <t>11:40 IST</t>
        </is>
      </c>
      <c r="O74" s="17" t="n">
        <v>57842.45</v>
      </c>
      <c r="P74" s="17" t="n">
        <v>58063.65</v>
      </c>
      <c r="Q74" s="17" t="inlineStr">
        <is>
          <t>58000 PE</t>
        </is>
      </c>
      <c r="R74" s="17" t="inlineStr">
        <is>
          <t>57800 PE</t>
        </is>
      </c>
      <c r="S74" s="17" t="n">
        <v>15</v>
      </c>
      <c r="T74" s="17" t="n">
        <v>30</v>
      </c>
      <c r="U74" s="17" t="n">
        <v>450</v>
      </c>
      <c r="V74" s="17" t="n">
        <v>107.1</v>
      </c>
      <c r="W74" s="17" t="n">
        <v>139.23</v>
      </c>
      <c r="X74" s="17" t="n">
        <v>48195</v>
      </c>
      <c r="Y74" s="17" t="n">
        <v>48249.78</v>
      </c>
      <c r="Z74" s="17" t="n">
        <v>41805</v>
      </c>
      <c r="AA74" s="17" t="n">
        <v>14458.5</v>
      </c>
      <c r="AB74" s="17" t="n">
        <v>14458.5</v>
      </c>
      <c r="AC74" s="17" t="n">
        <v>14458.5</v>
      </c>
      <c r="AD74" s="17" t="n">
        <v>30</v>
      </c>
      <c r="AE74" s="17" t="n">
        <v>40</v>
      </c>
      <c r="AF74" s="17" t="n">
        <v>6.02</v>
      </c>
      <c r="AG74" s="17" t="n">
        <v>0.1</v>
      </c>
      <c r="AH74" s="17" t="n">
        <v>1.45</v>
      </c>
      <c r="AI74" s="17" t="n">
        <v>7.22</v>
      </c>
      <c r="AJ74" s="17" t="n">
        <v>54.78</v>
      </c>
      <c r="AK74" s="17" t="n">
        <v>14403.72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6" t="inlineStr">
        <is>
          <t>2026-08-07</t>
        </is>
      </c>
      <c r="B75" s="16" t="inlineStr">
        <is>
          <t>BANKNIFTY</t>
        </is>
      </c>
      <c r="C75" s="16" t="inlineStr">
        <is>
          <t>Bear Put Spread</t>
        </is>
      </c>
      <c r="D75" s="16" t="inlineStr">
        <is>
          <t>Bear Put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57674.5</v>
      </c>
      <c r="I75" s="16" t="n">
        <v>57646.04</v>
      </c>
      <c r="J75" s="16" t="inlineStr">
        <is>
          <t>2026-08-27</t>
        </is>
      </c>
      <c r="K75" s="16" t="inlineStr">
        <is>
          <t>MONTHLY</t>
        </is>
      </c>
      <c r="L75" s="16" t="n">
        <v>20</v>
      </c>
      <c r="M75" s="16" t="inlineStr">
        <is>
          <t>09:20 IST</t>
        </is>
      </c>
      <c r="N75" s="16" t="inlineStr">
        <is>
          <t>14:18 IST</t>
        </is>
      </c>
      <c r="O75" s="16" t="n">
        <v>57746.45</v>
      </c>
      <c r="P75" s="16" t="n">
        <v>58063.65</v>
      </c>
      <c r="Q75" s="16" t="inlineStr">
        <is>
          <t>57800 PE</t>
        </is>
      </c>
      <c r="R75" s="16" t="inlineStr">
        <is>
          <t>57600 PE</t>
        </is>
      </c>
      <c r="S75" s="16" t="n">
        <v>19</v>
      </c>
      <c r="T75" s="16" t="n">
        <v>30</v>
      </c>
      <c r="U75" s="16" t="n">
        <v>570</v>
      </c>
      <c r="V75" s="16" t="n">
        <v>86.08</v>
      </c>
      <c r="W75" s="16" t="n">
        <v>89.98999999999999</v>
      </c>
      <c r="X75" s="16" t="n">
        <v>49065.6</v>
      </c>
      <c r="Y75" s="16" t="n">
        <v>49120.52</v>
      </c>
      <c r="Z75" s="16" t="n">
        <v>64934.4</v>
      </c>
      <c r="AA75" s="16" t="n">
        <v>14719.68</v>
      </c>
      <c r="AB75" s="16" t="n">
        <v>14719.68</v>
      </c>
      <c r="AC75" s="16" t="n">
        <v>2228.7</v>
      </c>
      <c r="AD75" s="16" t="n">
        <v>4.5</v>
      </c>
      <c r="AE75" s="16" t="n">
        <v>40</v>
      </c>
      <c r="AF75" s="16" t="n">
        <v>6.13</v>
      </c>
      <c r="AG75" s="16" t="n">
        <v>0.1</v>
      </c>
      <c r="AH75" s="16" t="n">
        <v>1.47</v>
      </c>
      <c r="AI75" s="16" t="n">
        <v>7.22</v>
      </c>
      <c r="AJ75" s="16" t="n">
        <v>54.92</v>
      </c>
      <c r="AK75" s="16" t="n">
        <v>2173.78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5" t="inlineStr">
        <is>
          <t>2026-08-10</t>
        </is>
      </c>
      <c r="B76" s="15" t="inlineStr">
        <is>
          <t>BANKNIFTY</t>
        </is>
      </c>
      <c r="C76" s="15" t="inlineStr">
        <is>
          <t>Bear Put Spread</t>
        </is>
      </c>
      <c r="D76" s="15" t="inlineStr">
        <is>
          <t>Bear Put Spread</t>
        </is>
      </c>
      <c r="E76" s="15" t="inlineStr">
        <is>
          <t>SIMULATED</t>
        </is>
      </c>
      <c r="F76" s="15" t="inlineStr">
        <is>
          <t>SKIP</t>
        </is>
      </c>
      <c r="G76" s="15" t="inlineStr">
        <is>
          <t>Conflicting — Price:BEARISH EMA:BULLISH</t>
        </is>
      </c>
      <c r="H76" s="15" t="n">
        <v>57681.12</v>
      </c>
      <c r="I76" s="15" t="n">
        <v>57666.4</v>
      </c>
      <c r="J76" s="15" t="inlineStr">
        <is>
          <t>2026-08-27</t>
        </is>
      </c>
      <c r="K76" s="15" t="inlineStr">
        <is>
          <t>MONTHLY</t>
        </is>
      </c>
      <c r="L76" s="15" t="n">
        <v>17</v>
      </c>
      <c r="M76" s="15" t="inlineStr">
        <is>
          <t>09:20 IST</t>
        </is>
      </c>
      <c r="N76" s="15" t="inlineStr">
        <is>
          <t>09:43 IST</t>
        </is>
      </c>
      <c r="O76" s="15" t="n">
        <v>57708.7</v>
      </c>
      <c r="P76" s="15" t="n">
        <v>57746.45</v>
      </c>
      <c r="Q76" s="15" t="inlineStr">
        <is>
          <t>57800 PE</t>
        </is>
      </c>
      <c r="R76" s="15" t="inlineStr">
        <is>
          <t>57600 PE</t>
        </is>
      </c>
      <c r="S76" s="15" t="n">
        <v>20</v>
      </c>
      <c r="T76" s="15" t="n">
        <v>30</v>
      </c>
      <c r="U76" s="15" t="n">
        <v>600</v>
      </c>
      <c r="V76" s="15" t="n">
        <v>80.72</v>
      </c>
      <c r="W76" s="15" t="n">
        <v>56.5</v>
      </c>
      <c r="X76" s="15" t="n">
        <v>48432</v>
      </c>
      <c r="Y76" s="15" t="n">
        <v>48486.82</v>
      </c>
      <c r="Z76" s="15" t="n">
        <v>71568</v>
      </c>
      <c r="AA76" s="15" t="n">
        <v>14529.6</v>
      </c>
      <c r="AB76" s="15" t="n">
        <v>14529.6</v>
      </c>
      <c r="AC76" s="15" t="n">
        <v>-14532</v>
      </c>
      <c r="AD76" s="15" t="n">
        <v>-30</v>
      </c>
      <c r="AE76" s="15" t="n">
        <v>40</v>
      </c>
      <c r="AF76" s="15" t="n">
        <v>6.05</v>
      </c>
      <c r="AG76" s="15" t="n">
        <v>0.1</v>
      </c>
      <c r="AH76" s="15" t="n">
        <v>1.45</v>
      </c>
      <c r="AI76" s="15" t="n">
        <v>7.22</v>
      </c>
      <c r="AJ76" s="15" t="n">
        <v>54.82</v>
      </c>
      <c r="AK76" s="15" t="n">
        <v>-14586.82</v>
      </c>
      <c r="AL76" s="15" t="inlineStr">
        <is>
          <t>STOP LOSS</t>
        </is>
      </c>
      <c r="AM76" s="15" t="n">
        <v>50000</v>
      </c>
      <c r="AN76" s="15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BANKNIFTY</t>
        </is>
      </c>
      <c r="C77" s="15" t="inlineStr">
        <is>
          <t>Bear Put Spread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57676.77</v>
      </c>
      <c r="I77" s="15" t="n">
        <v>57664.42</v>
      </c>
      <c r="J77" s="15" t="inlineStr">
        <is>
          <t>2026-08-27</t>
        </is>
      </c>
      <c r="K77" s="15" t="inlineStr">
        <is>
          <t>MONTHLY</t>
        </is>
      </c>
      <c r="L77" s="15" t="n">
        <v>17</v>
      </c>
      <c r="M77" s="15" t="inlineStr">
        <is>
          <t>09:20 IST</t>
        </is>
      </c>
      <c r="N77" s="15" t="inlineStr">
        <is>
          <t>09:49 IST</t>
        </is>
      </c>
      <c r="O77" s="15" t="n">
        <v>57686.95</v>
      </c>
      <c r="P77" s="15" t="n">
        <v>57746.45</v>
      </c>
      <c r="Q77" s="15" t="inlineStr">
        <is>
          <t>57800 PE</t>
        </is>
      </c>
      <c r="R77" s="15" t="inlineStr">
        <is>
          <t>57600 PE</t>
        </is>
      </c>
      <c r="S77" s="15" t="n">
        <v>19</v>
      </c>
      <c r="T77" s="15" t="n">
        <v>30</v>
      </c>
      <c r="U77" s="15" t="n">
        <v>570</v>
      </c>
      <c r="V77" s="15" t="n">
        <v>82.90000000000001</v>
      </c>
      <c r="W77" s="15" t="n">
        <v>58.03</v>
      </c>
      <c r="X77" s="15" t="n">
        <v>47253</v>
      </c>
      <c r="Y77" s="15" t="n">
        <v>47307.64</v>
      </c>
      <c r="Z77" s="15" t="n">
        <v>66747</v>
      </c>
      <c r="AA77" s="15" t="n">
        <v>14175.9</v>
      </c>
      <c r="AB77" s="15" t="n">
        <v>14175.9</v>
      </c>
      <c r="AC77" s="15" t="n">
        <v>-14175.9</v>
      </c>
      <c r="AD77" s="15" t="n">
        <v>-30</v>
      </c>
      <c r="AE77" s="15" t="n">
        <v>40</v>
      </c>
      <c r="AF77" s="15" t="n">
        <v>5.91</v>
      </c>
      <c r="AG77" s="15" t="n">
        <v>0.09</v>
      </c>
      <c r="AH77" s="15" t="n">
        <v>1.42</v>
      </c>
      <c r="AI77" s="15" t="n">
        <v>7.22</v>
      </c>
      <c r="AJ77" s="15" t="n">
        <v>54.64</v>
      </c>
      <c r="AK77" s="15" t="n">
        <v>-14230.54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BANKNIFTY</t>
        </is>
      </c>
      <c r="C78" s="15" t="inlineStr">
        <is>
          <t>Bear Put Spread</t>
        </is>
      </c>
      <c r="D78" s="15" t="inlineStr">
        <is>
          <t>Bear Put Spread</t>
        </is>
      </c>
      <c r="E78" s="15" t="inlineStr">
        <is>
          <t>SIMULATED</t>
        </is>
      </c>
      <c r="F78" s="15" t="inlineStr">
        <is>
          <t>BEARISH</t>
        </is>
      </c>
      <c r="G78" s="15" t="inlineStr">
        <is>
          <t>Price↓(57194.1&lt;57686.95) &amp; EMA9↓(57580.2&lt;57630.0)</t>
        </is>
      </c>
      <c r="H78" s="15" t="n">
        <v>57580.2</v>
      </c>
      <c r="I78" s="15" t="n">
        <v>57630</v>
      </c>
      <c r="J78" s="15" t="inlineStr">
        <is>
          <t>2026-08-27</t>
        </is>
      </c>
      <c r="K78" s="15" t="inlineStr">
        <is>
          <t>MONTHLY</t>
        </is>
      </c>
      <c r="L78" s="15" t="n">
        <v>16</v>
      </c>
      <c r="M78" s="15" t="inlineStr">
        <is>
          <t>09:20 IST</t>
        </is>
      </c>
      <c r="N78" s="15" t="inlineStr">
        <is>
          <t>10:20 IST</t>
        </is>
      </c>
      <c r="O78" s="15" t="n">
        <v>57194.1</v>
      </c>
      <c r="P78" s="15" t="n">
        <v>57686.95</v>
      </c>
      <c r="Q78" s="15" t="inlineStr">
        <is>
          <t>57200 PE</t>
        </is>
      </c>
      <c r="R78" s="15" t="inlineStr">
        <is>
          <t>57000 PE</t>
        </is>
      </c>
      <c r="S78" s="15" t="n">
        <v>17</v>
      </c>
      <c r="T78" s="15" t="n">
        <v>30</v>
      </c>
      <c r="U78" s="15" t="n">
        <v>510</v>
      </c>
      <c r="V78" s="15" t="n">
        <v>93.37</v>
      </c>
      <c r="W78" s="15" t="n">
        <v>65.36</v>
      </c>
      <c r="X78" s="15" t="n">
        <v>47618.7</v>
      </c>
      <c r="Y78" s="15" t="n">
        <v>47673.39</v>
      </c>
      <c r="Z78" s="15" t="n">
        <v>54381.3</v>
      </c>
      <c r="AA78" s="15" t="n">
        <v>14285.61</v>
      </c>
      <c r="AB78" s="15" t="n">
        <v>14285.61</v>
      </c>
      <c r="AC78" s="15" t="n">
        <v>-14285.1</v>
      </c>
      <c r="AD78" s="15" t="n">
        <v>-30</v>
      </c>
      <c r="AE78" s="15" t="n">
        <v>40</v>
      </c>
      <c r="AF78" s="15" t="n">
        <v>5.95</v>
      </c>
      <c r="AG78" s="15" t="n">
        <v>0.1</v>
      </c>
      <c r="AH78" s="15" t="n">
        <v>1.43</v>
      </c>
      <c r="AI78" s="15" t="n">
        <v>7.22</v>
      </c>
      <c r="AJ78" s="15" t="n">
        <v>54.69</v>
      </c>
      <c r="AK78" s="15" t="n">
        <v>-14339.79</v>
      </c>
      <c r="AL78" s="15" t="inlineStr">
        <is>
          <t>STOP LOSS</t>
        </is>
      </c>
      <c r="AM78" s="15" t="n">
        <v>50000</v>
      </c>
      <c r="AN78" s="15" t="inlineStr">
        <is>
          <t>PAPER TRADING</t>
        </is>
      </c>
    </row>
    <row r="79">
      <c r="A79" s="16" t="inlineStr">
        <is>
          <t>2026-08-11</t>
        </is>
      </c>
      <c r="B79" s="16" t="inlineStr">
        <is>
          <t>BANKNIFTY</t>
        </is>
      </c>
      <c r="C79" s="16" t="inlineStr">
        <is>
          <t>Bear Put Spread</t>
        </is>
      </c>
      <c r="D79" s="16" t="inlineStr">
        <is>
          <t>Bear Put Spread</t>
        </is>
      </c>
      <c r="E79" s="16" t="inlineStr">
        <is>
          <t>SIMULATED</t>
        </is>
      </c>
      <c r="F79" s="16" t="inlineStr">
        <is>
          <t>BEARISH</t>
        </is>
      </c>
      <c r="G79" s="16" t="inlineStr">
        <is>
          <t>Price↓(57446.25&lt;57686.95) &amp; EMA9↓(57630.63&lt;57652.92)</t>
        </is>
      </c>
      <c r="H79" s="16" t="n">
        <v>57630.63</v>
      </c>
      <c r="I79" s="16" t="n">
        <v>57652.92</v>
      </c>
      <c r="J79" s="16" t="inlineStr">
        <is>
          <t>2026-08-27</t>
        </is>
      </c>
      <c r="K79" s="16" t="inlineStr">
        <is>
          <t>MONTHLY</t>
        </is>
      </c>
      <c r="L79" s="16" t="n">
        <v>16</v>
      </c>
      <c r="M79" s="16" t="inlineStr">
        <is>
          <t>09:20 IST</t>
        </is>
      </c>
      <c r="N79" s="16" t="inlineStr">
        <is>
          <t>13:57 IST</t>
        </is>
      </c>
      <c r="O79" s="16" t="n">
        <v>57446.25</v>
      </c>
      <c r="P79" s="16" t="n">
        <v>57686.95</v>
      </c>
      <c r="Q79" s="16" t="inlineStr">
        <is>
          <t>57600 PE</t>
        </is>
      </c>
      <c r="R79" s="16" t="inlineStr">
        <is>
          <t>57400 PE</t>
        </is>
      </c>
      <c r="S79" s="16" t="n">
        <v>19</v>
      </c>
      <c r="T79" s="16" t="n">
        <v>30</v>
      </c>
      <c r="U79" s="16" t="n">
        <v>570</v>
      </c>
      <c r="V79" s="16" t="n">
        <v>82.56</v>
      </c>
      <c r="W79" s="16" t="n">
        <v>84.34999999999999</v>
      </c>
      <c r="X79" s="16" t="n">
        <v>47059.2</v>
      </c>
      <c r="Y79" s="16" t="n">
        <v>47113.81</v>
      </c>
      <c r="Z79" s="16" t="n">
        <v>66940.8</v>
      </c>
      <c r="AA79" s="16" t="n">
        <v>14117.76</v>
      </c>
      <c r="AB79" s="16" t="n">
        <v>14117.76</v>
      </c>
      <c r="AC79" s="16" t="n">
        <v>1020.3</v>
      </c>
      <c r="AD79" s="16" t="n">
        <v>2.2</v>
      </c>
      <c r="AE79" s="16" t="n">
        <v>40</v>
      </c>
      <c r="AF79" s="16" t="n">
        <v>5.88</v>
      </c>
      <c r="AG79" s="16" t="n">
        <v>0.09</v>
      </c>
      <c r="AH79" s="16" t="n">
        <v>1.41</v>
      </c>
      <c r="AI79" s="16" t="n">
        <v>7.22</v>
      </c>
      <c r="AJ79" s="16" t="n">
        <v>54.61</v>
      </c>
      <c r="AK79" s="16" t="n">
        <v>965.6900000000001</v>
      </c>
      <c r="AL79" s="16" t="inlineStr">
        <is>
          <t>FLAT</t>
        </is>
      </c>
      <c r="AM79" s="16" t="n">
        <v>50000</v>
      </c>
      <c r="AN79" s="16" t="inlineStr">
        <is>
          <t>PAPER TRADING</t>
        </is>
      </c>
    </row>
    <row r="80">
      <c r="A80" s="16" t="inlineStr">
        <is>
          <t>2026-08-12</t>
        </is>
      </c>
      <c r="B80" s="16" t="inlineStr">
        <is>
          <t>BANKNIFTY</t>
        </is>
      </c>
      <c r="C80" s="16" t="inlineStr">
        <is>
          <t>Bear Put Spread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Price:BULLISH EMA:BEARISH</t>
        </is>
      </c>
      <c r="H80" s="16" t="n">
        <v>57635.76</v>
      </c>
      <c r="I80" s="16" t="n">
        <v>57652.05</v>
      </c>
      <c r="J80" s="16" t="inlineStr">
        <is>
          <t>2026-08-27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14:45 IST</t>
        </is>
      </c>
      <c r="O80" s="16" t="n">
        <v>57655.6</v>
      </c>
      <c r="P80" s="16" t="n">
        <v>57446.25</v>
      </c>
      <c r="Q80" s="16" t="inlineStr">
        <is>
          <t>57800 PE</t>
        </is>
      </c>
      <c r="R80" s="16" t="inlineStr">
        <is>
          <t>57600 PE</t>
        </is>
      </c>
      <c r="S80" s="16" t="n">
        <v>20</v>
      </c>
      <c r="T80" s="16" t="n">
        <v>30</v>
      </c>
      <c r="U80" s="16" t="n">
        <v>600</v>
      </c>
      <c r="V80" s="16" t="n">
        <v>79.73</v>
      </c>
      <c r="W80" s="16" t="n">
        <v>76.31999999999999</v>
      </c>
      <c r="X80" s="16" t="n">
        <v>47838</v>
      </c>
      <c r="Y80" s="16" t="n">
        <v>47892.73</v>
      </c>
      <c r="Z80" s="16" t="n">
        <v>72162</v>
      </c>
      <c r="AA80" s="16" t="n">
        <v>14351.4</v>
      </c>
      <c r="AB80" s="16" t="n">
        <v>14351.4</v>
      </c>
      <c r="AC80" s="16" t="n">
        <v>-2046</v>
      </c>
      <c r="AD80" s="16" t="n">
        <v>-4.3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-2100.73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BANKNIFTY</t>
        </is>
      </c>
      <c r="C81" s="15" t="inlineStr">
        <is>
          <t>Bear Put Spread</t>
        </is>
      </c>
      <c r="D81" s="15" t="inlineStr">
        <is>
          <t>Bear Put Spread</t>
        </is>
      </c>
      <c r="E81" s="15" t="inlineStr">
        <is>
          <t>SIMULATED</t>
        </is>
      </c>
      <c r="F81" s="15" t="inlineStr">
        <is>
          <t>BULLISH</t>
        </is>
      </c>
      <c r="G81" s="15" t="inlineStr">
        <is>
          <t>Price↑(57885.85&gt;57446.25) &amp; EMA9↑(57681.81&gt;57672.99)</t>
        </is>
      </c>
      <c r="H81" s="15" t="n">
        <v>57681.81</v>
      </c>
      <c r="I81" s="15" t="n">
        <v>57672.99</v>
      </c>
      <c r="J81" s="15" t="inlineStr">
        <is>
          <t>2026-08-27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10:29 IST</t>
        </is>
      </c>
      <c r="O81" s="15" t="n">
        <v>57885.85</v>
      </c>
      <c r="P81" s="15" t="n">
        <v>57446.25</v>
      </c>
      <c r="Q81" s="15" t="inlineStr">
        <is>
          <t>58000 PE</t>
        </is>
      </c>
      <c r="R81" s="15" t="inlineStr">
        <is>
          <t>57800 PE</t>
        </is>
      </c>
      <c r="S81" s="15" t="n">
        <v>23</v>
      </c>
      <c r="T81" s="15" t="n">
        <v>30</v>
      </c>
      <c r="U81" s="15" t="n">
        <v>690</v>
      </c>
      <c r="V81" s="15" t="n">
        <v>71</v>
      </c>
      <c r="W81" s="15" t="n">
        <v>49.7</v>
      </c>
      <c r="X81" s="15" t="n">
        <v>48990</v>
      </c>
      <c r="Y81" s="15" t="n">
        <v>49044.91</v>
      </c>
      <c r="Z81" s="15" t="n">
        <v>89010</v>
      </c>
      <c r="AA81" s="15" t="n">
        <v>14697</v>
      </c>
      <c r="AB81" s="15" t="n">
        <v>14697</v>
      </c>
      <c r="AC81" s="15" t="n">
        <v>-14697</v>
      </c>
      <c r="AD81" s="15" t="n">
        <v>-30</v>
      </c>
      <c r="AE81" s="15" t="n">
        <v>40</v>
      </c>
      <c r="AF81" s="15" t="n">
        <v>6.12</v>
      </c>
      <c r="AG81" s="15" t="n">
        <v>0.1</v>
      </c>
      <c r="AH81" s="15" t="n">
        <v>1.47</v>
      </c>
      <c r="AI81" s="15" t="n">
        <v>7.22</v>
      </c>
      <c r="AJ81" s="15" t="n">
        <v>54.91</v>
      </c>
      <c r="AK81" s="15" t="n">
        <v>-14751.91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BANKNIFTY</t>
        </is>
      </c>
      <c r="C82" s="17" t="inlineStr">
        <is>
          <t>Bear Put Spread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57674.11</v>
      </c>
      <c r="I82" s="17" t="n">
        <v>57665.53</v>
      </c>
      <c r="J82" s="17" t="inlineStr">
        <is>
          <t>2026-08-27</t>
        </is>
      </c>
      <c r="K82" s="17" t="inlineStr">
        <is>
          <t>MONTHLY</t>
        </is>
      </c>
      <c r="L82" s="17" t="n">
        <v>14</v>
      </c>
      <c r="M82" s="17" t="inlineStr">
        <is>
          <t>09:20 IST</t>
        </is>
      </c>
      <c r="N82" s="17" t="inlineStr">
        <is>
          <t>10:23 IST</t>
        </is>
      </c>
      <c r="O82" s="17" t="n">
        <v>57644.45</v>
      </c>
      <c r="P82" s="17" t="n">
        <v>57885.85</v>
      </c>
      <c r="Q82" s="17" t="inlineStr">
        <is>
          <t>57800 PE</t>
        </is>
      </c>
      <c r="R82" s="17" t="inlineStr">
        <is>
          <t>57600 PE</t>
        </is>
      </c>
      <c r="S82" s="17" t="n">
        <v>17</v>
      </c>
      <c r="T82" s="17" t="n">
        <v>30</v>
      </c>
      <c r="U82" s="17" t="n">
        <v>510</v>
      </c>
      <c r="V82" s="17" t="n">
        <v>94</v>
      </c>
      <c r="W82" s="17" t="n">
        <v>122.2</v>
      </c>
      <c r="X82" s="17" t="n">
        <v>47940</v>
      </c>
      <c r="Y82" s="17" t="n">
        <v>47994.74</v>
      </c>
      <c r="Z82" s="17" t="n">
        <v>54060</v>
      </c>
      <c r="AA82" s="17" t="n">
        <v>14382</v>
      </c>
      <c r="AB82" s="17" t="n">
        <v>14382</v>
      </c>
      <c r="AC82" s="17" t="n">
        <v>14382</v>
      </c>
      <c r="AD82" s="17" t="n">
        <v>30</v>
      </c>
      <c r="AE82" s="17" t="n">
        <v>40</v>
      </c>
      <c r="AF82" s="17" t="n">
        <v>5.99</v>
      </c>
      <c r="AG82" s="17" t="n">
        <v>0.1</v>
      </c>
      <c r="AH82" s="17" t="n">
        <v>1.44</v>
      </c>
      <c r="AI82" s="17" t="n">
        <v>7.22</v>
      </c>
      <c r="AJ82" s="17" t="n">
        <v>54.74</v>
      </c>
      <c r="AK82" s="17" t="n">
        <v>14327.26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N16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BANKNIFTY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BANKNIFTY</t>
        </is>
      </c>
      <c r="C3" s="16" t="inlineStr">
        <is>
          <t>Both Spreads</t>
        </is>
      </c>
      <c r="D3" s="16" t="inlineStr">
        <is>
          <t>Bull Call Spread</t>
        </is>
      </c>
      <c r="E3" s="16" t="inlineStr">
        <is>
          <t>BULLISH</t>
        </is>
      </c>
      <c r="F3" s="16" t="inlineStr">
        <is>
          <t>Price↑(56814.8&gt;55176.75) &amp; EMA9↑(55104.01&gt;54716.74)</t>
        </is>
      </c>
      <c r="G3" s="16" t="n">
        <v>55104.01</v>
      </c>
      <c r="H3" s="16" t="n">
        <v>54716.74</v>
      </c>
      <c r="I3" s="16" t="inlineStr">
        <is>
          <t>2026-06-25</t>
        </is>
      </c>
      <c r="J3" s="16" t="inlineStr">
        <is>
          <t>MONTHLY</t>
        </is>
      </c>
      <c r="K3" s="16" t="n">
        <v>10</v>
      </c>
      <c r="L3" s="16" t="inlineStr">
        <is>
          <t>09:20 IST</t>
        </is>
      </c>
      <c r="M3" s="16" t="inlineStr">
        <is>
          <t>14:24 IST</t>
        </is>
      </c>
      <c r="N3" s="16" t="n">
        <v>56814.8</v>
      </c>
      <c r="O3" s="16" t="n">
        <v>55176.75</v>
      </c>
      <c r="P3" s="16" t="inlineStr">
        <is>
          <t>56800 CE</t>
        </is>
      </c>
      <c r="Q3" s="16" t="inlineStr">
        <is>
          <t>57000 CE</t>
        </is>
      </c>
      <c r="R3" s="16" t="n">
        <v>18</v>
      </c>
      <c r="S3" s="16" t="n">
        <v>30</v>
      </c>
      <c r="T3" s="16" t="n">
        <v>540</v>
      </c>
      <c r="U3" s="16" t="n">
        <v>90.67</v>
      </c>
      <c r="V3" s="16" t="n">
        <v>86.69</v>
      </c>
      <c r="W3" s="16" t="n">
        <v>48961.8</v>
      </c>
      <c r="X3" s="16" t="n">
        <v>49016.7</v>
      </c>
      <c r="Y3" s="16" t="n">
        <v>59038.2</v>
      </c>
      <c r="Z3" s="16" t="n">
        <v>14688.54</v>
      </c>
      <c r="AA3" s="16" t="n">
        <v>14688.54</v>
      </c>
      <c r="AB3" s="16" t="n">
        <v>-2149.2</v>
      </c>
      <c r="AC3" s="16" t="n">
        <v>-4.4</v>
      </c>
      <c r="AD3" s="16" t="n">
        <v>40</v>
      </c>
      <c r="AE3" s="16" t="n">
        <v>6.12</v>
      </c>
      <c r="AF3" s="16" t="n">
        <v>0.1</v>
      </c>
      <c r="AG3" s="16" t="n">
        <v>1.47</v>
      </c>
      <c r="AH3" s="16" t="n">
        <v>7.22</v>
      </c>
      <c r="AI3" s="16" t="n">
        <v>54.9</v>
      </c>
      <c r="AJ3" s="16" t="n">
        <v>-2204.1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7" t="inlineStr">
        <is>
          <t>2026-06-16</t>
        </is>
      </c>
      <c r="B4" s="17" t="inlineStr">
        <is>
          <t>BANKNIFTY</t>
        </is>
      </c>
      <c r="C4" s="17" t="inlineStr">
        <is>
          <t>Both Spreads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Price↑(56814.8&gt;55176.75) &amp; EMA9↑(55104.01&gt;54716.74)</t>
        </is>
      </c>
      <c r="G4" s="17" t="n">
        <v>55104.01</v>
      </c>
      <c r="H4" s="17" t="n">
        <v>54716.74</v>
      </c>
      <c r="I4" s="17" t="inlineStr">
        <is>
          <t>2026-06-25</t>
        </is>
      </c>
      <c r="J4" s="17" t="inlineStr">
        <is>
          <t>MONTHLY</t>
        </is>
      </c>
      <c r="K4" s="17" t="n">
        <v>10</v>
      </c>
      <c r="L4" s="17" t="inlineStr">
        <is>
          <t>09:20 IST</t>
        </is>
      </c>
      <c r="M4" s="17" t="inlineStr">
        <is>
          <t>09:56 IST</t>
        </is>
      </c>
      <c r="N4" s="17" t="n">
        <v>56814.8</v>
      </c>
      <c r="O4" s="17" t="n">
        <v>55176.75</v>
      </c>
      <c r="P4" s="17" t="inlineStr">
        <is>
          <t>57000 PE</t>
        </is>
      </c>
      <c r="Q4" s="17" t="inlineStr">
        <is>
          <t>56800 PE</t>
        </is>
      </c>
      <c r="R4" s="17" t="n">
        <v>20</v>
      </c>
      <c r="S4" s="17" t="n">
        <v>30</v>
      </c>
      <c r="T4" s="17" t="n">
        <v>600</v>
      </c>
      <c r="U4" s="17" t="n">
        <v>80.36</v>
      </c>
      <c r="V4" s="17" t="n">
        <v>104.47</v>
      </c>
      <c r="W4" s="17" t="n">
        <v>48216</v>
      </c>
      <c r="X4" s="17" t="n">
        <v>48270.79</v>
      </c>
      <c r="Y4" s="17" t="n">
        <v>71784</v>
      </c>
      <c r="Z4" s="17" t="n">
        <v>14464.8</v>
      </c>
      <c r="AA4" s="17" t="n">
        <v>14464.8</v>
      </c>
      <c r="AB4" s="17" t="n">
        <v>14466</v>
      </c>
      <c r="AC4" s="17" t="n">
        <v>30</v>
      </c>
      <c r="AD4" s="17" t="n">
        <v>40</v>
      </c>
      <c r="AE4" s="17" t="n">
        <v>6.03</v>
      </c>
      <c r="AF4" s="17" t="n">
        <v>0.1</v>
      </c>
      <c r="AG4" s="17" t="n">
        <v>1.45</v>
      </c>
      <c r="AH4" s="17" t="n">
        <v>7.22</v>
      </c>
      <c r="AI4" s="17" t="n">
        <v>54.79</v>
      </c>
      <c r="AJ4" s="17" t="n">
        <v>14411.21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BANKNIFTY</t>
        </is>
      </c>
      <c r="C5" s="15" t="inlineStr">
        <is>
          <t>Both Spreads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EMA9↑(56566.41&gt;55531.65)</t>
        </is>
      </c>
      <c r="G5" s="15" t="n">
        <v>56566.41</v>
      </c>
      <c r="H5" s="15" t="n">
        <v>55531.65</v>
      </c>
      <c r="I5" s="15" t="inlineStr">
        <is>
          <t>2026-06-25</t>
        </is>
      </c>
      <c r="J5" s="15" t="inlineStr">
        <is>
          <t>MONTHLY</t>
        </is>
      </c>
      <c r="K5" s="15" t="n">
        <v>7</v>
      </c>
      <c r="L5" s="15" t="inlineStr">
        <is>
          <t>09:20 IST</t>
        </is>
      </c>
      <c r="M5" s="15" t="inlineStr">
        <is>
          <t>09:39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27</v>
      </c>
      <c r="S5" s="15" t="n">
        <v>30</v>
      </c>
      <c r="T5" s="15" t="n">
        <v>810</v>
      </c>
      <c r="U5" s="15" t="n">
        <v>59.19</v>
      </c>
      <c r="V5" s="15" t="n">
        <v>41.43</v>
      </c>
      <c r="W5" s="15" t="n">
        <v>47943.9</v>
      </c>
      <c r="X5" s="15" t="n">
        <v>47998.64</v>
      </c>
      <c r="Y5" s="15" t="n">
        <v>114056.1</v>
      </c>
      <c r="Z5" s="15" t="n">
        <v>14383.17</v>
      </c>
      <c r="AA5" s="15" t="n">
        <v>14383.17</v>
      </c>
      <c r="AB5" s="15" t="n">
        <v>-14385.6</v>
      </c>
      <c r="AC5" s="15" t="n">
        <v>-30</v>
      </c>
      <c r="AD5" s="15" t="n">
        <v>40</v>
      </c>
      <c r="AE5" s="15" t="n">
        <v>5.99</v>
      </c>
      <c r="AF5" s="15" t="n">
        <v>0.1</v>
      </c>
      <c r="AG5" s="15" t="n">
        <v>1.44</v>
      </c>
      <c r="AH5" s="15" t="n">
        <v>7.22</v>
      </c>
      <c r="AI5" s="15" t="n">
        <v>54.74</v>
      </c>
      <c r="AJ5" s="15" t="n">
        <v>-14440.34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BANKNIFTY</t>
        </is>
      </c>
      <c r="C6" s="17" t="inlineStr">
        <is>
          <t>Both Spreads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EMA9↑(56566.41&gt;55531.65)</t>
        </is>
      </c>
      <c r="G6" s="17" t="n">
        <v>56566.41</v>
      </c>
      <c r="H6" s="17" t="n">
        <v>55531.65</v>
      </c>
      <c r="I6" s="17" t="inlineStr">
        <is>
          <t>2026-06-25</t>
        </is>
      </c>
      <c r="J6" s="17" t="inlineStr">
        <is>
          <t>MONTHLY</t>
        </is>
      </c>
      <c r="K6" s="17" t="n">
        <v>7</v>
      </c>
      <c r="L6" s="17" t="inlineStr">
        <is>
          <t>09:20 IST</t>
        </is>
      </c>
      <c r="M6" s="17" t="inlineStr">
        <is>
          <t>10:32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28</v>
      </c>
      <c r="S6" s="17" t="n">
        <v>30</v>
      </c>
      <c r="T6" s="17" t="n">
        <v>840</v>
      </c>
      <c r="U6" s="17" t="n">
        <v>56.21</v>
      </c>
      <c r="V6" s="17" t="n">
        <v>73.06999999999999</v>
      </c>
      <c r="W6" s="17" t="n">
        <v>47216.4</v>
      </c>
      <c r="X6" s="17" t="n">
        <v>47271.03</v>
      </c>
      <c r="Y6" s="17" t="n">
        <v>120783.6</v>
      </c>
      <c r="Z6" s="17" t="n">
        <v>14164.92</v>
      </c>
      <c r="AA6" s="17" t="n">
        <v>14164.92</v>
      </c>
      <c r="AB6" s="17" t="n">
        <v>14162.4</v>
      </c>
      <c r="AC6" s="17" t="n">
        <v>30</v>
      </c>
      <c r="AD6" s="17" t="n">
        <v>40</v>
      </c>
      <c r="AE6" s="17" t="n">
        <v>5.9</v>
      </c>
      <c r="AF6" s="17" t="n">
        <v>0.09</v>
      </c>
      <c r="AG6" s="17" t="n">
        <v>1.42</v>
      </c>
      <c r="AH6" s="17" t="n">
        <v>7.22</v>
      </c>
      <c r="AI6" s="17" t="n">
        <v>54.63</v>
      </c>
      <c r="AJ6" s="17" t="n">
        <v>14107.77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BANKNIFTY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56788.95</v>
      </c>
      <c r="H7" s="17" t="n">
        <v>55679.28</v>
      </c>
      <c r="I7" s="17" t="inlineStr">
        <is>
          <t>2026-06-25</t>
        </is>
      </c>
      <c r="J7" s="17" t="inlineStr">
        <is>
          <t>MONTHLY</t>
        </is>
      </c>
      <c r="K7" s="17" t="n">
        <v>6</v>
      </c>
      <c r="L7" s="17" t="inlineStr">
        <is>
          <t>09:20 IST</t>
        </is>
      </c>
      <c r="M7" s="17" t="inlineStr">
        <is>
          <t>10:32 IST</t>
        </is>
      </c>
      <c r="N7" s="17" t="n">
        <v>57685.75</v>
      </c>
      <c r="O7" s="17" t="n">
        <v>57963.8</v>
      </c>
      <c r="P7" s="17" t="inlineStr">
        <is>
          <t>57600 CE</t>
        </is>
      </c>
      <c r="Q7" s="17" t="inlineStr">
        <is>
          <t>57800 CE</t>
        </is>
      </c>
      <c r="R7" s="17" t="n">
        <v>21</v>
      </c>
      <c r="S7" s="17" t="n">
        <v>30</v>
      </c>
      <c r="T7" s="17" t="n">
        <v>630</v>
      </c>
      <c r="U7" s="17" t="n">
        <v>76.20999999999999</v>
      </c>
      <c r="V7" s="17" t="n">
        <v>99.06999999999999</v>
      </c>
      <c r="W7" s="17" t="n">
        <v>48012.3</v>
      </c>
      <c r="X7" s="17" t="n">
        <v>48067.06</v>
      </c>
      <c r="Y7" s="17" t="n">
        <v>77987.7</v>
      </c>
      <c r="Z7" s="17" t="n">
        <v>14403.69</v>
      </c>
      <c r="AA7" s="17" t="n">
        <v>14403.69</v>
      </c>
      <c r="AB7" s="17" t="n">
        <v>14401.8</v>
      </c>
      <c r="AC7" s="17" t="n">
        <v>30</v>
      </c>
      <c r="AD7" s="17" t="n">
        <v>40</v>
      </c>
      <c r="AE7" s="17" t="n">
        <v>6</v>
      </c>
      <c r="AF7" s="17" t="n">
        <v>0.1</v>
      </c>
      <c r="AG7" s="17" t="n">
        <v>1.44</v>
      </c>
      <c r="AH7" s="17" t="n">
        <v>7.22</v>
      </c>
      <c r="AI7" s="17" t="n">
        <v>54.76</v>
      </c>
      <c r="AJ7" s="17" t="n">
        <v>14347.04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BANKNIFTY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56788.95</v>
      </c>
      <c r="H8" s="17" t="n">
        <v>55679.28</v>
      </c>
      <c r="I8" s="17" t="inlineStr">
        <is>
          <t>2026-06-25</t>
        </is>
      </c>
      <c r="J8" s="17" t="inlineStr">
        <is>
          <t>MONTHLY</t>
        </is>
      </c>
      <c r="K8" s="17" t="n">
        <v>6</v>
      </c>
      <c r="L8" s="17" t="inlineStr">
        <is>
          <t>09:20 IST</t>
        </is>
      </c>
      <c r="M8" s="17" t="inlineStr">
        <is>
          <t>10:02 IST</t>
        </is>
      </c>
      <c r="N8" s="17" t="n">
        <v>57685.75</v>
      </c>
      <c r="O8" s="17" t="n">
        <v>57963.8</v>
      </c>
      <c r="P8" s="17" t="inlineStr">
        <is>
          <t>57800 PE</t>
        </is>
      </c>
      <c r="Q8" s="17" t="inlineStr">
        <is>
          <t>57600 PE</t>
        </is>
      </c>
      <c r="R8" s="17" t="n">
        <v>21</v>
      </c>
      <c r="S8" s="17" t="n">
        <v>30</v>
      </c>
      <c r="T8" s="17" t="n">
        <v>630</v>
      </c>
      <c r="U8" s="17" t="n">
        <v>74.43000000000001</v>
      </c>
      <c r="V8" s="17" t="n">
        <v>96.76000000000001</v>
      </c>
      <c r="W8" s="17" t="n">
        <v>46890.9</v>
      </c>
      <c r="X8" s="17" t="n">
        <v>46945.48</v>
      </c>
      <c r="Y8" s="17" t="n">
        <v>79109.10000000001</v>
      </c>
      <c r="Z8" s="17" t="n">
        <v>14067.27</v>
      </c>
      <c r="AA8" s="17" t="n">
        <v>14067.27</v>
      </c>
      <c r="AB8" s="17" t="n">
        <v>14067.9</v>
      </c>
      <c r="AC8" s="17" t="n">
        <v>30</v>
      </c>
      <c r="AD8" s="17" t="n">
        <v>40</v>
      </c>
      <c r="AE8" s="17" t="n">
        <v>5.86</v>
      </c>
      <c r="AF8" s="17" t="n">
        <v>0.09</v>
      </c>
      <c r="AG8" s="17" t="n">
        <v>1.41</v>
      </c>
      <c r="AH8" s="17" t="n">
        <v>7.22</v>
      </c>
      <c r="AI8" s="17" t="n">
        <v>54.58</v>
      </c>
      <c r="AJ8" s="17" t="n">
        <v>14013.32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7" t="inlineStr">
        <is>
          <t>2026-06-20</t>
        </is>
      </c>
      <c r="B9" s="17" t="inlineStr">
        <is>
          <t>BANKNIFTY</t>
        </is>
      </c>
      <c r="C9" s="17" t="inlineStr">
        <is>
          <t>Both Spreads</t>
        </is>
      </c>
      <c r="D9" s="17" t="inlineStr">
        <is>
          <t>Bull Call Spread</t>
        </is>
      </c>
      <c r="E9" s="17" t="inlineStr">
        <is>
          <t>BULLISH</t>
        </is>
      </c>
      <c r="F9" s="17" t="inlineStr">
        <is>
          <t>Price↑(57963.8&gt;57585.05) &amp; EMA9↑(56564.74&gt;55478.64)</t>
        </is>
      </c>
      <c r="G9" s="17" t="n">
        <v>56564.74</v>
      </c>
      <c r="H9" s="17" t="n">
        <v>55478.64</v>
      </c>
      <c r="I9" s="17" t="inlineStr">
        <is>
          <t>2026-06-25</t>
        </is>
      </c>
      <c r="J9" s="17" t="inlineStr">
        <is>
          <t>MONTHLY</t>
        </is>
      </c>
      <c r="K9" s="17" t="n">
        <v>6</v>
      </c>
      <c r="L9" s="17" t="inlineStr">
        <is>
          <t>09:20 IST</t>
        </is>
      </c>
      <c r="M9" s="17" t="inlineStr">
        <is>
          <t>09:59 IST</t>
        </is>
      </c>
      <c r="N9" s="17" t="n">
        <v>57963.8</v>
      </c>
      <c r="O9" s="17" t="n">
        <v>57585.05</v>
      </c>
      <c r="P9" s="17" t="inlineStr">
        <is>
          <t>57800 CE</t>
        </is>
      </c>
      <c r="Q9" s="17" t="inlineStr">
        <is>
          <t>58000 CE</t>
        </is>
      </c>
      <c r="R9" s="17" t="n">
        <v>23</v>
      </c>
      <c r="S9" s="17" t="n">
        <v>30</v>
      </c>
      <c r="T9" s="17" t="n">
        <v>690</v>
      </c>
      <c r="U9" s="17" t="n">
        <v>70.34999999999999</v>
      </c>
      <c r="V9" s="17" t="n">
        <v>91.45</v>
      </c>
      <c r="W9" s="17" t="n">
        <v>48541.5</v>
      </c>
      <c r="X9" s="17" t="n">
        <v>48596.34</v>
      </c>
      <c r="Y9" s="17" t="n">
        <v>89458.5</v>
      </c>
      <c r="Z9" s="17" t="n">
        <v>14562.45</v>
      </c>
      <c r="AA9" s="17" t="n">
        <v>14562.45</v>
      </c>
      <c r="AB9" s="17" t="n">
        <v>14559</v>
      </c>
      <c r="AC9" s="17" t="n">
        <v>30</v>
      </c>
      <c r="AD9" s="17" t="n">
        <v>40</v>
      </c>
      <c r="AE9" s="17" t="n">
        <v>6.07</v>
      </c>
      <c r="AF9" s="17" t="n">
        <v>0.1</v>
      </c>
      <c r="AG9" s="17" t="n">
        <v>1.46</v>
      </c>
      <c r="AH9" s="17" t="n">
        <v>7.22</v>
      </c>
      <c r="AI9" s="17" t="n">
        <v>54.84</v>
      </c>
      <c r="AJ9" s="17" t="n">
        <v>14504.16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6" t="inlineStr">
        <is>
          <t>2026-06-20</t>
        </is>
      </c>
      <c r="B10" s="16" t="inlineStr">
        <is>
          <t>BANKNIFTY</t>
        </is>
      </c>
      <c r="C10" s="16" t="inlineStr">
        <is>
          <t>Both Spreads</t>
        </is>
      </c>
      <c r="D10" s="16" t="inlineStr">
        <is>
          <t>Bear Put Spread</t>
        </is>
      </c>
      <c r="E10" s="16" t="inlineStr">
        <is>
          <t>BULLISH</t>
        </is>
      </c>
      <c r="F10" s="16" t="inlineStr">
        <is>
          <t>Price↑(57963.8&gt;57585.05) &amp; EMA9↑(56564.74&gt;55478.64)</t>
        </is>
      </c>
      <c r="G10" s="16" t="n">
        <v>56564.74</v>
      </c>
      <c r="H10" s="16" t="n">
        <v>55478.64</v>
      </c>
      <c r="I10" s="16" t="inlineStr">
        <is>
          <t>2026-06-25</t>
        </is>
      </c>
      <c r="J10" s="16" t="inlineStr">
        <is>
          <t>MONTHLY</t>
        </is>
      </c>
      <c r="K10" s="16" t="n">
        <v>6</v>
      </c>
      <c r="L10" s="16" t="inlineStr">
        <is>
          <t>09:20 IST</t>
        </is>
      </c>
      <c r="M10" s="16" t="inlineStr">
        <is>
          <t>14:54 IST</t>
        </is>
      </c>
      <c r="N10" s="16" t="n">
        <v>57963.8</v>
      </c>
      <c r="O10" s="16" t="n">
        <v>57585.05</v>
      </c>
      <c r="P10" s="16" t="inlineStr">
        <is>
          <t>58000 PE</t>
        </is>
      </c>
      <c r="Q10" s="16" t="inlineStr">
        <is>
          <t>57800 PE</t>
        </is>
      </c>
      <c r="R10" s="16" t="n">
        <v>22</v>
      </c>
      <c r="S10" s="16" t="n">
        <v>30</v>
      </c>
      <c r="T10" s="16" t="n">
        <v>660</v>
      </c>
      <c r="U10" s="16" t="n">
        <v>73</v>
      </c>
      <c r="V10" s="16" t="n">
        <v>75.15000000000001</v>
      </c>
      <c r="W10" s="16" t="n">
        <v>48180</v>
      </c>
      <c r="X10" s="16" t="n">
        <v>48234.78</v>
      </c>
      <c r="Y10" s="16" t="n">
        <v>83820</v>
      </c>
      <c r="Z10" s="16" t="n">
        <v>14454</v>
      </c>
      <c r="AA10" s="16" t="n">
        <v>14454</v>
      </c>
      <c r="AB10" s="16" t="n">
        <v>1419</v>
      </c>
      <c r="AC10" s="16" t="n">
        <v>2.9</v>
      </c>
      <c r="AD10" s="16" t="n">
        <v>40</v>
      </c>
      <c r="AE10" s="16" t="n">
        <v>6.02</v>
      </c>
      <c r="AF10" s="16" t="n">
        <v>0.1</v>
      </c>
      <c r="AG10" s="16" t="n">
        <v>1.45</v>
      </c>
      <c r="AH10" s="16" t="n">
        <v>7.22</v>
      </c>
      <c r="AI10" s="16" t="n">
        <v>54.78</v>
      </c>
      <c r="AJ10" s="16" t="n">
        <v>1364.22</v>
      </c>
      <c r="AK10" s="16" t="inlineStr">
        <is>
          <t>FLAT</t>
        </is>
      </c>
      <c r="AL10" s="16" t="n">
        <v>50000</v>
      </c>
      <c r="AM10" s="16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BANKNIFTY</t>
        </is>
      </c>
      <c r="C11" s="17" t="inlineStr">
        <is>
          <t>Both Spreads</t>
        </is>
      </c>
      <c r="D11" s="17" t="inlineStr">
        <is>
          <t>Bull Call Spread</t>
        </is>
      </c>
      <c r="E11" s="17" t="inlineStr">
        <is>
          <t>SKIP</t>
        </is>
      </c>
      <c r="F11" s="17" t="inlineStr">
        <is>
          <t>Conflicting — Price:BEARISH EMA:BULLISH</t>
        </is>
      </c>
      <c r="G11" s="17" t="n">
        <v>56787.29</v>
      </c>
      <c r="H11" s="17" t="n">
        <v>55649.38</v>
      </c>
      <c r="I11" s="17" t="inlineStr">
        <is>
          <t>2026-06-25</t>
        </is>
      </c>
      <c r="J11" s="17" t="inlineStr">
        <is>
          <t>MONTHLY</t>
        </is>
      </c>
      <c r="K11" s="17" t="n">
        <v>3</v>
      </c>
      <c r="L11" s="17" t="inlineStr">
        <is>
          <t>09:20 IST</t>
        </is>
      </c>
      <c r="M11" s="17" t="inlineStr">
        <is>
          <t>10:59 IST</t>
        </is>
      </c>
      <c r="N11" s="17" t="n">
        <v>57685.75</v>
      </c>
      <c r="O11" s="17" t="n">
        <v>57963.8</v>
      </c>
      <c r="P11" s="17" t="inlineStr">
        <is>
          <t>57600 CE</t>
        </is>
      </c>
      <c r="Q11" s="17" t="inlineStr">
        <is>
          <t>57800 CE</t>
        </is>
      </c>
      <c r="R11" s="17" t="n">
        <v>25</v>
      </c>
      <c r="S11" s="17" t="n">
        <v>30</v>
      </c>
      <c r="T11" s="17" t="n">
        <v>750</v>
      </c>
      <c r="U11" s="17" t="n">
        <v>63.67</v>
      </c>
      <c r="V11" s="17" t="n">
        <v>82.77</v>
      </c>
      <c r="W11" s="17" t="n">
        <v>47752.5</v>
      </c>
      <c r="X11" s="17" t="n">
        <v>47807.21</v>
      </c>
      <c r="Y11" s="17" t="n">
        <v>102247.5</v>
      </c>
      <c r="Z11" s="17" t="n">
        <v>14325.75</v>
      </c>
      <c r="AA11" s="17" t="n">
        <v>14325.75</v>
      </c>
      <c r="AB11" s="17" t="n">
        <v>14325</v>
      </c>
      <c r="AC11" s="17" t="n">
        <v>30</v>
      </c>
      <c r="AD11" s="17" t="n">
        <v>40</v>
      </c>
      <c r="AE11" s="17" t="n">
        <v>5.97</v>
      </c>
      <c r="AF11" s="17" t="n">
        <v>0.1</v>
      </c>
      <c r="AG11" s="17" t="n">
        <v>1.43</v>
      </c>
      <c r="AH11" s="17" t="n">
        <v>7.22</v>
      </c>
      <c r="AI11" s="17" t="n">
        <v>54.71</v>
      </c>
      <c r="AJ11" s="17" t="n">
        <v>14270.29</v>
      </c>
      <c r="AK11" s="17" t="inlineStr">
        <is>
          <t>PROFIT</t>
        </is>
      </c>
      <c r="AL11" s="17" t="n">
        <v>50000</v>
      </c>
      <c r="AM11" s="17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BANKNIFTY</t>
        </is>
      </c>
      <c r="C12" s="16" t="inlineStr">
        <is>
          <t>Both Spreads</t>
        </is>
      </c>
      <c r="D12" s="16" t="inlineStr">
        <is>
          <t>Bear Put Spread</t>
        </is>
      </c>
      <c r="E12" s="16" t="inlineStr">
        <is>
          <t>SKIP</t>
        </is>
      </c>
      <c r="F12" s="16" t="inlineStr">
        <is>
          <t>Conflicting — Price:BEARISH EMA:BULLISH</t>
        </is>
      </c>
      <c r="G12" s="16" t="n">
        <v>56787.29</v>
      </c>
      <c r="H12" s="16" t="n">
        <v>55649.38</v>
      </c>
      <c r="I12" s="16" t="inlineStr">
        <is>
          <t>2026-06-25</t>
        </is>
      </c>
      <c r="J12" s="16" t="inlineStr">
        <is>
          <t>MONTHLY</t>
        </is>
      </c>
      <c r="K12" s="16" t="n">
        <v>3</v>
      </c>
      <c r="L12" s="16" t="inlineStr">
        <is>
          <t>09:20 IST</t>
        </is>
      </c>
      <c r="M12" s="16" t="inlineStr">
        <is>
          <t>15:03 IST</t>
        </is>
      </c>
      <c r="N12" s="16" t="n">
        <v>57685.75</v>
      </c>
      <c r="O12" s="16" t="n">
        <v>57963.8</v>
      </c>
      <c r="P12" s="16" t="inlineStr">
        <is>
          <t>57800 PE</t>
        </is>
      </c>
      <c r="Q12" s="16" t="inlineStr">
        <is>
          <t>57600 PE</t>
        </is>
      </c>
      <c r="R12" s="16" t="n">
        <v>29</v>
      </c>
      <c r="S12" s="16" t="n">
        <v>30</v>
      </c>
      <c r="T12" s="16" t="n">
        <v>870</v>
      </c>
      <c r="U12" s="16" t="n">
        <v>54.65</v>
      </c>
      <c r="V12" s="16" t="n">
        <v>57.14</v>
      </c>
      <c r="W12" s="16" t="n">
        <v>47545.5</v>
      </c>
      <c r="X12" s="16" t="n">
        <v>47600.18</v>
      </c>
      <c r="Y12" s="16" t="n">
        <v>126454.5</v>
      </c>
      <c r="Z12" s="16" t="n">
        <v>14263.65</v>
      </c>
      <c r="AA12" s="16" t="n">
        <v>14263.65</v>
      </c>
      <c r="AB12" s="16" t="n">
        <v>2166.3</v>
      </c>
      <c r="AC12" s="16" t="n">
        <v>4.6</v>
      </c>
      <c r="AD12" s="16" t="n">
        <v>40</v>
      </c>
      <c r="AE12" s="16" t="n">
        <v>5.94</v>
      </c>
      <c r="AF12" s="16" t="n">
        <v>0.1</v>
      </c>
      <c r="AG12" s="16" t="n">
        <v>1.43</v>
      </c>
      <c r="AH12" s="16" t="n">
        <v>7.22</v>
      </c>
      <c r="AI12" s="16" t="n">
        <v>54.68</v>
      </c>
      <c r="AJ12" s="16" t="n">
        <v>2111.62</v>
      </c>
      <c r="AK12" s="16" t="inlineStr">
        <is>
          <t>FLAT</t>
        </is>
      </c>
      <c r="AL12" s="16" t="n">
        <v>50000</v>
      </c>
      <c r="AM12" s="16" t="inlineStr">
        <is>
          <t>PAPER TRADING</t>
        </is>
      </c>
    </row>
    <row r="13">
      <c r="A13" s="15" t="inlineStr">
        <is>
          <t>2026-06-23</t>
        </is>
      </c>
      <c r="B13" s="15" t="inlineStr">
        <is>
          <t>BANKNIFTY</t>
        </is>
      </c>
      <c r="C13" s="15" t="inlineStr">
        <is>
          <t>Both Spreads</t>
        </is>
      </c>
      <c r="D13" s="15" t="inlineStr">
        <is>
          <t>Bull Call Spread</t>
        </is>
      </c>
      <c r="E13" s="15" t="inlineStr">
        <is>
          <t>SKIP</t>
        </is>
      </c>
      <c r="F13" s="15" t="inlineStr">
        <is>
          <t>Conflicting — Price:BEARISH EMA:BULLISH</t>
        </is>
      </c>
      <c r="G13" s="15" t="n">
        <v>56787.29</v>
      </c>
      <c r="H13" s="15" t="n">
        <v>55649.38</v>
      </c>
      <c r="I13" s="15" t="inlineStr">
        <is>
          <t>2026-06-25</t>
        </is>
      </c>
      <c r="J13" s="15" t="inlineStr">
        <is>
          <t>MONTHLY</t>
        </is>
      </c>
      <c r="K13" s="15" t="n">
        <v>3</v>
      </c>
      <c r="L13" s="15" t="inlineStr">
        <is>
          <t>09:20 IST</t>
        </is>
      </c>
      <c r="M13" s="15" t="inlineStr">
        <is>
          <t>10:09 IST</t>
        </is>
      </c>
      <c r="N13" s="15" t="n">
        <v>57685.75</v>
      </c>
      <c r="O13" s="15" t="n">
        <v>57963.8</v>
      </c>
      <c r="P13" s="15" t="inlineStr">
        <is>
          <t>57600 CE</t>
        </is>
      </c>
      <c r="Q13" s="15" t="inlineStr">
        <is>
          <t>57800 CE</t>
        </is>
      </c>
      <c r="R13" s="15" t="n">
        <v>26</v>
      </c>
      <c r="S13" s="15" t="n">
        <v>30</v>
      </c>
      <c r="T13" s="15" t="n">
        <v>780</v>
      </c>
      <c r="U13" s="15" t="n">
        <v>60.44</v>
      </c>
      <c r="V13" s="15" t="n">
        <v>42.31</v>
      </c>
      <c r="W13" s="15" t="n">
        <v>47143.2</v>
      </c>
      <c r="X13" s="15" t="n">
        <v>47197.82</v>
      </c>
      <c r="Y13" s="15" t="n">
        <v>108856.8</v>
      </c>
      <c r="Z13" s="15" t="n">
        <v>14142.96</v>
      </c>
      <c r="AA13" s="15" t="n">
        <v>14142.96</v>
      </c>
      <c r="AB13" s="15" t="n">
        <v>-14141.4</v>
      </c>
      <c r="AC13" s="15" t="n">
        <v>-30</v>
      </c>
      <c r="AD13" s="15" t="n">
        <v>40</v>
      </c>
      <c r="AE13" s="15" t="n">
        <v>5.89</v>
      </c>
      <c r="AF13" s="15" t="n">
        <v>0.09</v>
      </c>
      <c r="AG13" s="15" t="n">
        <v>1.41</v>
      </c>
      <c r="AH13" s="15" t="n">
        <v>7.22</v>
      </c>
      <c r="AI13" s="15" t="n">
        <v>54.62</v>
      </c>
      <c r="AJ13" s="15" t="n">
        <v>-14196.02</v>
      </c>
      <c r="AK13" s="15" t="inlineStr">
        <is>
          <t>STOP LOSS</t>
        </is>
      </c>
      <c r="AL13" s="15" t="n">
        <v>50000</v>
      </c>
      <c r="AM13" s="15" t="inlineStr">
        <is>
          <t>PAPER TRADING</t>
        </is>
      </c>
    </row>
    <row r="14">
      <c r="A14" s="17" t="inlineStr">
        <is>
          <t>2026-06-23</t>
        </is>
      </c>
      <c r="B14" s="17" t="inlineStr">
        <is>
          <t>BANKNIFTY</t>
        </is>
      </c>
      <c r="C14" s="17" t="inlineStr">
        <is>
          <t>Both Spreads</t>
        </is>
      </c>
      <c r="D14" s="17" t="inlineStr">
        <is>
          <t>Bear Put Spread</t>
        </is>
      </c>
      <c r="E14" s="17" t="inlineStr">
        <is>
          <t>SKIP</t>
        </is>
      </c>
      <c r="F14" s="17" t="inlineStr">
        <is>
          <t>Conflicting — Price:BEARISH EMA:BULLISH</t>
        </is>
      </c>
      <c r="G14" s="17" t="n">
        <v>56787.29</v>
      </c>
      <c r="H14" s="17" t="n">
        <v>55649.38</v>
      </c>
      <c r="I14" s="17" t="inlineStr">
        <is>
          <t>2026-06-25</t>
        </is>
      </c>
      <c r="J14" s="17" t="inlineStr">
        <is>
          <t>MONTHLY</t>
        </is>
      </c>
      <c r="K14" s="17" t="n">
        <v>3</v>
      </c>
      <c r="L14" s="17" t="inlineStr">
        <is>
          <t>09:20 IST</t>
        </is>
      </c>
      <c r="M14" s="17" t="inlineStr">
        <is>
          <t>12:05 IST</t>
        </is>
      </c>
      <c r="N14" s="17" t="n">
        <v>57685.75</v>
      </c>
      <c r="O14" s="17" t="n">
        <v>57963.8</v>
      </c>
      <c r="P14" s="17" t="inlineStr">
        <is>
          <t>57800 PE</t>
        </is>
      </c>
      <c r="Q14" s="17" t="inlineStr">
        <is>
          <t>57600 PE</t>
        </is>
      </c>
      <c r="R14" s="17" t="n">
        <v>27</v>
      </c>
      <c r="S14" s="17" t="n">
        <v>30</v>
      </c>
      <c r="T14" s="17" t="n">
        <v>810</v>
      </c>
      <c r="U14" s="17" t="n">
        <v>59.15</v>
      </c>
      <c r="V14" s="17" t="n">
        <v>76.89</v>
      </c>
      <c r="W14" s="17" t="n">
        <v>47911.5</v>
      </c>
      <c r="X14" s="17" t="n">
        <v>47966.24</v>
      </c>
      <c r="Y14" s="17" t="n">
        <v>114088.5</v>
      </c>
      <c r="Z14" s="17" t="n">
        <v>14373.45</v>
      </c>
      <c r="AA14" s="17" t="n">
        <v>14373.45</v>
      </c>
      <c r="AB14" s="17" t="n">
        <v>14369.4</v>
      </c>
      <c r="AC14" s="17" t="n">
        <v>30</v>
      </c>
      <c r="AD14" s="17" t="n">
        <v>40</v>
      </c>
      <c r="AE14" s="17" t="n">
        <v>5.99</v>
      </c>
      <c r="AF14" s="17" t="n">
        <v>0.1</v>
      </c>
      <c r="AG14" s="17" t="n">
        <v>1.44</v>
      </c>
      <c r="AH14" s="17" t="n">
        <v>7.22</v>
      </c>
      <c r="AI14" s="17" t="n">
        <v>54.74</v>
      </c>
      <c r="AJ14" s="17" t="n">
        <v>14314.66</v>
      </c>
      <c r="AK14" s="17" t="inlineStr">
        <is>
          <t>PROFIT</t>
        </is>
      </c>
      <c r="AL14" s="17" t="n">
        <v>50000</v>
      </c>
      <c r="AM14" s="17" t="inlineStr">
        <is>
          <t>PAPER TRADING</t>
        </is>
      </c>
    </row>
    <row r="15">
      <c r="A15" s="17" t="inlineStr">
        <is>
          <t>2026-06-23</t>
        </is>
      </c>
      <c r="B15" s="17" t="inlineStr">
        <is>
          <t>BANKNIFTY</t>
        </is>
      </c>
      <c r="C15" s="17" t="inlineStr">
        <is>
          <t>Both Spreads</t>
        </is>
      </c>
      <c r="D15" s="17" t="inlineStr">
        <is>
          <t>Bull Call Spread</t>
        </is>
      </c>
      <c r="E15" s="17" t="inlineStr">
        <is>
          <t>SKIP</t>
        </is>
      </c>
      <c r="F15" s="17" t="inlineStr">
        <is>
          <t>Conflicting — Price:BEARISH EMA:BULLISH</t>
        </is>
      </c>
      <c r="G15" s="17" t="n">
        <v>57048.75</v>
      </c>
      <c r="H15" s="17" t="n">
        <v>55970.07</v>
      </c>
      <c r="I15" s="17" t="inlineStr">
        <is>
          <t>2026-06-25</t>
        </is>
      </c>
      <c r="J15" s="17" t="inlineStr">
        <is>
          <t>MONTHLY</t>
        </is>
      </c>
      <c r="K15" s="17" t="n">
        <v>2</v>
      </c>
      <c r="L15" s="17" t="inlineStr">
        <is>
          <t>09:20 IST</t>
        </is>
      </c>
      <c r="M15" s="17" t="inlineStr">
        <is>
          <t>11:24 IST</t>
        </is>
      </c>
      <c r="N15" s="17" t="n">
        <v>57183.75</v>
      </c>
      <c r="O15" s="17" t="n">
        <v>57935.6</v>
      </c>
      <c r="P15" s="17" t="inlineStr">
        <is>
          <t>57000 CE</t>
        </is>
      </c>
      <c r="Q15" s="17" t="inlineStr">
        <is>
          <t>57200 CE</t>
        </is>
      </c>
      <c r="R15" s="17" t="n">
        <v>52</v>
      </c>
      <c r="S15" s="17" t="n">
        <v>30</v>
      </c>
      <c r="T15" s="17" t="n">
        <v>1560</v>
      </c>
      <c r="U15" s="17" t="n">
        <v>30.53</v>
      </c>
      <c r="V15" s="17" t="n">
        <v>39.69</v>
      </c>
      <c r="W15" s="17" t="n">
        <v>47626.8</v>
      </c>
      <c r="X15" s="17" t="n">
        <v>47681.49</v>
      </c>
      <c r="Y15" s="17" t="n">
        <v>264373.2</v>
      </c>
      <c r="Z15" s="17" t="n">
        <v>14288.04</v>
      </c>
      <c r="AA15" s="17" t="n">
        <v>14288.04</v>
      </c>
      <c r="AB15" s="17" t="n">
        <v>14289.6</v>
      </c>
      <c r="AC15" s="17" t="n">
        <v>30</v>
      </c>
      <c r="AD15" s="17" t="n">
        <v>40</v>
      </c>
      <c r="AE15" s="17" t="n">
        <v>5.95</v>
      </c>
      <c r="AF15" s="17" t="n">
        <v>0.1</v>
      </c>
      <c r="AG15" s="17" t="n">
        <v>1.43</v>
      </c>
      <c r="AH15" s="17" t="n">
        <v>7.22</v>
      </c>
      <c r="AI15" s="17" t="n">
        <v>54.69</v>
      </c>
      <c r="AJ15" s="17" t="n">
        <v>14234.91</v>
      </c>
      <c r="AK15" s="17" t="inlineStr">
        <is>
          <t>PROFIT</t>
        </is>
      </c>
      <c r="AL15" s="17" t="n">
        <v>50000</v>
      </c>
      <c r="AM15" s="17" t="inlineStr">
        <is>
          <t>PAPER TRADING</t>
        </is>
      </c>
    </row>
    <row r="16">
      <c r="A16" s="17" t="inlineStr">
        <is>
          <t>2026-06-23</t>
        </is>
      </c>
      <c r="B16" s="17" t="inlineStr">
        <is>
          <t>BANKNIFTY</t>
        </is>
      </c>
      <c r="C16" s="17" t="inlineStr">
        <is>
          <t>Both Spreads</t>
        </is>
      </c>
      <c r="D16" s="17" t="inlineStr">
        <is>
          <t>Bear Put Spread</t>
        </is>
      </c>
      <c r="E16" s="17" t="inlineStr">
        <is>
          <t>SKIP</t>
        </is>
      </c>
      <c r="F16" s="17" t="inlineStr">
        <is>
          <t>Conflicting — Price:BEARISH EMA:BULLISH</t>
        </is>
      </c>
      <c r="G16" s="17" t="n">
        <v>57048.75</v>
      </c>
      <c r="H16" s="17" t="n">
        <v>55970.07</v>
      </c>
      <c r="I16" s="17" t="inlineStr">
        <is>
          <t>2026-06-25</t>
        </is>
      </c>
      <c r="J16" s="17" t="inlineStr">
        <is>
          <t>MONTHLY</t>
        </is>
      </c>
      <c r="K16" s="17" t="n">
        <v>2</v>
      </c>
      <c r="L16" s="17" t="inlineStr">
        <is>
          <t>09:20 IST</t>
        </is>
      </c>
      <c r="M16" s="17" t="inlineStr">
        <is>
          <t>10:54 IST</t>
        </is>
      </c>
      <c r="N16" s="17" t="n">
        <v>57183.75</v>
      </c>
      <c r="O16" s="17" t="n">
        <v>57935.6</v>
      </c>
      <c r="P16" s="17" t="inlineStr">
        <is>
          <t>57200 PE</t>
        </is>
      </c>
      <c r="Q16" s="17" t="inlineStr">
        <is>
          <t>57000 PE</t>
        </is>
      </c>
      <c r="R16" s="17" t="n">
        <v>34</v>
      </c>
      <c r="S16" s="17" t="n">
        <v>30</v>
      </c>
      <c r="T16" s="17" t="n">
        <v>1020</v>
      </c>
      <c r="U16" s="17" t="n">
        <v>46.86</v>
      </c>
      <c r="V16" s="17" t="n">
        <v>60.92</v>
      </c>
      <c r="W16" s="17" t="n">
        <v>47797.2</v>
      </c>
      <c r="X16" s="17" t="n">
        <v>47851.92</v>
      </c>
      <c r="Y16" s="17" t="n">
        <v>156202.8</v>
      </c>
      <c r="Z16" s="17" t="n">
        <v>14339.16</v>
      </c>
      <c r="AA16" s="17" t="n">
        <v>14339.16</v>
      </c>
      <c r="AB16" s="17" t="n">
        <v>14341.2</v>
      </c>
      <c r="AC16" s="17" t="n">
        <v>30</v>
      </c>
      <c r="AD16" s="17" t="n">
        <v>40</v>
      </c>
      <c r="AE16" s="17" t="n">
        <v>5.97</v>
      </c>
      <c r="AF16" s="17" t="n">
        <v>0.1</v>
      </c>
      <c r="AG16" s="17" t="n">
        <v>1.43</v>
      </c>
      <c r="AH16" s="17" t="n">
        <v>7.22</v>
      </c>
      <c r="AI16" s="17" t="n">
        <v>54.72</v>
      </c>
      <c r="AJ16" s="17" t="n">
        <v>14286.48</v>
      </c>
      <c r="AK16" s="17" t="inlineStr">
        <is>
          <t>PROFIT</t>
        </is>
      </c>
      <c r="AL16" s="17" t="n">
        <v>50000</v>
      </c>
      <c r="AM16" s="17" t="inlineStr">
        <is>
          <t>PAPER TRADING</t>
        </is>
      </c>
    </row>
    <row r="17">
      <c r="A17" s="15" t="inlineStr">
        <is>
          <t>2026-06-24</t>
        </is>
      </c>
      <c r="B17" s="15" t="inlineStr">
        <is>
          <t>BANKNIFTY</t>
        </is>
      </c>
      <c r="C17" s="15" t="inlineStr">
        <is>
          <t>Both Spreads</t>
        </is>
      </c>
      <c r="D17" s="15" t="inlineStr">
        <is>
          <t>Bull Call Spread</t>
        </is>
      </c>
      <c r="E17" s="15" t="inlineStr">
        <is>
          <t>BULLISH</t>
        </is>
      </c>
      <c r="F17" s="15" t="inlineStr">
        <is>
          <t>Price↑(57935.6&gt;57685.75) &amp; EMA9↑(57015.0&gt;55848.7)</t>
        </is>
      </c>
      <c r="G17" s="15" t="n">
        <v>57015</v>
      </c>
      <c r="H17" s="15" t="n">
        <v>55848.7</v>
      </c>
      <c r="I17" s="15" t="inlineStr">
        <is>
          <t>2026-06-25</t>
        </is>
      </c>
      <c r="J17" s="15" t="inlineStr">
        <is>
          <t>MONTHLY</t>
        </is>
      </c>
      <c r="K17" s="15" t="n">
        <v>2</v>
      </c>
      <c r="L17" s="15" t="inlineStr">
        <is>
          <t>09:20 IST</t>
        </is>
      </c>
      <c r="M17" s="15" t="inlineStr">
        <is>
          <t>10:25 IST</t>
        </is>
      </c>
      <c r="N17" s="15" t="n">
        <v>57935.6</v>
      </c>
      <c r="O17" s="15" t="n">
        <v>57685.75</v>
      </c>
      <c r="P17" s="15" t="inlineStr">
        <is>
          <t>57800 CE</t>
        </is>
      </c>
      <c r="Q17" s="15" t="inlineStr">
        <is>
          <t>58000 CE</t>
        </is>
      </c>
      <c r="R17" s="15" t="n">
        <v>34</v>
      </c>
      <c r="S17" s="15" t="n">
        <v>30</v>
      </c>
      <c r="T17" s="15" t="n">
        <v>1020</v>
      </c>
      <c r="U17" s="15" t="n">
        <v>46.94</v>
      </c>
      <c r="V17" s="15" t="n">
        <v>32.86</v>
      </c>
      <c r="W17" s="15" t="n">
        <v>47878.8</v>
      </c>
      <c r="X17" s="15" t="n">
        <v>47933.53</v>
      </c>
      <c r="Y17" s="15" t="n">
        <v>156121.2</v>
      </c>
      <c r="Z17" s="15" t="n">
        <v>14363.64</v>
      </c>
      <c r="AA17" s="15" t="n">
        <v>14363.64</v>
      </c>
      <c r="AB17" s="15" t="n">
        <v>-14361.6</v>
      </c>
      <c r="AC17" s="15" t="n">
        <v>-30</v>
      </c>
      <c r="AD17" s="15" t="n">
        <v>40</v>
      </c>
      <c r="AE17" s="15" t="n">
        <v>5.98</v>
      </c>
      <c r="AF17" s="15" t="n">
        <v>0.1</v>
      </c>
      <c r="AG17" s="15" t="n">
        <v>1.44</v>
      </c>
      <c r="AH17" s="15" t="n">
        <v>7.22</v>
      </c>
      <c r="AI17" s="15" t="n">
        <v>54.73</v>
      </c>
      <c r="AJ17" s="15" t="n">
        <v>-14416.33</v>
      </c>
      <c r="AK17" s="15" t="inlineStr">
        <is>
          <t>STOP LOSS</t>
        </is>
      </c>
      <c r="AL17" s="15" t="n">
        <v>50000</v>
      </c>
      <c r="AM17" s="15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BANKNIFTY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Price↑(57935.6&gt;57685.75) &amp; EMA9↑(57015.0&gt;55848.7)</t>
        </is>
      </c>
      <c r="G18" s="17" t="n">
        <v>57015</v>
      </c>
      <c r="H18" s="17" t="n">
        <v>55848.7</v>
      </c>
      <c r="I18" s="17" t="inlineStr">
        <is>
          <t>2026-06-25</t>
        </is>
      </c>
      <c r="J18" s="17" t="inlineStr">
        <is>
          <t>MONTHLY</t>
        </is>
      </c>
      <c r="K18" s="17" t="n">
        <v>2</v>
      </c>
      <c r="L18" s="17" t="inlineStr">
        <is>
          <t>09:20 IST</t>
        </is>
      </c>
      <c r="M18" s="17" t="inlineStr">
        <is>
          <t>10:45 IST</t>
        </is>
      </c>
      <c r="N18" s="17" t="n">
        <v>57935.6</v>
      </c>
      <c r="O18" s="17" t="n">
        <v>57685.75</v>
      </c>
      <c r="P18" s="17" t="inlineStr">
        <is>
          <t>58000 PE</t>
        </is>
      </c>
      <c r="Q18" s="17" t="inlineStr">
        <is>
          <t>57800 PE</t>
        </is>
      </c>
      <c r="R18" s="17" t="n">
        <v>36</v>
      </c>
      <c r="S18" s="17" t="n">
        <v>30</v>
      </c>
      <c r="T18" s="17" t="n">
        <v>1080</v>
      </c>
      <c r="U18" s="17" t="n">
        <v>43.8</v>
      </c>
      <c r="V18" s="17" t="n">
        <v>56.94</v>
      </c>
      <c r="W18" s="17" t="n">
        <v>47304</v>
      </c>
      <c r="X18" s="17" t="n">
        <v>47358.64</v>
      </c>
      <c r="Y18" s="17" t="n">
        <v>168696</v>
      </c>
      <c r="Z18" s="17" t="n">
        <v>14191.2</v>
      </c>
      <c r="AA18" s="17" t="n">
        <v>14191.2</v>
      </c>
      <c r="AB18" s="17" t="n">
        <v>14191.2</v>
      </c>
      <c r="AC18" s="17" t="n">
        <v>30</v>
      </c>
      <c r="AD18" s="17" t="n">
        <v>40</v>
      </c>
      <c r="AE18" s="17" t="n">
        <v>5.91</v>
      </c>
      <c r="AF18" s="17" t="n">
        <v>0.09</v>
      </c>
      <c r="AG18" s="17" t="n">
        <v>1.42</v>
      </c>
      <c r="AH18" s="17" t="n">
        <v>7.22</v>
      </c>
      <c r="AI18" s="17" t="n">
        <v>54.64</v>
      </c>
      <c r="AJ18" s="17" t="n">
        <v>14136.56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BANKNIFTY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Price↑(58150.35&gt;57183.75) &amp; EMA9↑(57268.28&gt;56132.92)</t>
        </is>
      </c>
      <c r="H19" s="17" t="n">
        <v>57268.28</v>
      </c>
      <c r="I19" s="17" t="n">
        <v>56132.92</v>
      </c>
      <c r="J19" s="17" t="inlineStr">
        <is>
          <t>2026-06-25</t>
        </is>
      </c>
      <c r="K19" s="17" t="inlineStr">
        <is>
          <t>MONTHLY</t>
        </is>
      </c>
      <c r="L19" s="17" t="n">
        <v>1</v>
      </c>
      <c r="M19" s="17" t="inlineStr">
        <is>
          <t>09:20 IST</t>
        </is>
      </c>
      <c r="N19" s="17" t="inlineStr">
        <is>
          <t>10:34 IST</t>
        </is>
      </c>
      <c r="O19" s="17" t="n">
        <v>58150.35</v>
      </c>
      <c r="P19" s="17" t="n">
        <v>57183.75</v>
      </c>
      <c r="Q19" s="17" t="inlineStr">
        <is>
          <t>58000 CE</t>
        </is>
      </c>
      <c r="R19" s="17" t="inlineStr">
        <is>
          <t>58200 CE</t>
        </is>
      </c>
      <c r="S19" s="17" t="n">
        <v>46</v>
      </c>
      <c r="T19" s="17" t="n">
        <v>30</v>
      </c>
      <c r="U19" s="17" t="n">
        <v>1380</v>
      </c>
      <c r="V19" s="17" t="n">
        <v>34.14</v>
      </c>
      <c r="W19" s="17" t="n">
        <v>44.38</v>
      </c>
      <c r="X19" s="17" t="n">
        <v>47113.2</v>
      </c>
      <c r="Y19" s="17" t="n">
        <v>47167.81</v>
      </c>
      <c r="Z19" s="17" t="n">
        <v>228886.8</v>
      </c>
      <c r="AA19" s="17" t="n">
        <v>14133.96</v>
      </c>
      <c r="AB19" s="17" t="n">
        <v>14133.96</v>
      </c>
      <c r="AC19" s="17" t="n">
        <v>14131.2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54.61</v>
      </c>
      <c r="AK19" s="17" t="n">
        <v>14076.59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5" t="inlineStr">
        <is>
          <t>2026-06-24</t>
        </is>
      </c>
      <c r="B20" s="15" t="inlineStr">
        <is>
          <t>BANKNIFTY</t>
        </is>
      </c>
      <c r="C20" s="15" t="inlineStr">
        <is>
          <t>Both Spreads</t>
        </is>
      </c>
      <c r="D20" s="15" t="inlineStr">
        <is>
          <t>Bear Put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Price↑(58150.35&gt;57183.75) &amp; EMA9↑(57268.28&gt;56132.92)</t>
        </is>
      </c>
      <c r="H20" s="15" t="n">
        <v>57268.28</v>
      </c>
      <c r="I20" s="15" t="n">
        <v>56132.92</v>
      </c>
      <c r="J20" s="15" t="inlineStr">
        <is>
          <t>2026-06-25</t>
        </is>
      </c>
      <c r="K20" s="15" t="inlineStr">
        <is>
          <t>MONTHLY</t>
        </is>
      </c>
      <c r="L20" s="15" t="n">
        <v>1</v>
      </c>
      <c r="M20" s="15" t="inlineStr">
        <is>
          <t>09:20 IST</t>
        </is>
      </c>
      <c r="N20" s="15" t="inlineStr">
        <is>
          <t>09:31 IST</t>
        </is>
      </c>
      <c r="O20" s="15" t="n">
        <v>58150.35</v>
      </c>
      <c r="P20" s="15" t="n">
        <v>57183.75</v>
      </c>
      <c r="Q20" s="15" t="inlineStr">
        <is>
          <t>58200 PE</t>
        </is>
      </c>
      <c r="R20" s="15" t="inlineStr">
        <is>
          <t>58000 PE</t>
        </is>
      </c>
      <c r="S20" s="15" t="n">
        <v>46</v>
      </c>
      <c r="T20" s="15" t="n">
        <v>30</v>
      </c>
      <c r="U20" s="15" t="n">
        <v>1380</v>
      </c>
      <c r="V20" s="15" t="n">
        <v>34.15</v>
      </c>
      <c r="W20" s="15" t="n">
        <v>23.9</v>
      </c>
      <c r="X20" s="15" t="n">
        <v>47127</v>
      </c>
      <c r="Y20" s="15" t="n">
        <v>47181.62</v>
      </c>
      <c r="Z20" s="15" t="n">
        <v>228873</v>
      </c>
      <c r="AA20" s="15" t="n">
        <v>14138.1</v>
      </c>
      <c r="AB20" s="15" t="n">
        <v>14138.1</v>
      </c>
      <c r="AC20" s="15" t="n">
        <v>-14145</v>
      </c>
      <c r="AD20" s="15" t="n">
        <v>-30</v>
      </c>
      <c r="AE20" s="15" t="n">
        <v>40</v>
      </c>
      <c r="AF20" s="15" t="n">
        <v>5.89</v>
      </c>
      <c r="AG20" s="15" t="n">
        <v>0.09</v>
      </c>
      <c r="AH20" s="15" t="n">
        <v>1.41</v>
      </c>
      <c r="AI20" s="15" t="n">
        <v>7.22</v>
      </c>
      <c r="AJ20" s="15" t="n">
        <v>54.62</v>
      </c>
      <c r="AK20" s="15" t="n">
        <v>-14199.62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6" t="inlineStr">
        <is>
          <t>2026-06-25</t>
        </is>
      </c>
      <c r="B21" s="16" t="inlineStr">
        <is>
          <t>BANKNIFTY</t>
        </is>
      </c>
      <c r="C21" s="16" t="inlineStr">
        <is>
          <t>Both Spreads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SKIP</t>
        </is>
      </c>
      <c r="G21" s="16" t="inlineStr">
        <is>
          <t>Conflicting — Price:BEARISH EMA:BULLISH</t>
        </is>
      </c>
      <c r="H21" s="16" t="n">
        <v>57047.77</v>
      </c>
      <c r="I21" s="16" t="n">
        <v>55931.18</v>
      </c>
      <c r="J21" s="16" t="inlineStr">
        <is>
          <t>2026-06-25</t>
        </is>
      </c>
      <c r="K21" s="16" t="inlineStr">
        <is>
          <t>MONTHLY</t>
        </is>
      </c>
      <c r="L21" s="16" t="n">
        <v>1</v>
      </c>
      <c r="M21" s="16" t="inlineStr">
        <is>
          <t>09:20 IST</t>
        </is>
      </c>
      <c r="N21" s="16" t="inlineStr">
        <is>
          <t>13:20 IST</t>
        </is>
      </c>
      <c r="O21" s="16" t="n">
        <v>57183.75</v>
      </c>
      <c r="P21" s="16" t="n">
        <v>57935.6</v>
      </c>
      <c r="Q21" s="16" t="inlineStr">
        <is>
          <t>57000 CE</t>
        </is>
      </c>
      <c r="R21" s="16" t="inlineStr">
        <is>
          <t>57200 CE</t>
        </is>
      </c>
      <c r="S21" s="16" t="n">
        <v>34</v>
      </c>
      <c r="T21" s="16" t="n">
        <v>30</v>
      </c>
      <c r="U21" s="16" t="n">
        <v>1020</v>
      </c>
      <c r="V21" s="16" t="n">
        <v>46.93</v>
      </c>
      <c r="W21" s="16" t="n">
        <v>46.19</v>
      </c>
      <c r="X21" s="16" t="n">
        <v>47868.6</v>
      </c>
      <c r="Y21" s="16" t="n">
        <v>47923.33</v>
      </c>
      <c r="Z21" s="16" t="n">
        <v>156131.4</v>
      </c>
      <c r="AA21" s="16" t="n">
        <v>14360.58</v>
      </c>
      <c r="AB21" s="16" t="n">
        <v>14360.58</v>
      </c>
      <c r="AC21" s="16" t="n">
        <v>-754.8</v>
      </c>
      <c r="AD21" s="16" t="n">
        <v>-1.6</v>
      </c>
      <c r="AE21" s="16" t="n">
        <v>40</v>
      </c>
      <c r="AF21" s="16" t="n">
        <v>5.98</v>
      </c>
      <c r="AG21" s="16" t="n">
        <v>0.1</v>
      </c>
      <c r="AH21" s="16" t="n">
        <v>1.44</v>
      </c>
      <c r="AI21" s="16" t="n">
        <v>7.22</v>
      </c>
      <c r="AJ21" s="16" t="n">
        <v>54.73</v>
      </c>
      <c r="AK21" s="16" t="n">
        <v>-809.53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BANKNIFTY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57047.77</v>
      </c>
      <c r="I22" s="16" t="n">
        <v>55931.18</v>
      </c>
      <c r="J22" s="16" t="inlineStr">
        <is>
          <t>2026-06-25</t>
        </is>
      </c>
      <c r="K22" s="16" t="inlineStr">
        <is>
          <t>MONTHLY</t>
        </is>
      </c>
      <c r="L22" s="16" t="n">
        <v>1</v>
      </c>
      <c r="M22" s="16" t="inlineStr">
        <is>
          <t>09:20 IST</t>
        </is>
      </c>
      <c r="N22" s="16" t="inlineStr">
        <is>
          <t>13:48 IST</t>
        </is>
      </c>
      <c r="O22" s="16" t="n">
        <v>57183.75</v>
      </c>
      <c r="P22" s="16" t="n">
        <v>57935.6</v>
      </c>
      <c r="Q22" s="16" t="inlineStr">
        <is>
          <t>57200 PE</t>
        </is>
      </c>
      <c r="R22" s="16" t="inlineStr">
        <is>
          <t>57000 PE</t>
        </is>
      </c>
      <c r="S22" s="16" t="n">
        <v>41</v>
      </c>
      <c r="T22" s="16" t="n">
        <v>30</v>
      </c>
      <c r="U22" s="16" t="n">
        <v>1230</v>
      </c>
      <c r="V22" s="16" t="n">
        <v>38.83</v>
      </c>
      <c r="W22" s="16" t="n">
        <v>38.66</v>
      </c>
      <c r="X22" s="16" t="n">
        <v>47760.9</v>
      </c>
      <c r="Y22" s="16" t="n">
        <v>47815.62</v>
      </c>
      <c r="Z22" s="16" t="n">
        <v>198239.1</v>
      </c>
      <c r="AA22" s="16" t="n">
        <v>14328.27</v>
      </c>
      <c r="AB22" s="16" t="n">
        <v>14328.27</v>
      </c>
      <c r="AC22" s="16" t="n">
        <v>-209.1</v>
      </c>
      <c r="AD22" s="16" t="n">
        <v>-0.4</v>
      </c>
      <c r="AE22" s="16" t="n">
        <v>40</v>
      </c>
      <c r="AF22" s="16" t="n">
        <v>5.97</v>
      </c>
      <c r="AG22" s="16" t="n">
        <v>0.1</v>
      </c>
      <c r="AH22" s="16" t="n">
        <v>1.43</v>
      </c>
      <c r="AI22" s="16" t="n">
        <v>7.22</v>
      </c>
      <c r="AJ22" s="16" t="n">
        <v>54.72</v>
      </c>
      <c r="AK22" s="16" t="n">
        <v>-263.82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BANKNIFTY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Price↑(58177.05&gt;58150.35) &amp; EMA9↑(57449.06&gt;56267.48)</t>
        </is>
      </c>
      <c r="H23" s="17" t="n">
        <v>57449.06</v>
      </c>
      <c r="I23" s="17" t="n">
        <v>56267.48</v>
      </c>
      <c r="J23" s="17" t="inlineStr">
        <is>
          <t>2026-06-25</t>
        </is>
      </c>
      <c r="K23" s="17" t="inlineStr">
        <is>
          <t>MONTHLY</t>
        </is>
      </c>
      <c r="L23" s="17" t="n">
        <v>0</v>
      </c>
      <c r="M23" s="17" t="inlineStr">
        <is>
          <t>09:20 IST</t>
        </is>
      </c>
      <c r="N23" s="17" t="inlineStr">
        <is>
          <t>11:27 IST</t>
        </is>
      </c>
      <c r="O23" s="17" t="n">
        <v>58177.05</v>
      </c>
      <c r="P23" s="17" t="n">
        <v>58150.35</v>
      </c>
      <c r="Q23" s="17" t="inlineStr">
        <is>
          <t>58000 CE</t>
        </is>
      </c>
      <c r="R23" s="17" t="inlineStr">
        <is>
          <t>58200 CE</t>
        </is>
      </c>
      <c r="S23" s="17" t="n">
        <v>34</v>
      </c>
      <c r="T23" s="17" t="n">
        <v>30</v>
      </c>
      <c r="U23" s="17" t="n">
        <v>1020</v>
      </c>
      <c r="V23" s="17" t="n">
        <v>47.56</v>
      </c>
      <c r="W23" s="17" t="n">
        <v>61.83</v>
      </c>
      <c r="X23" s="17" t="n">
        <v>48511.2</v>
      </c>
      <c r="Y23" s="17" t="n">
        <v>48566.03</v>
      </c>
      <c r="Z23" s="17" t="n">
        <v>155488.8</v>
      </c>
      <c r="AA23" s="17" t="n">
        <v>14553.36</v>
      </c>
      <c r="AB23" s="17" t="n">
        <v>14553.36</v>
      </c>
      <c r="AC23" s="17" t="n">
        <v>14555.4</v>
      </c>
      <c r="AD23" s="17" t="n">
        <v>30</v>
      </c>
      <c r="AE23" s="17" t="n">
        <v>40</v>
      </c>
      <c r="AF23" s="17" t="n">
        <v>6.06</v>
      </c>
      <c r="AG23" s="17" t="n">
        <v>0.1</v>
      </c>
      <c r="AH23" s="17" t="n">
        <v>1.46</v>
      </c>
      <c r="AI23" s="17" t="n">
        <v>7.22</v>
      </c>
      <c r="AJ23" s="17" t="n">
        <v>54.83</v>
      </c>
      <c r="AK23" s="17" t="n">
        <v>14500.57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5" t="inlineStr">
        <is>
          <t>2026-06-25</t>
        </is>
      </c>
      <c r="B24" s="15" t="inlineStr">
        <is>
          <t>BANKNIFTY</t>
        </is>
      </c>
      <c r="C24" s="15" t="inlineStr">
        <is>
          <t>Both Spreads</t>
        </is>
      </c>
      <c r="D24" s="15" t="inlineStr">
        <is>
          <t>Bear Put Spread</t>
        </is>
      </c>
      <c r="E24" s="15" t="inlineStr">
        <is>
          <t>SIMULATED</t>
        </is>
      </c>
      <c r="F24" s="15" t="inlineStr">
        <is>
          <t>BULLISH</t>
        </is>
      </c>
      <c r="G24" s="15" t="inlineStr">
        <is>
          <t>Price↑(58177.05&gt;58150.35) &amp; EMA9↑(57449.06&gt;56267.48)</t>
        </is>
      </c>
      <c r="H24" s="15" t="n">
        <v>57449.06</v>
      </c>
      <c r="I24" s="15" t="n">
        <v>56267.48</v>
      </c>
      <c r="J24" s="15" t="inlineStr">
        <is>
          <t>2026-06-25</t>
        </is>
      </c>
      <c r="K24" s="15" t="inlineStr">
        <is>
          <t>MONTHLY</t>
        </is>
      </c>
      <c r="L24" s="15" t="n">
        <v>0</v>
      </c>
      <c r="M24" s="15" t="inlineStr">
        <is>
          <t>09:20 IST</t>
        </is>
      </c>
      <c r="N24" s="15" t="inlineStr">
        <is>
          <t>11:03 IST</t>
        </is>
      </c>
      <c r="O24" s="15" t="n">
        <v>58177.05</v>
      </c>
      <c r="P24" s="15" t="n">
        <v>58150.35</v>
      </c>
      <c r="Q24" s="15" t="inlineStr">
        <is>
          <t>58200 PE</t>
        </is>
      </c>
      <c r="R24" s="15" t="inlineStr">
        <is>
          <t>58000 PE</t>
        </is>
      </c>
      <c r="S24" s="15" t="n">
        <v>36</v>
      </c>
      <c r="T24" s="15" t="n">
        <v>30</v>
      </c>
      <c r="U24" s="15" t="n">
        <v>1080</v>
      </c>
      <c r="V24" s="15" t="n">
        <v>44.4</v>
      </c>
      <c r="W24" s="15" t="n">
        <v>31.08</v>
      </c>
      <c r="X24" s="15" t="n">
        <v>47952</v>
      </c>
      <c r="Y24" s="15" t="n">
        <v>48006.75</v>
      </c>
      <c r="Z24" s="15" t="n">
        <v>168048</v>
      </c>
      <c r="AA24" s="15" t="n">
        <v>14385.6</v>
      </c>
      <c r="AB24" s="15" t="n">
        <v>14385.6</v>
      </c>
      <c r="AC24" s="15" t="n">
        <v>-14385.6</v>
      </c>
      <c r="AD24" s="15" t="n">
        <v>-30</v>
      </c>
      <c r="AE24" s="15" t="n">
        <v>40</v>
      </c>
      <c r="AF24" s="15" t="n">
        <v>5.99</v>
      </c>
      <c r="AG24" s="15" t="n">
        <v>0.1</v>
      </c>
      <c r="AH24" s="15" t="n">
        <v>1.44</v>
      </c>
      <c r="AI24" s="15" t="n">
        <v>7.22</v>
      </c>
      <c r="AJ24" s="15" t="n">
        <v>54.75</v>
      </c>
      <c r="AK24" s="15" t="n">
        <v>-14440.35</v>
      </c>
      <c r="AL24" s="15" t="inlineStr">
        <is>
          <t>STOP LOSS</t>
        </is>
      </c>
      <c r="AM24" s="15" t="n">
        <v>50000</v>
      </c>
      <c r="AN24" s="15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BANKNIFTY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Price↑(58150.35&gt;57183.75) &amp; EMA9↑(57267.06&gt;56076.53)</t>
        </is>
      </c>
      <c r="H25" s="17" t="n">
        <v>57267.06</v>
      </c>
      <c r="I25" s="17" t="n">
        <v>56076.53</v>
      </c>
      <c r="J25" s="17" t="inlineStr">
        <is>
          <t>2026-06-25</t>
        </is>
      </c>
      <c r="K25" s="17" t="inlineStr">
        <is>
          <t>MONTHLY</t>
        </is>
      </c>
      <c r="L25" s="17" t="n">
        <v>0</v>
      </c>
      <c r="M25" s="17" t="inlineStr">
        <is>
          <t>09:20 IST</t>
        </is>
      </c>
      <c r="N25" s="17" t="inlineStr">
        <is>
          <t>12:04 IST</t>
        </is>
      </c>
      <c r="O25" s="17" t="n">
        <v>58150.35</v>
      </c>
      <c r="P25" s="17" t="n">
        <v>57183.75</v>
      </c>
      <c r="Q25" s="17" t="inlineStr">
        <is>
          <t>58000 CE</t>
        </is>
      </c>
      <c r="R25" s="17" t="inlineStr">
        <is>
          <t>58200 CE</t>
        </is>
      </c>
      <c r="S25" s="17" t="n">
        <v>38</v>
      </c>
      <c r="T25" s="17" t="n">
        <v>30</v>
      </c>
      <c r="U25" s="17" t="n">
        <v>1140</v>
      </c>
      <c r="V25" s="17" t="n">
        <v>42.15</v>
      </c>
      <c r="W25" s="17" t="n">
        <v>54.8</v>
      </c>
      <c r="X25" s="17" t="n">
        <v>48051</v>
      </c>
      <c r="Y25" s="17" t="n">
        <v>48105.76</v>
      </c>
      <c r="Z25" s="17" t="n">
        <v>179949</v>
      </c>
      <c r="AA25" s="17" t="n">
        <v>14415.3</v>
      </c>
      <c r="AB25" s="17" t="n">
        <v>14415.3</v>
      </c>
      <c r="AC25" s="17" t="n">
        <v>14421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54.76</v>
      </c>
      <c r="AK25" s="17" t="n">
        <v>14366.24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2026-06-26</t>
        </is>
      </c>
      <c r="B26" s="15" t="inlineStr">
        <is>
          <t>BANKNIFTY</t>
        </is>
      </c>
      <c r="C26" s="15" t="inlineStr">
        <is>
          <t>Both Spreads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BULLISH</t>
        </is>
      </c>
      <c r="G26" s="15" t="inlineStr">
        <is>
          <t>Price↑(58150.35&gt;57183.75) &amp; EMA9↑(57267.06&gt;56076.53)</t>
        </is>
      </c>
      <c r="H26" s="15" t="n">
        <v>57267.06</v>
      </c>
      <c r="I26" s="15" t="n">
        <v>56076.53</v>
      </c>
      <c r="J26" s="15" t="inlineStr">
        <is>
          <t>2026-06-25</t>
        </is>
      </c>
      <c r="K26" s="15" t="inlineStr">
        <is>
          <t>MONTHLY</t>
        </is>
      </c>
      <c r="L26" s="15" t="n">
        <v>0</v>
      </c>
      <c r="M26" s="15" t="inlineStr">
        <is>
          <t>09:20 IST</t>
        </is>
      </c>
      <c r="N26" s="15" t="inlineStr">
        <is>
          <t>10:03 IST</t>
        </is>
      </c>
      <c r="O26" s="15" t="n">
        <v>58150.35</v>
      </c>
      <c r="P26" s="15" t="n">
        <v>57183.75</v>
      </c>
      <c r="Q26" s="15" t="inlineStr">
        <is>
          <t>58200 PE</t>
        </is>
      </c>
      <c r="R26" s="15" t="inlineStr">
        <is>
          <t>58000 PE</t>
        </is>
      </c>
      <c r="S26" s="15" t="n">
        <v>49</v>
      </c>
      <c r="T26" s="15" t="n">
        <v>30</v>
      </c>
      <c r="U26" s="15" t="n">
        <v>1470</v>
      </c>
      <c r="V26" s="15" t="n">
        <v>32.1</v>
      </c>
      <c r="W26" s="15" t="n">
        <v>22.47</v>
      </c>
      <c r="X26" s="15" t="n">
        <v>47187</v>
      </c>
      <c r="Y26" s="15" t="n">
        <v>47241.63</v>
      </c>
      <c r="Z26" s="15" t="n">
        <v>246813</v>
      </c>
      <c r="AA26" s="15" t="n">
        <v>14156.1</v>
      </c>
      <c r="AB26" s="15" t="n">
        <v>14156.1</v>
      </c>
      <c r="AC26" s="15" t="n">
        <v>-14156.1</v>
      </c>
      <c r="AD26" s="15" t="n">
        <v>-30</v>
      </c>
      <c r="AE26" s="15" t="n">
        <v>40</v>
      </c>
      <c r="AF26" s="15" t="n">
        <v>5.9</v>
      </c>
      <c r="AG26" s="15" t="n">
        <v>0.09</v>
      </c>
      <c r="AH26" s="15" t="n">
        <v>1.42</v>
      </c>
      <c r="AI26" s="15" t="n">
        <v>7.22</v>
      </c>
      <c r="AJ26" s="15" t="n">
        <v>54.63</v>
      </c>
      <c r="AK26" s="15" t="n">
        <v>-14210.73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BANKNIFTY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Price↑(58177.05&gt;58150.35) &amp; EMA9↑(57449.52&gt;56225.95)</t>
        </is>
      </c>
      <c r="H27" s="15" t="n">
        <v>57449.52</v>
      </c>
      <c r="I27" s="15" t="n">
        <v>56225.95</v>
      </c>
      <c r="J27" s="15" t="inlineStr">
        <is>
          <t>2026-07-30</t>
        </is>
      </c>
      <c r="K27" s="15" t="inlineStr">
        <is>
          <t>MONTHLY</t>
        </is>
      </c>
      <c r="L27" s="15" t="n">
        <v>34</v>
      </c>
      <c r="M27" s="15" t="inlineStr">
        <is>
          <t>09:20 IST</t>
        </is>
      </c>
      <c r="N27" s="15" t="inlineStr">
        <is>
          <t>11:04 IST</t>
        </is>
      </c>
      <c r="O27" s="15" t="n">
        <v>58177.05</v>
      </c>
      <c r="P27" s="15" t="n">
        <v>58150.35</v>
      </c>
      <c r="Q27" s="15" t="inlineStr">
        <is>
          <t>58000 CE</t>
        </is>
      </c>
      <c r="R27" s="15" t="inlineStr">
        <is>
          <t>58200 CE</t>
        </is>
      </c>
      <c r="S27" s="15" t="n">
        <v>15</v>
      </c>
      <c r="T27" s="15" t="n">
        <v>30</v>
      </c>
      <c r="U27" s="15" t="n">
        <v>450</v>
      </c>
      <c r="V27" s="15" t="n">
        <v>109.1</v>
      </c>
      <c r="W27" s="15" t="n">
        <v>76.37</v>
      </c>
      <c r="X27" s="15" t="n">
        <v>49095</v>
      </c>
      <c r="Y27" s="15" t="n">
        <v>49149.93</v>
      </c>
      <c r="Z27" s="15" t="n">
        <v>40905</v>
      </c>
      <c r="AA27" s="15" t="n">
        <v>14728.5</v>
      </c>
      <c r="AB27" s="15" t="n">
        <v>14728.5</v>
      </c>
      <c r="AC27" s="15" t="n">
        <v>-14728.5</v>
      </c>
      <c r="AD27" s="15" t="n">
        <v>-30</v>
      </c>
      <c r="AE27" s="15" t="n">
        <v>40</v>
      </c>
      <c r="AF27" s="15" t="n">
        <v>6.14</v>
      </c>
      <c r="AG27" s="15" t="n">
        <v>0.1</v>
      </c>
      <c r="AH27" s="15" t="n">
        <v>1.47</v>
      </c>
      <c r="AI27" s="15" t="n">
        <v>7.22</v>
      </c>
      <c r="AJ27" s="15" t="n">
        <v>54.93</v>
      </c>
      <c r="AK27" s="15" t="n">
        <v>-14783.43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6" t="inlineStr">
        <is>
          <t>2026-06-26</t>
        </is>
      </c>
      <c r="B28" s="16" t="inlineStr">
        <is>
          <t>BANKNIFTY</t>
        </is>
      </c>
      <c r="C28" s="16" t="inlineStr">
        <is>
          <t>Both Spreads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BULLISH</t>
        </is>
      </c>
      <c r="G28" s="16" t="inlineStr">
        <is>
          <t>Price↑(58177.05&gt;58150.35) &amp; EMA9↑(57449.52&gt;56225.95)</t>
        </is>
      </c>
      <c r="H28" s="16" t="n">
        <v>57449.52</v>
      </c>
      <c r="I28" s="16" t="n">
        <v>56225.95</v>
      </c>
      <c r="J28" s="16" t="inlineStr">
        <is>
          <t>2026-07-30</t>
        </is>
      </c>
      <c r="K28" s="16" t="inlineStr">
        <is>
          <t>MONTHLY</t>
        </is>
      </c>
      <c r="L28" s="16" t="n">
        <v>34</v>
      </c>
      <c r="M28" s="16" t="inlineStr">
        <is>
          <t>09:20 IST</t>
        </is>
      </c>
      <c r="N28" s="16" t="inlineStr">
        <is>
          <t>14:39 IST</t>
        </is>
      </c>
      <c r="O28" s="16" t="n">
        <v>58177.05</v>
      </c>
      <c r="P28" s="16" t="n">
        <v>58150.35</v>
      </c>
      <c r="Q28" s="16" t="inlineStr">
        <is>
          <t>58200 PE</t>
        </is>
      </c>
      <c r="R28" s="16" t="inlineStr">
        <is>
          <t>58000 PE</t>
        </is>
      </c>
      <c r="S28" s="16" t="n">
        <v>16</v>
      </c>
      <c r="T28" s="16" t="n">
        <v>30</v>
      </c>
      <c r="U28" s="16" t="n">
        <v>480</v>
      </c>
      <c r="V28" s="16" t="n">
        <v>101.9</v>
      </c>
      <c r="W28" s="16" t="n">
        <v>101.86</v>
      </c>
      <c r="X28" s="16" t="n">
        <v>48912</v>
      </c>
      <c r="Y28" s="16" t="n">
        <v>48966.9</v>
      </c>
      <c r="Z28" s="16" t="n">
        <v>47088</v>
      </c>
      <c r="AA28" s="16" t="n">
        <v>14673.6</v>
      </c>
      <c r="AB28" s="16" t="n">
        <v>14673.6</v>
      </c>
      <c r="AC28" s="16" t="n">
        <v>-19.2</v>
      </c>
      <c r="AD28" s="16" t="n">
        <v>0</v>
      </c>
      <c r="AE28" s="16" t="n">
        <v>40</v>
      </c>
      <c r="AF28" s="16" t="n">
        <v>6.11</v>
      </c>
      <c r="AG28" s="16" t="n">
        <v>0.1</v>
      </c>
      <c r="AH28" s="16" t="n">
        <v>1.47</v>
      </c>
      <c r="AI28" s="16" t="n">
        <v>7.22</v>
      </c>
      <c r="AJ28" s="16" t="n">
        <v>54.9</v>
      </c>
      <c r="AK28" s="16" t="n">
        <v>-74.09999999999999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BANKNIFTY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Price↑(58177.05&gt;58150.35) &amp; EMA9↑(57449.52&gt;56225.95)</t>
        </is>
      </c>
      <c r="H29" s="17" t="n">
        <v>57449.52</v>
      </c>
      <c r="I29" s="17" t="n">
        <v>56225.95</v>
      </c>
      <c r="J29" s="17" t="inlineStr">
        <is>
          <t>2026-07-30</t>
        </is>
      </c>
      <c r="K29" s="17" t="inlineStr">
        <is>
          <t>MONTHLY</t>
        </is>
      </c>
      <c r="L29" s="17" t="n">
        <v>34</v>
      </c>
      <c r="M29" s="17" t="inlineStr">
        <is>
          <t>09:20 IST</t>
        </is>
      </c>
      <c r="N29" s="17" t="inlineStr">
        <is>
          <t>11:54 IST</t>
        </is>
      </c>
      <c r="O29" s="17" t="n">
        <v>58177.05</v>
      </c>
      <c r="P29" s="17" t="n">
        <v>58150.35</v>
      </c>
      <c r="Q29" s="17" t="inlineStr">
        <is>
          <t>58000 CE</t>
        </is>
      </c>
      <c r="R29" s="17" t="inlineStr">
        <is>
          <t>58200 CE</t>
        </is>
      </c>
      <c r="S29" s="17" t="n">
        <v>17</v>
      </c>
      <c r="T29" s="17" t="n">
        <v>30</v>
      </c>
      <c r="U29" s="17" t="n">
        <v>510</v>
      </c>
      <c r="V29" s="17" t="n">
        <v>94.47</v>
      </c>
      <c r="W29" s="17" t="n">
        <v>122.81</v>
      </c>
      <c r="X29" s="17" t="n">
        <v>48179.7</v>
      </c>
      <c r="Y29" s="17" t="n">
        <v>48234.48</v>
      </c>
      <c r="Z29" s="17" t="n">
        <v>53820.3</v>
      </c>
      <c r="AA29" s="17" t="n">
        <v>14453.91</v>
      </c>
      <c r="AB29" s="17" t="n">
        <v>14453.91</v>
      </c>
      <c r="AC29" s="17" t="n">
        <v>14453.4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1.45</v>
      </c>
      <c r="AI29" s="17" t="n">
        <v>7.22</v>
      </c>
      <c r="AJ29" s="17" t="n">
        <v>54.78</v>
      </c>
      <c r="AK29" s="17" t="n">
        <v>14398.62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BANKNIFTY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Price↑(58177.05&gt;58150.35) &amp; EMA9↑(57449.52&gt;56225.95)</t>
        </is>
      </c>
      <c r="H30" s="17" t="n">
        <v>57449.52</v>
      </c>
      <c r="I30" s="17" t="n">
        <v>56225.95</v>
      </c>
      <c r="J30" s="17" t="inlineStr">
        <is>
          <t>2026-07-30</t>
        </is>
      </c>
      <c r="K30" s="17" t="inlineStr">
        <is>
          <t>MONTHLY</t>
        </is>
      </c>
      <c r="L30" s="17" t="n">
        <v>34</v>
      </c>
      <c r="M30" s="17" t="inlineStr">
        <is>
          <t>09:20 IST</t>
        </is>
      </c>
      <c r="N30" s="17" t="inlineStr">
        <is>
          <t>09:44 IST</t>
        </is>
      </c>
      <c r="O30" s="17" t="n">
        <v>58177.05</v>
      </c>
      <c r="P30" s="17" t="n">
        <v>58150.35</v>
      </c>
      <c r="Q30" s="17" t="inlineStr">
        <is>
          <t>58200 PE</t>
        </is>
      </c>
      <c r="R30" s="17" t="inlineStr">
        <is>
          <t>58000 PE</t>
        </is>
      </c>
      <c r="S30" s="17" t="n">
        <v>15</v>
      </c>
      <c r="T30" s="17" t="n">
        <v>30</v>
      </c>
      <c r="U30" s="17" t="n">
        <v>450</v>
      </c>
      <c r="V30" s="17" t="n">
        <v>105.92</v>
      </c>
      <c r="W30" s="17" t="n">
        <v>137.7</v>
      </c>
      <c r="X30" s="17" t="n">
        <v>47664</v>
      </c>
      <c r="Y30" s="17" t="n">
        <v>47718.7</v>
      </c>
      <c r="Z30" s="17" t="n">
        <v>42336</v>
      </c>
      <c r="AA30" s="17" t="n">
        <v>14299.2</v>
      </c>
      <c r="AB30" s="17" t="n">
        <v>14299.2</v>
      </c>
      <c r="AC30" s="17" t="n">
        <v>14301</v>
      </c>
      <c r="AD30" s="17" t="n">
        <v>30</v>
      </c>
      <c r="AE30" s="17" t="n">
        <v>40</v>
      </c>
      <c r="AF30" s="17" t="n">
        <v>5.96</v>
      </c>
      <c r="AG30" s="17" t="n">
        <v>0.1</v>
      </c>
      <c r="AH30" s="17" t="n">
        <v>1.43</v>
      </c>
      <c r="AI30" s="17" t="n">
        <v>7.22</v>
      </c>
      <c r="AJ30" s="17" t="n">
        <v>54.7</v>
      </c>
      <c r="AK30" s="17" t="n">
        <v>14246.3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BANKNIFTY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57506.76</v>
      </c>
      <c r="I31" s="16" t="n">
        <v>56326.72</v>
      </c>
      <c r="J31" s="16" t="inlineStr">
        <is>
          <t>2026-07-30</t>
        </is>
      </c>
      <c r="K31" s="16" t="inlineStr">
        <is>
          <t>MONTHLY</t>
        </is>
      </c>
      <c r="L31" s="16" t="n">
        <v>31</v>
      </c>
      <c r="M31" s="16" t="inlineStr">
        <is>
          <t>09:20 IST</t>
        </is>
      </c>
      <c r="N31" s="16" t="inlineStr">
        <is>
          <t>14:44 IST</t>
        </is>
      </c>
      <c r="O31" s="16" t="n">
        <v>57727.35</v>
      </c>
      <c r="P31" s="16" t="n">
        <v>58177.05</v>
      </c>
      <c r="Q31" s="16" t="inlineStr">
        <is>
          <t>57600 CE</t>
        </is>
      </c>
      <c r="R31" s="16" t="inlineStr">
        <is>
          <t>57800 CE</t>
        </is>
      </c>
      <c r="S31" s="16" t="n">
        <v>17</v>
      </c>
      <c r="T31" s="16" t="n">
        <v>30</v>
      </c>
      <c r="U31" s="16" t="n">
        <v>510</v>
      </c>
      <c r="V31" s="16" t="n">
        <v>95.8</v>
      </c>
      <c r="W31" s="16" t="n">
        <v>93.16</v>
      </c>
      <c r="X31" s="16" t="n">
        <v>48858</v>
      </c>
      <c r="Y31" s="16" t="n">
        <v>48912.89</v>
      </c>
      <c r="Z31" s="16" t="n">
        <v>53142</v>
      </c>
      <c r="AA31" s="16" t="n">
        <v>14657.4</v>
      </c>
      <c r="AB31" s="16" t="n">
        <v>14657.4</v>
      </c>
      <c r="AC31" s="16" t="n">
        <v>-1346.4</v>
      </c>
      <c r="AD31" s="16" t="n">
        <v>-2.8</v>
      </c>
      <c r="AE31" s="16" t="n">
        <v>40</v>
      </c>
      <c r="AF31" s="16" t="n">
        <v>6.11</v>
      </c>
      <c r="AG31" s="16" t="n">
        <v>0.1</v>
      </c>
      <c r="AH31" s="16" t="n">
        <v>1.47</v>
      </c>
      <c r="AI31" s="16" t="n">
        <v>7.22</v>
      </c>
      <c r="AJ31" s="16" t="n">
        <v>54.89</v>
      </c>
      <c r="AK31" s="16" t="n">
        <v>-1401.29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BANKNIFTY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57506.76</v>
      </c>
      <c r="I32" s="15" t="n">
        <v>56326.72</v>
      </c>
      <c r="J32" s="15" t="inlineStr">
        <is>
          <t>2026-07-30</t>
        </is>
      </c>
      <c r="K32" s="15" t="inlineStr">
        <is>
          <t>MONTHLY</t>
        </is>
      </c>
      <c r="L32" s="15" t="n">
        <v>31</v>
      </c>
      <c r="M32" s="15" t="inlineStr">
        <is>
          <t>09:20 IST</t>
        </is>
      </c>
      <c r="N32" s="15" t="inlineStr">
        <is>
          <t>10:56 IST</t>
        </is>
      </c>
      <c r="O32" s="15" t="n">
        <v>57727.35</v>
      </c>
      <c r="P32" s="15" t="n">
        <v>58177.05</v>
      </c>
      <c r="Q32" s="15" t="inlineStr">
        <is>
          <t>57800 PE</t>
        </is>
      </c>
      <c r="R32" s="15" t="inlineStr">
        <is>
          <t>57600 PE</t>
        </is>
      </c>
      <c r="S32" s="15" t="n">
        <v>17</v>
      </c>
      <c r="T32" s="15" t="n">
        <v>30</v>
      </c>
      <c r="U32" s="15" t="n">
        <v>510</v>
      </c>
      <c r="V32" s="15" t="n">
        <v>92.15000000000001</v>
      </c>
      <c r="W32" s="15" t="n">
        <v>64.5</v>
      </c>
      <c r="X32" s="15" t="n">
        <v>46996.5</v>
      </c>
      <c r="Y32" s="15" t="n">
        <v>47051.1</v>
      </c>
      <c r="Z32" s="15" t="n">
        <v>55003.5</v>
      </c>
      <c r="AA32" s="15" t="n">
        <v>14098.95</v>
      </c>
      <c r="AB32" s="15" t="n">
        <v>14098.95</v>
      </c>
      <c r="AC32" s="15" t="n">
        <v>-14101.5</v>
      </c>
      <c r="AD32" s="15" t="n">
        <v>-30</v>
      </c>
      <c r="AE32" s="15" t="n">
        <v>40</v>
      </c>
      <c r="AF32" s="15" t="n">
        <v>5.87</v>
      </c>
      <c r="AG32" s="15" t="n">
        <v>0.09</v>
      </c>
      <c r="AH32" s="15" t="n">
        <v>1.41</v>
      </c>
      <c r="AI32" s="15" t="n">
        <v>7.22</v>
      </c>
      <c r="AJ32" s="15" t="n">
        <v>54.6</v>
      </c>
      <c r="AK32" s="15" t="n">
        <v>-14156.1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6" t="inlineStr">
        <is>
          <t>2026-06-30</t>
        </is>
      </c>
      <c r="B33" s="16" t="inlineStr">
        <is>
          <t>BANKNIFTY</t>
        </is>
      </c>
      <c r="C33" s="16" t="inlineStr">
        <is>
          <t>Both Spreads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Price↑(58177.05&gt;58150.35) &amp; EMA9↑(57451.61&gt;56186.66)</t>
        </is>
      </c>
      <c r="H33" s="16" t="n">
        <v>57451.61</v>
      </c>
      <c r="I33" s="16" t="n">
        <v>56186.66</v>
      </c>
      <c r="J33" s="16" t="inlineStr">
        <is>
          <t>2026-07-30</t>
        </is>
      </c>
      <c r="K33" s="16" t="inlineStr">
        <is>
          <t>MONTHLY</t>
        </is>
      </c>
      <c r="L33" s="16" t="n">
        <v>31</v>
      </c>
      <c r="M33" s="16" t="inlineStr">
        <is>
          <t>09:20 IST</t>
        </is>
      </c>
      <c r="N33" s="16" t="inlineStr">
        <is>
          <t>14:26 IST</t>
        </is>
      </c>
      <c r="O33" s="16" t="n">
        <v>58177.05</v>
      </c>
      <c r="P33" s="16" t="n">
        <v>58150.35</v>
      </c>
      <c r="Q33" s="16" t="inlineStr">
        <is>
          <t>58000 CE</t>
        </is>
      </c>
      <c r="R33" s="16" t="inlineStr">
        <is>
          <t>58200 CE</t>
        </is>
      </c>
      <c r="S33" s="16" t="n">
        <v>16</v>
      </c>
      <c r="T33" s="16" t="n">
        <v>30</v>
      </c>
      <c r="U33" s="16" t="n">
        <v>480</v>
      </c>
      <c r="V33" s="16" t="n">
        <v>100.86</v>
      </c>
      <c r="W33" s="16" t="n">
        <v>105.77</v>
      </c>
      <c r="X33" s="16" t="n">
        <v>48412.8</v>
      </c>
      <c r="Y33" s="16" t="n">
        <v>48467.62</v>
      </c>
      <c r="Z33" s="16" t="n">
        <v>47587.2</v>
      </c>
      <c r="AA33" s="16" t="n">
        <v>14523.84</v>
      </c>
      <c r="AB33" s="16" t="n">
        <v>14523.84</v>
      </c>
      <c r="AC33" s="16" t="n">
        <v>2356.8</v>
      </c>
      <c r="AD33" s="16" t="n">
        <v>4.9</v>
      </c>
      <c r="AE33" s="16" t="n">
        <v>40</v>
      </c>
      <c r="AF33" s="16" t="n">
        <v>6.05</v>
      </c>
      <c r="AG33" s="16" t="n">
        <v>0.1</v>
      </c>
      <c r="AH33" s="16" t="n">
        <v>1.45</v>
      </c>
      <c r="AI33" s="16" t="n">
        <v>7.22</v>
      </c>
      <c r="AJ33" s="16" t="n">
        <v>54.82</v>
      </c>
      <c r="AK33" s="16" t="n">
        <v>2301.98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5" t="inlineStr">
        <is>
          <t>2026-06-30</t>
        </is>
      </c>
      <c r="B34" s="15" t="inlineStr">
        <is>
          <t>BANKNIFTY</t>
        </is>
      </c>
      <c r="C34" s="15" t="inlineStr">
        <is>
          <t>Both Spreads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BULLISH</t>
        </is>
      </c>
      <c r="G34" s="15" t="inlineStr">
        <is>
          <t>Price↑(58177.05&gt;58150.35) &amp; EMA9↑(57451.61&gt;56186.66)</t>
        </is>
      </c>
      <c r="H34" s="15" t="n">
        <v>57451.61</v>
      </c>
      <c r="I34" s="15" t="n">
        <v>56186.66</v>
      </c>
      <c r="J34" s="15" t="inlineStr">
        <is>
          <t>2026-07-30</t>
        </is>
      </c>
      <c r="K34" s="15" t="inlineStr">
        <is>
          <t>MONTHLY</t>
        </is>
      </c>
      <c r="L34" s="15" t="n">
        <v>31</v>
      </c>
      <c r="M34" s="15" t="inlineStr">
        <is>
          <t>09:20 IST</t>
        </is>
      </c>
      <c r="N34" s="15" t="inlineStr">
        <is>
          <t>10:45 IST</t>
        </is>
      </c>
      <c r="O34" s="15" t="n">
        <v>58177.05</v>
      </c>
      <c r="P34" s="15" t="n">
        <v>58150.35</v>
      </c>
      <c r="Q34" s="15" t="inlineStr">
        <is>
          <t>58200 PE</t>
        </is>
      </c>
      <c r="R34" s="15" t="inlineStr">
        <is>
          <t>58000 PE</t>
        </is>
      </c>
      <c r="S34" s="15" t="n">
        <v>15</v>
      </c>
      <c r="T34" s="15" t="n">
        <v>30</v>
      </c>
      <c r="U34" s="15" t="n">
        <v>450</v>
      </c>
      <c r="V34" s="15" t="n">
        <v>106.95</v>
      </c>
      <c r="W34" s="15" t="n">
        <v>74.86</v>
      </c>
      <c r="X34" s="15" t="n">
        <v>48127.5</v>
      </c>
      <c r="Y34" s="15" t="n">
        <v>48182.27</v>
      </c>
      <c r="Z34" s="15" t="n">
        <v>41872.5</v>
      </c>
      <c r="AA34" s="15" t="n">
        <v>14438.25</v>
      </c>
      <c r="AB34" s="15" t="n">
        <v>14438.25</v>
      </c>
      <c r="AC34" s="15" t="n">
        <v>-14440.5</v>
      </c>
      <c r="AD34" s="15" t="n">
        <v>-30</v>
      </c>
      <c r="AE34" s="15" t="n">
        <v>40</v>
      </c>
      <c r="AF34" s="15" t="n">
        <v>6.02</v>
      </c>
      <c r="AG34" s="15" t="n">
        <v>0.1</v>
      </c>
      <c r="AH34" s="15" t="n">
        <v>1.44</v>
      </c>
      <c r="AI34" s="15" t="n">
        <v>7.22</v>
      </c>
      <c r="AJ34" s="15" t="n">
        <v>54.77</v>
      </c>
      <c r="AK34" s="15" t="n">
        <v>-14495.27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BANKNIFTY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57515.81</v>
      </c>
      <c r="I35" s="16" t="n">
        <v>56405.26</v>
      </c>
      <c r="J35" s="16" t="inlineStr">
        <is>
          <t>2026-07-30</t>
        </is>
      </c>
      <c r="K35" s="16" t="inlineStr">
        <is>
          <t>MONTHLY</t>
        </is>
      </c>
      <c r="L35" s="16" t="n">
        <v>30</v>
      </c>
      <c r="M35" s="16" t="inlineStr">
        <is>
          <t>09:20 IST</t>
        </is>
      </c>
      <c r="N35" s="16" t="inlineStr">
        <is>
          <t>13:33 IST</t>
        </is>
      </c>
      <c r="O35" s="16" t="n">
        <v>57542.9</v>
      </c>
      <c r="P35" s="16" t="n">
        <v>57727.35</v>
      </c>
      <c r="Q35" s="16" t="inlineStr">
        <is>
          <t>57400 CE</t>
        </is>
      </c>
      <c r="R35" s="16" t="inlineStr">
        <is>
          <t>57600 CE</t>
        </is>
      </c>
      <c r="S35" s="16" t="n">
        <v>15</v>
      </c>
      <c r="T35" s="16" t="n">
        <v>30</v>
      </c>
      <c r="U35" s="16" t="n">
        <v>450</v>
      </c>
      <c r="V35" s="16" t="n">
        <v>106.82</v>
      </c>
      <c r="W35" s="16" t="n">
        <v>101.83</v>
      </c>
      <c r="X35" s="16" t="n">
        <v>48069</v>
      </c>
      <c r="Y35" s="16" t="n">
        <v>48123.76</v>
      </c>
      <c r="Z35" s="16" t="n">
        <v>41931</v>
      </c>
      <c r="AA35" s="16" t="n">
        <v>14420.7</v>
      </c>
      <c r="AB35" s="16" t="n">
        <v>14420.7</v>
      </c>
      <c r="AC35" s="16" t="n">
        <v>-2245.5</v>
      </c>
      <c r="AD35" s="16" t="n">
        <v>-4.7</v>
      </c>
      <c r="AE35" s="16" t="n">
        <v>40</v>
      </c>
      <c r="AF35" s="16" t="n">
        <v>6.01</v>
      </c>
      <c r="AG35" s="16" t="n">
        <v>0.1</v>
      </c>
      <c r="AH35" s="16" t="n">
        <v>1.44</v>
      </c>
      <c r="AI35" s="16" t="n">
        <v>7.22</v>
      </c>
      <c r="AJ35" s="16" t="n">
        <v>54.76</v>
      </c>
      <c r="AK35" s="16" t="n">
        <v>-2300.26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2026-06-30</t>
        </is>
      </c>
      <c r="B36" s="17" t="inlineStr">
        <is>
          <t>BANKNIFTY</t>
        </is>
      </c>
      <c r="C36" s="17" t="inlineStr">
        <is>
          <t>Both Spreads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SKIP</t>
        </is>
      </c>
      <c r="G36" s="17" t="inlineStr">
        <is>
          <t>Conflicting — Price:BEARISH EMA:BULLISH</t>
        </is>
      </c>
      <c r="H36" s="17" t="n">
        <v>57515.81</v>
      </c>
      <c r="I36" s="17" t="n">
        <v>56405.26</v>
      </c>
      <c r="J36" s="17" t="inlineStr">
        <is>
          <t>2026-07-30</t>
        </is>
      </c>
      <c r="K36" s="17" t="inlineStr">
        <is>
          <t>MONTHLY</t>
        </is>
      </c>
      <c r="L36" s="17" t="n">
        <v>30</v>
      </c>
      <c r="M36" s="17" t="inlineStr">
        <is>
          <t>09:20 IST</t>
        </is>
      </c>
      <c r="N36" s="17" t="inlineStr">
        <is>
          <t>09:47 IST</t>
        </is>
      </c>
      <c r="O36" s="17" t="n">
        <v>57542.9</v>
      </c>
      <c r="P36" s="17" t="n">
        <v>57727.35</v>
      </c>
      <c r="Q36" s="17" t="inlineStr">
        <is>
          <t>57600 PE</t>
        </is>
      </c>
      <c r="R36" s="17" t="inlineStr">
        <is>
          <t>57400 PE</t>
        </is>
      </c>
      <c r="S36" s="17" t="n">
        <v>19</v>
      </c>
      <c r="T36" s="17" t="n">
        <v>30</v>
      </c>
      <c r="U36" s="17" t="n">
        <v>570</v>
      </c>
      <c r="V36" s="17" t="n">
        <v>82.5</v>
      </c>
      <c r="W36" s="17" t="n">
        <v>107.25</v>
      </c>
      <c r="X36" s="17" t="n">
        <v>47025</v>
      </c>
      <c r="Y36" s="17" t="n">
        <v>47079.6</v>
      </c>
      <c r="Z36" s="17" t="n">
        <v>66975</v>
      </c>
      <c r="AA36" s="17" t="n">
        <v>14107.5</v>
      </c>
      <c r="AB36" s="17" t="n">
        <v>14107.5</v>
      </c>
      <c r="AC36" s="17" t="n">
        <v>14107.5</v>
      </c>
      <c r="AD36" s="17" t="n">
        <v>30</v>
      </c>
      <c r="AE36" s="17" t="n">
        <v>40</v>
      </c>
      <c r="AF36" s="17" t="n">
        <v>5.88</v>
      </c>
      <c r="AG36" s="17" t="n">
        <v>0.09</v>
      </c>
      <c r="AH36" s="17" t="n">
        <v>1.41</v>
      </c>
      <c r="AI36" s="17" t="n">
        <v>7.22</v>
      </c>
      <c r="AJ36" s="17" t="n">
        <v>54.6</v>
      </c>
      <c r="AK36" s="17" t="n">
        <v>14052.9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2026-07-01</t>
        </is>
      </c>
      <c r="B37" s="17" t="inlineStr">
        <is>
          <t>BANKNIFTY</t>
        </is>
      </c>
      <c r="C37" s="17" t="inlineStr">
        <is>
          <t>Both Spreads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SKIP</t>
        </is>
      </c>
      <c r="G37" s="17" t="inlineStr">
        <is>
          <t>Conflicting — Price:BEARISH EMA:BULLISH</t>
        </is>
      </c>
      <c r="H37" s="17" t="n">
        <v>57509.03</v>
      </c>
      <c r="I37" s="17" t="n">
        <v>56291.5</v>
      </c>
      <c r="J37" s="17" t="inlineStr">
        <is>
          <t>2026-07-30</t>
        </is>
      </c>
      <c r="K37" s="17" t="inlineStr">
        <is>
          <t>MONTHLY</t>
        </is>
      </c>
      <c r="L37" s="17" t="n">
        <v>30</v>
      </c>
      <c r="M37" s="17" t="inlineStr">
        <is>
          <t>09:20 IST</t>
        </is>
      </c>
      <c r="N37" s="17" t="inlineStr">
        <is>
          <t>09:58 IST</t>
        </is>
      </c>
      <c r="O37" s="17" t="n">
        <v>57727.35</v>
      </c>
      <c r="P37" s="17" t="n">
        <v>58177.05</v>
      </c>
      <c r="Q37" s="17" t="inlineStr">
        <is>
          <t>57600 CE</t>
        </is>
      </c>
      <c r="R37" s="17" t="inlineStr">
        <is>
          <t>57800 CE</t>
        </is>
      </c>
      <c r="S37" s="17" t="n">
        <v>18</v>
      </c>
      <c r="T37" s="17" t="n">
        <v>30</v>
      </c>
      <c r="U37" s="17" t="n">
        <v>540</v>
      </c>
      <c r="V37" s="17" t="n">
        <v>88.36</v>
      </c>
      <c r="W37" s="17" t="n">
        <v>114.87</v>
      </c>
      <c r="X37" s="17" t="n">
        <v>47714.4</v>
      </c>
      <c r="Y37" s="17" t="n">
        <v>47769.11</v>
      </c>
      <c r="Z37" s="17" t="n">
        <v>60285.6</v>
      </c>
      <c r="AA37" s="17" t="n">
        <v>14314.32</v>
      </c>
      <c r="AB37" s="17" t="n">
        <v>14314.32</v>
      </c>
      <c r="AC37" s="17" t="n">
        <v>14315.4</v>
      </c>
      <c r="AD37" s="17" t="n">
        <v>30</v>
      </c>
      <c r="AE37" s="17" t="n">
        <v>40</v>
      </c>
      <c r="AF37" s="17" t="n">
        <v>5.96</v>
      </c>
      <c r="AG37" s="17" t="n">
        <v>0.1</v>
      </c>
      <c r="AH37" s="17" t="n">
        <v>1.43</v>
      </c>
      <c r="AI37" s="17" t="n">
        <v>7.22</v>
      </c>
      <c r="AJ37" s="17" t="n">
        <v>54.71</v>
      </c>
      <c r="AK37" s="17" t="n">
        <v>14260.69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2026-07-01</t>
        </is>
      </c>
      <c r="B38" s="16" t="inlineStr">
        <is>
          <t>BANKNIFTY</t>
        </is>
      </c>
      <c r="C38" s="16" t="inlineStr">
        <is>
          <t>Both Spreads</t>
        </is>
      </c>
      <c r="D38" s="16" t="inlineStr">
        <is>
          <t>Bear Put Spread</t>
        </is>
      </c>
      <c r="E38" s="16" t="inlineStr">
        <is>
          <t>SIMULATED</t>
        </is>
      </c>
      <c r="F38" s="16" t="inlineStr">
        <is>
          <t>SKIP</t>
        </is>
      </c>
      <c r="G38" s="16" t="inlineStr">
        <is>
          <t>Conflicting — Price:BEARISH EMA:BULLISH</t>
        </is>
      </c>
      <c r="H38" s="16" t="n">
        <v>57509.03</v>
      </c>
      <c r="I38" s="16" t="n">
        <v>56291.5</v>
      </c>
      <c r="J38" s="16" t="inlineStr">
        <is>
          <t>2026-07-30</t>
        </is>
      </c>
      <c r="K38" s="16" t="inlineStr">
        <is>
          <t>MONTHLY</t>
        </is>
      </c>
      <c r="L38" s="16" t="n">
        <v>30</v>
      </c>
      <c r="M38" s="16" t="inlineStr">
        <is>
          <t>09:20 IST</t>
        </is>
      </c>
      <c r="N38" s="16" t="inlineStr">
        <is>
          <t>13:58 IST</t>
        </is>
      </c>
      <c r="O38" s="16" t="n">
        <v>57727.35</v>
      </c>
      <c r="P38" s="16" t="n">
        <v>58177.05</v>
      </c>
      <c r="Q38" s="16" t="inlineStr">
        <is>
          <t>57800 PE</t>
        </is>
      </c>
      <c r="R38" s="16" t="inlineStr">
        <is>
          <t>57600 PE</t>
        </is>
      </c>
      <c r="S38" s="16" t="n">
        <v>16</v>
      </c>
      <c r="T38" s="16" t="n">
        <v>30</v>
      </c>
      <c r="U38" s="16" t="n">
        <v>480</v>
      </c>
      <c r="V38" s="16" t="n">
        <v>99.93000000000001</v>
      </c>
      <c r="W38" s="16" t="n">
        <v>104.91</v>
      </c>
      <c r="X38" s="16" t="n">
        <v>47966.4</v>
      </c>
      <c r="Y38" s="16" t="n">
        <v>48021.15</v>
      </c>
      <c r="Z38" s="16" t="n">
        <v>48033.6</v>
      </c>
      <c r="AA38" s="16" t="n">
        <v>14389.92</v>
      </c>
      <c r="AB38" s="16" t="n">
        <v>14389.92</v>
      </c>
      <c r="AC38" s="16" t="n">
        <v>2390.4</v>
      </c>
      <c r="AD38" s="16" t="n">
        <v>5</v>
      </c>
      <c r="AE38" s="16" t="n">
        <v>40</v>
      </c>
      <c r="AF38" s="16" t="n">
        <v>6</v>
      </c>
      <c r="AG38" s="16" t="n">
        <v>0.1</v>
      </c>
      <c r="AH38" s="16" t="n">
        <v>1.44</v>
      </c>
      <c r="AI38" s="16" t="n">
        <v>7.22</v>
      </c>
      <c r="AJ38" s="16" t="n">
        <v>54.75</v>
      </c>
      <c r="AK38" s="16" t="n">
        <v>2335.65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BANKNIFTY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Price↑(58033.05&gt;57542.9) &amp; EMA9↑(57620.33&gt;56533.78)</t>
        </is>
      </c>
      <c r="H39" s="17" t="n">
        <v>57620.33</v>
      </c>
      <c r="I39" s="17" t="n">
        <v>56533.78</v>
      </c>
      <c r="J39" s="17" t="inlineStr">
        <is>
          <t>2026-07-30</t>
        </is>
      </c>
      <c r="K39" s="17" t="inlineStr">
        <is>
          <t>MONTHLY</t>
        </is>
      </c>
      <c r="L39" s="17" t="n">
        <v>29</v>
      </c>
      <c r="M39" s="17" t="inlineStr">
        <is>
          <t>09:20 IST</t>
        </is>
      </c>
      <c r="N39" s="17" t="inlineStr">
        <is>
          <t>10:22 IST</t>
        </is>
      </c>
      <c r="O39" s="17" t="n">
        <v>58033.05</v>
      </c>
      <c r="P39" s="17" t="n">
        <v>57542.9</v>
      </c>
      <c r="Q39" s="17" t="inlineStr">
        <is>
          <t>58000 CE</t>
        </is>
      </c>
      <c r="R39" s="17" t="inlineStr">
        <is>
          <t>58200 CE</t>
        </is>
      </c>
      <c r="S39" s="17" t="n">
        <v>20</v>
      </c>
      <c r="T39" s="17" t="n">
        <v>30</v>
      </c>
      <c r="U39" s="17" t="n">
        <v>600</v>
      </c>
      <c r="V39" s="17" t="n">
        <v>80.86</v>
      </c>
      <c r="W39" s="17" t="n">
        <v>105.12</v>
      </c>
      <c r="X39" s="17" t="n">
        <v>48516</v>
      </c>
      <c r="Y39" s="17" t="n">
        <v>48570.83</v>
      </c>
      <c r="Z39" s="17" t="n">
        <v>71484</v>
      </c>
      <c r="AA39" s="17" t="n">
        <v>14554.8</v>
      </c>
      <c r="AB39" s="17" t="n">
        <v>14554.8</v>
      </c>
      <c r="AC39" s="17" t="n">
        <v>14556</v>
      </c>
      <c r="AD39" s="17" t="n">
        <v>30</v>
      </c>
      <c r="AE39" s="17" t="n">
        <v>40</v>
      </c>
      <c r="AF39" s="17" t="n">
        <v>6.06</v>
      </c>
      <c r="AG39" s="17" t="n">
        <v>0.1</v>
      </c>
      <c r="AH39" s="17" t="n">
        <v>1.46</v>
      </c>
      <c r="AI39" s="17" t="n">
        <v>7.22</v>
      </c>
      <c r="AJ39" s="17" t="n">
        <v>54.83</v>
      </c>
      <c r="AK39" s="17" t="n">
        <v>14501.17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2026-07-01</t>
        </is>
      </c>
      <c r="B40" s="15" t="inlineStr">
        <is>
          <t>BANKNIFTY</t>
        </is>
      </c>
      <c r="C40" s="15" t="inlineStr">
        <is>
          <t>Both Spreads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BULLISH</t>
        </is>
      </c>
      <c r="G40" s="15" t="inlineStr">
        <is>
          <t>Price↑(58033.05&gt;57542.9) &amp; EMA9↑(57620.33&gt;56533.78)</t>
        </is>
      </c>
      <c r="H40" s="15" t="n">
        <v>57620.33</v>
      </c>
      <c r="I40" s="15" t="n">
        <v>56533.78</v>
      </c>
      <c r="J40" s="15" t="inlineStr">
        <is>
          <t>2026-07-30</t>
        </is>
      </c>
      <c r="K40" s="15" t="inlineStr">
        <is>
          <t>MONTHLY</t>
        </is>
      </c>
      <c r="L40" s="15" t="n">
        <v>29</v>
      </c>
      <c r="M40" s="15" t="inlineStr">
        <is>
          <t>09:20 IST</t>
        </is>
      </c>
      <c r="N40" s="15" t="inlineStr">
        <is>
          <t>10:19 IST</t>
        </is>
      </c>
      <c r="O40" s="15" t="n">
        <v>58033.05</v>
      </c>
      <c r="P40" s="15" t="n">
        <v>57542.9</v>
      </c>
      <c r="Q40" s="15" t="inlineStr">
        <is>
          <t>58200 PE</t>
        </is>
      </c>
      <c r="R40" s="15" t="inlineStr">
        <is>
          <t>58000 PE</t>
        </is>
      </c>
      <c r="S40" s="15" t="n">
        <v>19</v>
      </c>
      <c r="T40" s="15" t="n">
        <v>30</v>
      </c>
      <c r="U40" s="15" t="n">
        <v>570</v>
      </c>
      <c r="V40" s="15" t="n">
        <v>82.59999999999999</v>
      </c>
      <c r="W40" s="15" t="n">
        <v>57.82</v>
      </c>
      <c r="X40" s="15" t="n">
        <v>47082</v>
      </c>
      <c r="Y40" s="15" t="n">
        <v>47136.61</v>
      </c>
      <c r="Z40" s="15" t="n">
        <v>66918</v>
      </c>
      <c r="AA40" s="15" t="n">
        <v>14124.6</v>
      </c>
      <c r="AB40" s="15" t="n">
        <v>14124.6</v>
      </c>
      <c r="AC40" s="15" t="n">
        <v>-14124.6</v>
      </c>
      <c r="AD40" s="15" t="n">
        <v>-30</v>
      </c>
      <c r="AE40" s="15" t="n">
        <v>40</v>
      </c>
      <c r="AF40" s="15" t="n">
        <v>5.89</v>
      </c>
      <c r="AG40" s="15" t="n">
        <v>0.09</v>
      </c>
      <c r="AH40" s="15" t="n">
        <v>1.41</v>
      </c>
      <c r="AI40" s="15" t="n">
        <v>7.22</v>
      </c>
      <c r="AJ40" s="15" t="n">
        <v>54.61</v>
      </c>
      <c r="AK40" s="15" t="n">
        <v>-14179.21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2026-07-02</t>
        </is>
      </c>
      <c r="B41" s="17" t="inlineStr">
        <is>
          <t>BANKNIFTY</t>
        </is>
      </c>
      <c r="C41" s="17" t="inlineStr">
        <is>
          <t>Both Spreads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57517.14</v>
      </c>
      <c r="I41" s="17" t="n">
        <v>56383.85</v>
      </c>
      <c r="J41" s="17" t="inlineStr">
        <is>
          <t>2026-07-30</t>
        </is>
      </c>
      <c r="K41" s="17" t="inlineStr">
        <is>
          <t>MONTHLY</t>
        </is>
      </c>
      <c r="L41" s="17" t="n">
        <v>29</v>
      </c>
      <c r="M41" s="17" t="inlineStr">
        <is>
          <t>09:20 IST</t>
        </is>
      </c>
      <c r="N41" s="17" t="inlineStr">
        <is>
          <t>11:42 IST</t>
        </is>
      </c>
      <c r="O41" s="17" t="n">
        <v>57542.9</v>
      </c>
      <c r="P41" s="17" t="n">
        <v>57727.35</v>
      </c>
      <c r="Q41" s="17" t="inlineStr">
        <is>
          <t>57400 CE</t>
        </is>
      </c>
      <c r="R41" s="17" t="inlineStr">
        <is>
          <t>57600 CE</t>
        </is>
      </c>
      <c r="S41" s="17" t="n">
        <v>19</v>
      </c>
      <c r="T41" s="17" t="n">
        <v>30</v>
      </c>
      <c r="U41" s="17" t="n">
        <v>570</v>
      </c>
      <c r="V41" s="17" t="n">
        <v>83.75</v>
      </c>
      <c r="W41" s="17" t="n">
        <v>108.88</v>
      </c>
      <c r="X41" s="17" t="n">
        <v>47737.5</v>
      </c>
      <c r="Y41" s="17" t="n">
        <v>47792.21</v>
      </c>
      <c r="Z41" s="17" t="n">
        <v>66262.5</v>
      </c>
      <c r="AA41" s="17" t="n">
        <v>14321.25</v>
      </c>
      <c r="AB41" s="17" t="n">
        <v>14321.25</v>
      </c>
      <c r="AC41" s="17" t="n">
        <v>14324.1</v>
      </c>
      <c r="AD41" s="17" t="n">
        <v>30</v>
      </c>
      <c r="AE41" s="17" t="n">
        <v>40</v>
      </c>
      <c r="AF41" s="17" t="n">
        <v>5.97</v>
      </c>
      <c r="AG41" s="17" t="n">
        <v>0.1</v>
      </c>
      <c r="AH41" s="17" t="n">
        <v>1.43</v>
      </c>
      <c r="AI41" s="17" t="n">
        <v>7.22</v>
      </c>
      <c r="AJ41" s="17" t="n">
        <v>54.71</v>
      </c>
      <c r="AK41" s="17" t="n">
        <v>14269.39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2026-07-02</t>
        </is>
      </c>
      <c r="B42" s="17" t="inlineStr">
        <is>
          <t>BANKNIFTY</t>
        </is>
      </c>
      <c r="C42" s="17" t="inlineStr">
        <is>
          <t>Both Spreads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57517.14</v>
      </c>
      <c r="I42" s="17" t="n">
        <v>56383.85</v>
      </c>
      <c r="J42" s="17" t="inlineStr">
        <is>
          <t>2026-07-30</t>
        </is>
      </c>
      <c r="K42" s="17" t="inlineStr">
        <is>
          <t>MONTHLY</t>
        </is>
      </c>
      <c r="L42" s="17" t="n">
        <v>29</v>
      </c>
      <c r="M42" s="17" t="inlineStr">
        <is>
          <t>09:20 IST</t>
        </is>
      </c>
      <c r="N42" s="17" t="inlineStr">
        <is>
          <t>12:11 IST</t>
        </is>
      </c>
      <c r="O42" s="17" t="n">
        <v>57542.9</v>
      </c>
      <c r="P42" s="17" t="n">
        <v>57727.35</v>
      </c>
      <c r="Q42" s="17" t="inlineStr">
        <is>
          <t>57600 PE</t>
        </is>
      </c>
      <c r="R42" s="17" t="inlineStr">
        <is>
          <t>57400 PE</t>
        </is>
      </c>
      <c r="S42" s="17" t="n">
        <v>15</v>
      </c>
      <c r="T42" s="17" t="n">
        <v>30</v>
      </c>
      <c r="U42" s="17" t="n">
        <v>450</v>
      </c>
      <c r="V42" s="17" t="n">
        <v>108.57</v>
      </c>
      <c r="W42" s="17" t="n">
        <v>141.14</v>
      </c>
      <c r="X42" s="17" t="n">
        <v>48856.5</v>
      </c>
      <c r="Y42" s="17" t="n">
        <v>48911.39</v>
      </c>
      <c r="Z42" s="17" t="n">
        <v>41143.5</v>
      </c>
      <c r="AA42" s="17" t="n">
        <v>14656.95</v>
      </c>
      <c r="AB42" s="17" t="n">
        <v>14656.95</v>
      </c>
      <c r="AC42" s="17" t="n">
        <v>14656.5</v>
      </c>
      <c r="AD42" s="17" t="n">
        <v>30</v>
      </c>
      <c r="AE42" s="17" t="n">
        <v>40</v>
      </c>
      <c r="AF42" s="17" t="n">
        <v>6.11</v>
      </c>
      <c r="AG42" s="17" t="n">
        <v>0.1</v>
      </c>
      <c r="AH42" s="17" t="n">
        <v>1.47</v>
      </c>
      <c r="AI42" s="17" t="n">
        <v>7.22</v>
      </c>
      <c r="AJ42" s="17" t="n">
        <v>54.89</v>
      </c>
      <c r="AK42" s="17" t="n">
        <v>14601.61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BANKNIFTY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57703.9</v>
      </c>
      <c r="I43" s="17" t="n">
        <v>56657.09</v>
      </c>
      <c r="J43" s="17" t="inlineStr">
        <is>
          <t>2026-07-30</t>
        </is>
      </c>
      <c r="K43" s="17" t="inlineStr">
        <is>
          <t>MONTHLY</t>
        </is>
      </c>
      <c r="L43" s="17" t="n">
        <v>28</v>
      </c>
      <c r="M43" s="17" t="inlineStr">
        <is>
          <t>09:20 IST</t>
        </is>
      </c>
      <c r="N43" s="17" t="inlineStr">
        <is>
          <t>11:17 IST</t>
        </is>
      </c>
      <c r="O43" s="17" t="n">
        <v>58031.65</v>
      </c>
      <c r="P43" s="17" t="n">
        <v>58033.05</v>
      </c>
      <c r="Q43" s="17" t="inlineStr">
        <is>
          <t>58000 CE</t>
        </is>
      </c>
      <c r="R43" s="17" t="inlineStr">
        <is>
          <t>58200 CE</t>
        </is>
      </c>
      <c r="S43" s="17" t="n">
        <v>17</v>
      </c>
      <c r="T43" s="17" t="n">
        <v>30</v>
      </c>
      <c r="U43" s="17" t="n">
        <v>510</v>
      </c>
      <c r="V43" s="17" t="n">
        <v>96.17</v>
      </c>
      <c r="W43" s="17" t="n">
        <v>125.02</v>
      </c>
      <c r="X43" s="17" t="n">
        <v>49046.7</v>
      </c>
      <c r="Y43" s="17" t="n">
        <v>49101.62</v>
      </c>
      <c r="Z43" s="17" t="n">
        <v>52953.3</v>
      </c>
      <c r="AA43" s="17" t="n">
        <v>14714.01</v>
      </c>
      <c r="AB43" s="17" t="n">
        <v>14714.01</v>
      </c>
      <c r="AC43" s="17" t="n">
        <v>14713.5</v>
      </c>
      <c r="AD43" s="17" t="n">
        <v>30</v>
      </c>
      <c r="AE43" s="17" t="n">
        <v>40</v>
      </c>
      <c r="AF43" s="17" t="n">
        <v>6.13</v>
      </c>
      <c r="AG43" s="17" t="n">
        <v>0.1</v>
      </c>
      <c r="AH43" s="17" t="n">
        <v>1.47</v>
      </c>
      <c r="AI43" s="17" t="n">
        <v>7.22</v>
      </c>
      <c r="AJ43" s="17" t="n">
        <v>54.92</v>
      </c>
      <c r="AK43" s="17" t="n">
        <v>14658.58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BANKNIFTY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57703.9</v>
      </c>
      <c r="I44" s="16" t="n">
        <v>56657.09</v>
      </c>
      <c r="J44" s="16" t="inlineStr">
        <is>
          <t>2026-07-30</t>
        </is>
      </c>
      <c r="K44" s="16" t="inlineStr">
        <is>
          <t>MONTHLY</t>
        </is>
      </c>
      <c r="L44" s="16" t="n">
        <v>28</v>
      </c>
      <c r="M44" s="16" t="inlineStr">
        <is>
          <t>09:20 IST</t>
        </is>
      </c>
      <c r="N44" s="16" t="inlineStr">
        <is>
          <t>14:30 IST</t>
        </is>
      </c>
      <c r="O44" s="16" t="n">
        <v>58031.65</v>
      </c>
      <c r="P44" s="16" t="n">
        <v>58033.05</v>
      </c>
      <c r="Q44" s="16" t="inlineStr">
        <is>
          <t>58200 PE</t>
        </is>
      </c>
      <c r="R44" s="16" t="inlineStr">
        <is>
          <t>58000 PE</t>
        </is>
      </c>
      <c r="S44" s="16" t="n">
        <v>15</v>
      </c>
      <c r="T44" s="16" t="n">
        <v>30</v>
      </c>
      <c r="U44" s="16" t="n">
        <v>450</v>
      </c>
      <c r="V44" s="16" t="n">
        <v>109.32</v>
      </c>
      <c r="W44" s="16" t="n">
        <v>114.17</v>
      </c>
      <c r="X44" s="16" t="n">
        <v>49194</v>
      </c>
      <c r="Y44" s="16" t="n">
        <v>49248.94</v>
      </c>
      <c r="Z44" s="16" t="n">
        <v>40806</v>
      </c>
      <c r="AA44" s="16" t="n">
        <v>14758.2</v>
      </c>
      <c r="AB44" s="16" t="n">
        <v>14758.2</v>
      </c>
      <c r="AC44" s="16" t="n">
        <v>2182.5</v>
      </c>
      <c r="AD44" s="16" t="n">
        <v>4.4</v>
      </c>
      <c r="AE44" s="16" t="n">
        <v>40</v>
      </c>
      <c r="AF44" s="16" t="n">
        <v>6.15</v>
      </c>
      <c r="AG44" s="16" t="n">
        <v>0.1</v>
      </c>
      <c r="AH44" s="16" t="n">
        <v>1.48</v>
      </c>
      <c r="AI44" s="16" t="n">
        <v>7.22</v>
      </c>
      <c r="AJ44" s="16" t="n">
        <v>54.94</v>
      </c>
      <c r="AK44" s="16" t="n">
        <v>2127.56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BANKNIFTY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Price↑(58033.05&gt;57542.9) &amp; EMA9↑(57621.96&gt;56519.64)</t>
        </is>
      </c>
      <c r="H45" s="17" t="n">
        <v>57621.96</v>
      </c>
      <c r="I45" s="17" t="n">
        <v>56519.64</v>
      </c>
      <c r="J45" s="17" t="inlineStr">
        <is>
          <t>2026-07-30</t>
        </is>
      </c>
      <c r="K45" s="17" t="inlineStr">
        <is>
          <t>MONTHLY</t>
        </is>
      </c>
      <c r="L45" s="17" t="n">
        <v>28</v>
      </c>
      <c r="M45" s="17" t="inlineStr">
        <is>
          <t>09:20 IST</t>
        </is>
      </c>
      <c r="N45" s="17" t="inlineStr">
        <is>
          <t>11:24 IST</t>
        </is>
      </c>
      <c r="O45" s="17" t="n">
        <v>58033.05</v>
      </c>
      <c r="P45" s="17" t="n">
        <v>57542.9</v>
      </c>
      <c r="Q45" s="17" t="inlineStr">
        <is>
          <t>58000 CE</t>
        </is>
      </c>
      <c r="R45" s="17" t="inlineStr">
        <is>
          <t>58200 CE</t>
        </is>
      </c>
      <c r="S45" s="17" t="n">
        <v>17</v>
      </c>
      <c r="T45" s="17" t="n">
        <v>30</v>
      </c>
      <c r="U45" s="17" t="n">
        <v>510</v>
      </c>
      <c r="V45" s="17" t="n">
        <v>91.59</v>
      </c>
      <c r="W45" s="17" t="n">
        <v>119.07</v>
      </c>
      <c r="X45" s="17" t="n">
        <v>46710.9</v>
      </c>
      <c r="Y45" s="17" t="n">
        <v>46765.45</v>
      </c>
      <c r="Z45" s="17" t="n">
        <v>55289.1</v>
      </c>
      <c r="AA45" s="17" t="n">
        <v>14013.27</v>
      </c>
      <c r="AB45" s="17" t="n">
        <v>14013.27</v>
      </c>
      <c r="AC45" s="17" t="n">
        <v>14014.8</v>
      </c>
      <c r="AD45" s="17" t="n">
        <v>30</v>
      </c>
      <c r="AE45" s="17" t="n">
        <v>40</v>
      </c>
      <c r="AF45" s="17" t="n">
        <v>5.84</v>
      </c>
      <c r="AG45" s="17" t="n">
        <v>0.09</v>
      </c>
      <c r="AH45" s="17" t="n">
        <v>1.4</v>
      </c>
      <c r="AI45" s="17" t="n">
        <v>7.22</v>
      </c>
      <c r="AJ45" s="17" t="n">
        <v>54.55</v>
      </c>
      <c r="AK45" s="17" t="n">
        <v>13960.25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2026-07-03</t>
        </is>
      </c>
      <c r="B46" s="17" t="inlineStr">
        <is>
          <t>BANKNIFTY</t>
        </is>
      </c>
      <c r="C46" s="17" t="inlineStr">
        <is>
          <t>Both Spreads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Price↑(58033.05&gt;57542.9) &amp; EMA9↑(57621.96&gt;56519.64)</t>
        </is>
      </c>
      <c r="H46" s="17" t="n">
        <v>57621.96</v>
      </c>
      <c r="I46" s="17" t="n">
        <v>56519.64</v>
      </c>
      <c r="J46" s="17" t="inlineStr">
        <is>
          <t>2026-07-30</t>
        </is>
      </c>
      <c r="K46" s="17" t="inlineStr">
        <is>
          <t>MONTHLY</t>
        </is>
      </c>
      <c r="L46" s="17" t="n">
        <v>28</v>
      </c>
      <c r="M46" s="17" t="inlineStr">
        <is>
          <t>09:20 IST</t>
        </is>
      </c>
      <c r="N46" s="17" t="inlineStr">
        <is>
          <t>12:16 IST</t>
        </is>
      </c>
      <c r="O46" s="17" t="n">
        <v>58033.05</v>
      </c>
      <c r="P46" s="17" t="n">
        <v>57542.9</v>
      </c>
      <c r="Q46" s="17" t="inlineStr">
        <is>
          <t>58200 PE</t>
        </is>
      </c>
      <c r="R46" s="17" t="inlineStr">
        <is>
          <t>58000 PE</t>
        </is>
      </c>
      <c r="S46" s="17" t="n">
        <v>15</v>
      </c>
      <c r="T46" s="17" t="n">
        <v>30</v>
      </c>
      <c r="U46" s="17" t="n">
        <v>450</v>
      </c>
      <c r="V46" s="17" t="n">
        <v>105.7</v>
      </c>
      <c r="W46" s="17" t="n">
        <v>137.41</v>
      </c>
      <c r="X46" s="17" t="n">
        <v>47565</v>
      </c>
      <c r="Y46" s="17" t="n">
        <v>47619.68</v>
      </c>
      <c r="Z46" s="17" t="n">
        <v>42435</v>
      </c>
      <c r="AA46" s="17" t="n">
        <v>14269.5</v>
      </c>
      <c r="AB46" s="17" t="n">
        <v>14269.5</v>
      </c>
      <c r="AC46" s="17" t="n">
        <v>14269.5</v>
      </c>
      <c r="AD46" s="17" t="n">
        <v>30</v>
      </c>
      <c r="AE46" s="17" t="n">
        <v>40</v>
      </c>
      <c r="AF46" s="17" t="n">
        <v>5.95</v>
      </c>
      <c r="AG46" s="17" t="n">
        <v>0.1</v>
      </c>
      <c r="AH46" s="17" t="n">
        <v>1.43</v>
      </c>
      <c r="AI46" s="17" t="n">
        <v>7.22</v>
      </c>
      <c r="AJ46" s="17" t="n">
        <v>54.68</v>
      </c>
      <c r="AK46" s="17" t="n">
        <v>14214.82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2026-07-03</t>
        </is>
      </c>
      <c r="B47" s="16" t="inlineStr">
        <is>
          <t>BANKNIFTY</t>
        </is>
      </c>
      <c r="C47" s="16" t="inlineStr">
        <is>
          <t>Both Spreads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57751.18</v>
      </c>
      <c r="I47" s="16" t="n">
        <v>56772.37</v>
      </c>
      <c r="J47" s="16" t="inlineStr">
        <is>
          <t>2026-07-30</t>
        </is>
      </c>
      <c r="K47" s="16" t="inlineStr">
        <is>
          <t>MONTHLY</t>
        </is>
      </c>
      <c r="L47" s="16" t="n">
        <v>27</v>
      </c>
      <c r="M47" s="16" t="inlineStr">
        <is>
          <t>09:20 IST</t>
        </is>
      </c>
      <c r="N47" s="16" t="inlineStr">
        <is>
          <t>13:44 IST</t>
        </is>
      </c>
      <c r="O47" s="16" t="n">
        <v>57938.5</v>
      </c>
      <c r="P47" s="16" t="n">
        <v>58031.65</v>
      </c>
      <c r="Q47" s="16" t="inlineStr">
        <is>
          <t>57800 CE</t>
        </is>
      </c>
      <c r="R47" s="16" t="inlineStr">
        <is>
          <t>58000 CE</t>
        </is>
      </c>
      <c r="S47" s="16" t="n">
        <v>15</v>
      </c>
      <c r="T47" s="16" t="n">
        <v>30</v>
      </c>
      <c r="U47" s="16" t="n">
        <v>450</v>
      </c>
      <c r="V47" s="16" t="n">
        <v>106.78</v>
      </c>
      <c r="W47" s="16" t="n">
        <v>105.54</v>
      </c>
      <c r="X47" s="16" t="n">
        <v>48051</v>
      </c>
      <c r="Y47" s="16" t="n">
        <v>48105.76</v>
      </c>
      <c r="Z47" s="16" t="n">
        <v>41949</v>
      </c>
      <c r="AA47" s="16" t="n">
        <v>14415.3</v>
      </c>
      <c r="AB47" s="16" t="n">
        <v>14415.3</v>
      </c>
      <c r="AC47" s="16" t="n">
        <v>-558</v>
      </c>
      <c r="AD47" s="16" t="n">
        <v>-1.2</v>
      </c>
      <c r="AE47" s="16" t="n">
        <v>40</v>
      </c>
      <c r="AF47" s="16" t="n">
        <v>6.01</v>
      </c>
      <c r="AG47" s="16" t="n">
        <v>0.1</v>
      </c>
      <c r="AH47" s="16" t="n">
        <v>1.44</v>
      </c>
      <c r="AI47" s="16" t="n">
        <v>7.22</v>
      </c>
      <c r="AJ47" s="16" t="n">
        <v>54.76</v>
      </c>
      <c r="AK47" s="16" t="n">
        <v>-612.76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BANKNIFTY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57751.18</v>
      </c>
      <c r="I48" s="15" t="n">
        <v>56772.37</v>
      </c>
      <c r="J48" s="15" t="inlineStr">
        <is>
          <t>2026-07-30</t>
        </is>
      </c>
      <c r="K48" s="15" t="inlineStr">
        <is>
          <t>MONTHLY</t>
        </is>
      </c>
      <c r="L48" s="15" t="n">
        <v>27</v>
      </c>
      <c r="M48" s="15" t="inlineStr">
        <is>
          <t>09:20 IST</t>
        </is>
      </c>
      <c r="N48" s="15" t="inlineStr">
        <is>
          <t>09:30 IST</t>
        </is>
      </c>
      <c r="O48" s="15" t="n">
        <v>57938.5</v>
      </c>
      <c r="P48" s="15" t="n">
        <v>58031.65</v>
      </c>
      <c r="Q48" s="15" t="inlineStr">
        <is>
          <t>58000 PE</t>
        </is>
      </c>
      <c r="R48" s="15" t="inlineStr">
        <is>
          <t>57800 PE</t>
        </is>
      </c>
      <c r="S48" s="15" t="n">
        <v>15</v>
      </c>
      <c r="T48" s="15" t="n">
        <v>30</v>
      </c>
      <c r="U48" s="15" t="n">
        <v>450</v>
      </c>
      <c r="V48" s="15" t="n">
        <v>106.22</v>
      </c>
      <c r="W48" s="15" t="n">
        <v>74.34999999999999</v>
      </c>
      <c r="X48" s="15" t="n">
        <v>47799</v>
      </c>
      <c r="Y48" s="15" t="n">
        <v>47853.72</v>
      </c>
      <c r="Z48" s="15" t="n">
        <v>42201</v>
      </c>
      <c r="AA48" s="15" t="n">
        <v>14339.7</v>
      </c>
      <c r="AB48" s="15" t="n">
        <v>14339.7</v>
      </c>
      <c r="AC48" s="15" t="n">
        <v>-14341.5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-14396.22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6" t="inlineStr">
        <is>
          <t>2026-07-04</t>
        </is>
      </c>
      <c r="B49" s="16" t="inlineStr">
        <is>
          <t>BANKNIFTY</t>
        </is>
      </c>
      <c r="C49" s="16" t="inlineStr">
        <is>
          <t>Both Spreads</t>
        </is>
      </c>
      <c r="D49" s="16" t="inlineStr">
        <is>
          <t>Bull Call Spread</t>
        </is>
      </c>
      <c r="E49" s="16" t="inlineStr">
        <is>
          <t>SIMULATED</t>
        </is>
      </c>
      <c r="F49" s="16" t="inlineStr">
        <is>
          <t>SKIP</t>
        </is>
      </c>
      <c r="G49" s="16" t="inlineStr">
        <is>
          <t>Conflicting — Price:BEARISH EMA:BULLISH</t>
        </is>
      </c>
      <c r="H49" s="16" t="n">
        <v>57704.35</v>
      </c>
      <c r="I49" s="16" t="n">
        <v>56655.75</v>
      </c>
      <c r="J49" s="16" t="inlineStr">
        <is>
          <t>2026-07-30</t>
        </is>
      </c>
      <c r="K49" s="16" t="inlineStr">
        <is>
          <t>MONTHLY</t>
        </is>
      </c>
      <c r="L49" s="16" t="n">
        <v>27</v>
      </c>
      <c r="M49" s="16" t="inlineStr">
        <is>
          <t>09:20 IST</t>
        </is>
      </c>
      <c r="N49" s="16" t="inlineStr">
        <is>
          <t>13:50 IST</t>
        </is>
      </c>
      <c r="O49" s="16" t="n">
        <v>58031.65</v>
      </c>
      <c r="P49" s="16" t="n">
        <v>58033.05</v>
      </c>
      <c r="Q49" s="16" t="inlineStr">
        <is>
          <t>58000 CE</t>
        </is>
      </c>
      <c r="R49" s="16" t="inlineStr">
        <is>
          <t>58200 CE</t>
        </is>
      </c>
      <c r="S49" s="16" t="n">
        <v>20</v>
      </c>
      <c r="T49" s="16" t="n">
        <v>30</v>
      </c>
      <c r="U49" s="16" t="n">
        <v>600</v>
      </c>
      <c r="V49" s="16" t="n">
        <v>80.47</v>
      </c>
      <c r="W49" s="16" t="n">
        <v>81.64</v>
      </c>
      <c r="X49" s="16" t="n">
        <v>48282</v>
      </c>
      <c r="Y49" s="16" t="n">
        <v>48336.8</v>
      </c>
      <c r="Z49" s="16" t="n">
        <v>71718</v>
      </c>
      <c r="AA49" s="16" t="n">
        <v>14484.6</v>
      </c>
      <c r="AB49" s="16" t="n">
        <v>14484.6</v>
      </c>
      <c r="AC49" s="16" t="n">
        <v>702</v>
      </c>
      <c r="AD49" s="16" t="n">
        <v>1.5</v>
      </c>
      <c r="AE49" s="16" t="n">
        <v>40</v>
      </c>
      <c r="AF49" s="16" t="n">
        <v>6.04</v>
      </c>
      <c r="AG49" s="16" t="n">
        <v>0.1</v>
      </c>
      <c r="AH49" s="16" t="n">
        <v>1.45</v>
      </c>
      <c r="AI49" s="16" t="n">
        <v>7.22</v>
      </c>
      <c r="AJ49" s="16" t="n">
        <v>54.8</v>
      </c>
      <c r="AK49" s="16" t="n">
        <v>647.2</v>
      </c>
      <c r="AL49" s="16" t="inlineStr">
        <is>
          <t>FLAT</t>
        </is>
      </c>
      <c r="AM49" s="16" t="n">
        <v>50000</v>
      </c>
      <c r="AN49" s="16" t="inlineStr">
        <is>
          <t>PAPER TRADING</t>
        </is>
      </c>
    </row>
    <row r="50">
      <c r="A50" s="17" t="inlineStr">
        <is>
          <t>2026-07-04</t>
        </is>
      </c>
      <c r="B50" s="17" t="inlineStr">
        <is>
          <t>BANKNIFTY</t>
        </is>
      </c>
      <c r="C50" s="17" t="inlineStr">
        <is>
          <t>Both Spreads</t>
        </is>
      </c>
      <c r="D50" s="17" t="inlineStr">
        <is>
          <t>Bear Put Spread</t>
        </is>
      </c>
      <c r="E50" s="17" t="inlineStr">
        <is>
          <t>SIMULATED</t>
        </is>
      </c>
      <c r="F50" s="17" t="inlineStr">
        <is>
          <t>SKIP</t>
        </is>
      </c>
      <c r="G50" s="17" t="inlineStr">
        <is>
          <t>Conflicting — Price:BEARISH EMA:BULLISH</t>
        </is>
      </c>
      <c r="H50" s="17" t="n">
        <v>57704.35</v>
      </c>
      <c r="I50" s="17" t="n">
        <v>56655.75</v>
      </c>
      <c r="J50" s="17" t="inlineStr">
        <is>
          <t>2026-07-30</t>
        </is>
      </c>
      <c r="K50" s="17" t="inlineStr">
        <is>
          <t>MONTHLY</t>
        </is>
      </c>
      <c r="L50" s="17" t="n">
        <v>27</v>
      </c>
      <c r="M50" s="17" t="inlineStr">
        <is>
          <t>09:20 IST</t>
        </is>
      </c>
      <c r="N50" s="17" t="inlineStr">
        <is>
          <t>11:07 IST</t>
        </is>
      </c>
      <c r="O50" s="17" t="n">
        <v>58031.65</v>
      </c>
      <c r="P50" s="17" t="n">
        <v>58033.05</v>
      </c>
      <c r="Q50" s="17" t="inlineStr">
        <is>
          <t>58200 PE</t>
        </is>
      </c>
      <c r="R50" s="17" t="inlineStr">
        <is>
          <t>58000 PE</t>
        </is>
      </c>
      <c r="S50" s="17" t="n">
        <v>16</v>
      </c>
      <c r="T50" s="17" t="n">
        <v>30</v>
      </c>
      <c r="U50" s="17" t="n">
        <v>480</v>
      </c>
      <c r="V50" s="17" t="n">
        <v>97.69</v>
      </c>
      <c r="W50" s="17" t="n">
        <v>127</v>
      </c>
      <c r="X50" s="17" t="n">
        <v>46891.2</v>
      </c>
      <c r="Y50" s="17" t="n">
        <v>46945.78</v>
      </c>
      <c r="Z50" s="17" t="n">
        <v>49108.8</v>
      </c>
      <c r="AA50" s="17" t="n">
        <v>14067.36</v>
      </c>
      <c r="AB50" s="17" t="n">
        <v>14067.36</v>
      </c>
      <c r="AC50" s="17" t="n">
        <v>14068.8</v>
      </c>
      <c r="AD50" s="17" t="n">
        <v>30</v>
      </c>
      <c r="AE50" s="17" t="n">
        <v>40</v>
      </c>
      <c r="AF50" s="17" t="n">
        <v>5.86</v>
      </c>
      <c r="AG50" s="17" t="n">
        <v>0.09</v>
      </c>
      <c r="AH50" s="17" t="n">
        <v>1.41</v>
      </c>
      <c r="AI50" s="17" t="n">
        <v>7.22</v>
      </c>
      <c r="AJ50" s="17" t="n">
        <v>54.58</v>
      </c>
      <c r="AK50" s="17" t="n">
        <v>14014.22</v>
      </c>
      <c r="AL50" s="17" t="inlineStr">
        <is>
          <t>PROFIT</t>
        </is>
      </c>
      <c r="AM50" s="17" t="n">
        <v>50000</v>
      </c>
      <c r="AN50" s="17" t="inlineStr">
        <is>
          <t>PAPER TRADING</t>
        </is>
      </c>
    </row>
    <row r="51">
      <c r="A51" s="17" t="inlineStr">
        <is>
          <t>2026-07-06</t>
        </is>
      </c>
      <c r="B51" s="17" t="inlineStr">
        <is>
          <t>BANKNIFTY</t>
        </is>
      </c>
      <c r="C51" s="17" t="inlineStr">
        <is>
          <t>Both Spreads</t>
        </is>
      </c>
      <c r="D51" s="17" t="inlineStr">
        <is>
          <t>Bull Call Spread</t>
        </is>
      </c>
      <c r="E51" s="17" t="inlineStr">
        <is>
          <t>SIMULATED</t>
        </is>
      </c>
      <c r="F51" s="17" t="inlineStr">
        <is>
          <t>BULLISH</t>
        </is>
      </c>
      <c r="G51" s="17" t="inlineStr">
        <is>
          <t>Price↑(58291.5&gt;57938.5) &amp; EMA9↑(57858.32&gt;56864.47)</t>
        </is>
      </c>
      <c r="H51" s="17" t="n">
        <v>57858.32</v>
      </c>
      <c r="I51" s="17" t="n">
        <v>56864.47</v>
      </c>
      <c r="J51" s="17" t="inlineStr">
        <is>
          <t>2026-07-30</t>
        </is>
      </c>
      <c r="K51" s="17" t="inlineStr">
        <is>
          <t>MONTHLY</t>
        </is>
      </c>
      <c r="L51" s="17" t="n">
        <v>24</v>
      </c>
      <c r="M51" s="17" t="inlineStr">
        <is>
          <t>09:20 IST</t>
        </is>
      </c>
      <c r="N51" s="17" t="inlineStr">
        <is>
          <t>09:52 IST</t>
        </is>
      </c>
      <c r="O51" s="17" t="n">
        <v>58291.5</v>
      </c>
      <c r="P51" s="17" t="n">
        <v>57938.5</v>
      </c>
      <c r="Q51" s="17" t="inlineStr">
        <is>
          <t>58200 CE</t>
        </is>
      </c>
      <c r="R51" s="17" t="inlineStr">
        <is>
          <t>58400 CE</t>
        </is>
      </c>
      <c r="S51" s="17" t="n">
        <v>17</v>
      </c>
      <c r="T51" s="17" t="n">
        <v>30</v>
      </c>
      <c r="U51" s="17" t="n">
        <v>510</v>
      </c>
      <c r="V51" s="17" t="n">
        <v>94.73</v>
      </c>
      <c r="W51" s="17" t="n">
        <v>123.15</v>
      </c>
      <c r="X51" s="17" t="n">
        <v>48312.3</v>
      </c>
      <c r="Y51" s="17" t="n">
        <v>48367.1</v>
      </c>
      <c r="Z51" s="17" t="n">
        <v>53687.7</v>
      </c>
      <c r="AA51" s="17" t="n">
        <v>14493.69</v>
      </c>
      <c r="AB51" s="17" t="n">
        <v>14493.69</v>
      </c>
      <c r="AC51" s="17" t="n">
        <v>14494.2</v>
      </c>
      <c r="AD51" s="17" t="n">
        <v>30</v>
      </c>
      <c r="AE51" s="17" t="n">
        <v>40</v>
      </c>
      <c r="AF51" s="17" t="n">
        <v>6.04</v>
      </c>
      <c r="AG51" s="17" t="n">
        <v>0.1</v>
      </c>
      <c r="AH51" s="17" t="n">
        <v>1.45</v>
      </c>
      <c r="AI51" s="17" t="n">
        <v>7.22</v>
      </c>
      <c r="AJ51" s="17" t="n">
        <v>54.8</v>
      </c>
      <c r="AK51" s="17" t="n">
        <v>14439.4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BANKNIFTY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Price↑(58291.5&gt;57938.5) &amp; EMA9↑(57858.32&gt;56864.47)</t>
        </is>
      </c>
      <c r="H52" s="16" t="n">
        <v>57858.32</v>
      </c>
      <c r="I52" s="16" t="n">
        <v>56864.47</v>
      </c>
      <c r="J52" s="16" t="inlineStr">
        <is>
          <t>2026-07-30</t>
        </is>
      </c>
      <c r="K52" s="16" t="inlineStr">
        <is>
          <t>MONTHLY</t>
        </is>
      </c>
      <c r="L52" s="16" t="n">
        <v>24</v>
      </c>
      <c r="M52" s="16" t="inlineStr">
        <is>
          <t>09:20 IST</t>
        </is>
      </c>
      <c r="N52" s="16" t="inlineStr">
        <is>
          <t>14:13 IST</t>
        </is>
      </c>
      <c r="O52" s="16" t="n">
        <v>58291.5</v>
      </c>
      <c r="P52" s="16" t="n">
        <v>57938.5</v>
      </c>
      <c r="Q52" s="16" t="inlineStr">
        <is>
          <t>58400 PE</t>
        </is>
      </c>
      <c r="R52" s="16" t="inlineStr">
        <is>
          <t>58200 PE</t>
        </is>
      </c>
      <c r="S52" s="16" t="n">
        <v>18</v>
      </c>
      <c r="T52" s="16" t="n">
        <v>30</v>
      </c>
      <c r="U52" s="16" t="n">
        <v>540</v>
      </c>
      <c r="V52" s="16" t="n">
        <v>88.59999999999999</v>
      </c>
      <c r="W52" s="16" t="n">
        <v>91.98</v>
      </c>
      <c r="X52" s="16" t="n">
        <v>47844</v>
      </c>
      <c r="Y52" s="16" t="n">
        <v>47898.73</v>
      </c>
      <c r="Z52" s="16" t="n">
        <v>60156</v>
      </c>
      <c r="AA52" s="16" t="n">
        <v>14353.2</v>
      </c>
      <c r="AB52" s="16" t="n">
        <v>14353.2</v>
      </c>
      <c r="AC52" s="16" t="n">
        <v>1825.2</v>
      </c>
      <c r="AD52" s="16" t="n">
        <v>3.8</v>
      </c>
      <c r="AE52" s="16" t="n">
        <v>40</v>
      </c>
      <c r="AF52" s="16" t="n">
        <v>5.98</v>
      </c>
      <c r="AG52" s="16" t="n">
        <v>0.1</v>
      </c>
      <c r="AH52" s="16" t="n">
        <v>1.44</v>
      </c>
      <c r="AI52" s="16" t="n">
        <v>7.22</v>
      </c>
      <c r="AJ52" s="16" t="n">
        <v>54.73</v>
      </c>
      <c r="AK52" s="16" t="n">
        <v>1770.47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7" t="inlineStr">
        <is>
          <t>2026-07-07</t>
        </is>
      </c>
      <c r="B53" s="17" t="inlineStr">
        <is>
          <t>BANKNIFTY</t>
        </is>
      </c>
      <c r="C53" s="17" t="inlineStr">
        <is>
          <t>Both Spreads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57750.02</v>
      </c>
      <c r="I53" s="17" t="n">
        <v>56721.77</v>
      </c>
      <c r="J53" s="17" t="inlineStr">
        <is>
          <t>2026-07-30</t>
        </is>
      </c>
      <c r="K53" s="17" t="inlineStr">
        <is>
          <t>MONTHLY</t>
        </is>
      </c>
      <c r="L53" s="17" t="n">
        <v>24</v>
      </c>
      <c r="M53" s="17" t="inlineStr">
        <is>
          <t>09:20 IST</t>
        </is>
      </c>
      <c r="N53" s="17" t="inlineStr">
        <is>
          <t>10:30 IST</t>
        </is>
      </c>
      <c r="O53" s="17" t="n">
        <v>57938.5</v>
      </c>
      <c r="P53" s="17" t="n">
        <v>58031.65</v>
      </c>
      <c r="Q53" s="17" t="inlineStr">
        <is>
          <t>57800 CE</t>
        </is>
      </c>
      <c r="R53" s="17" t="inlineStr">
        <is>
          <t>58000 CE</t>
        </is>
      </c>
      <c r="S53" s="17" t="n">
        <v>16</v>
      </c>
      <c r="T53" s="17" t="n">
        <v>30</v>
      </c>
      <c r="U53" s="17" t="n">
        <v>480</v>
      </c>
      <c r="V53" s="17" t="n">
        <v>98.91</v>
      </c>
      <c r="W53" s="17" t="n">
        <v>128.58</v>
      </c>
      <c r="X53" s="17" t="n">
        <v>47476.8</v>
      </c>
      <c r="Y53" s="17" t="n">
        <v>47531.47</v>
      </c>
      <c r="Z53" s="17" t="n">
        <v>48523.2</v>
      </c>
      <c r="AA53" s="17" t="n">
        <v>14243.04</v>
      </c>
      <c r="AB53" s="17" t="n">
        <v>14243.04</v>
      </c>
      <c r="AC53" s="17" t="n">
        <v>14241.6</v>
      </c>
      <c r="AD53" s="17" t="n">
        <v>30</v>
      </c>
      <c r="AE53" s="17" t="n">
        <v>40</v>
      </c>
      <c r="AF53" s="17" t="n">
        <v>5.93</v>
      </c>
      <c r="AG53" s="17" t="n">
        <v>0.09</v>
      </c>
      <c r="AH53" s="17" t="n">
        <v>1.42</v>
      </c>
      <c r="AI53" s="17" t="n">
        <v>7.22</v>
      </c>
      <c r="AJ53" s="17" t="n">
        <v>54.67</v>
      </c>
      <c r="AK53" s="17" t="n">
        <v>14186.93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5" t="inlineStr">
        <is>
          <t>2026-07-07</t>
        </is>
      </c>
      <c r="B54" s="15" t="inlineStr">
        <is>
          <t>BANKNIFTY</t>
        </is>
      </c>
      <c r="C54" s="15" t="inlineStr">
        <is>
          <t>Both Spreads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57750.02</v>
      </c>
      <c r="I54" s="15" t="n">
        <v>56721.77</v>
      </c>
      <c r="J54" s="15" t="inlineStr">
        <is>
          <t>2026-07-30</t>
        </is>
      </c>
      <c r="K54" s="15" t="inlineStr">
        <is>
          <t>MONTHLY</t>
        </is>
      </c>
      <c r="L54" s="15" t="n">
        <v>24</v>
      </c>
      <c r="M54" s="15" t="inlineStr">
        <is>
          <t>09:20 IST</t>
        </is>
      </c>
      <c r="N54" s="15" t="inlineStr">
        <is>
          <t>10:37 IST</t>
        </is>
      </c>
      <c r="O54" s="15" t="n">
        <v>57938.5</v>
      </c>
      <c r="P54" s="15" t="n">
        <v>58031.65</v>
      </c>
      <c r="Q54" s="15" t="inlineStr">
        <is>
          <t>58000 PE</t>
        </is>
      </c>
      <c r="R54" s="15" t="inlineStr">
        <is>
          <t>57800 PE</t>
        </is>
      </c>
      <c r="S54" s="15" t="n">
        <v>18</v>
      </c>
      <c r="T54" s="15" t="n">
        <v>30</v>
      </c>
      <c r="U54" s="15" t="n">
        <v>540</v>
      </c>
      <c r="V54" s="15" t="n">
        <v>90.54000000000001</v>
      </c>
      <c r="W54" s="15" t="n">
        <v>63.38</v>
      </c>
      <c r="X54" s="15" t="n">
        <v>48891.6</v>
      </c>
      <c r="Y54" s="15" t="n">
        <v>48946.49</v>
      </c>
      <c r="Z54" s="15" t="n">
        <v>59108.4</v>
      </c>
      <c r="AA54" s="15" t="n">
        <v>14667.48</v>
      </c>
      <c r="AB54" s="15" t="n">
        <v>14667.48</v>
      </c>
      <c r="AC54" s="15" t="n">
        <v>-14666.4</v>
      </c>
      <c r="AD54" s="15" t="n">
        <v>-30</v>
      </c>
      <c r="AE54" s="15" t="n">
        <v>40</v>
      </c>
      <c r="AF54" s="15" t="n">
        <v>6.11</v>
      </c>
      <c r="AG54" s="15" t="n">
        <v>0.1</v>
      </c>
      <c r="AH54" s="15" t="n">
        <v>1.47</v>
      </c>
      <c r="AI54" s="15" t="n">
        <v>7.22</v>
      </c>
      <c r="AJ54" s="15" t="n">
        <v>54.89</v>
      </c>
      <c r="AK54" s="15" t="n">
        <v>-14721.29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2026-07-07</t>
        </is>
      </c>
      <c r="B55" s="17" t="inlineStr">
        <is>
          <t>BANKNIFTY</t>
        </is>
      </c>
      <c r="C55" s="17" t="inlineStr">
        <is>
          <t>Both Spreads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SKIP</t>
        </is>
      </c>
      <c r="G55" s="17" t="inlineStr">
        <is>
          <t>Conflicting — Price:BEARISH EMA:BULLISH</t>
        </is>
      </c>
      <c r="H55" s="17" t="n">
        <v>57924.34</v>
      </c>
      <c r="I55" s="17" t="n">
        <v>56950.61</v>
      </c>
      <c r="J55" s="17" t="inlineStr">
        <is>
          <t>2026-07-30</t>
        </is>
      </c>
      <c r="K55" s="17" t="inlineStr">
        <is>
          <t>MONTHLY</t>
        </is>
      </c>
      <c r="L55" s="17" t="n">
        <v>23</v>
      </c>
      <c r="M55" s="17" t="inlineStr">
        <is>
          <t>09:20 IST</t>
        </is>
      </c>
      <c r="N55" s="17" t="inlineStr">
        <is>
          <t>10:42 IST</t>
        </is>
      </c>
      <c r="O55" s="17" t="n">
        <v>58200.7</v>
      </c>
      <c r="P55" s="17" t="n">
        <v>58291.5</v>
      </c>
      <c r="Q55" s="17" t="inlineStr">
        <is>
          <t>58200 CE</t>
        </is>
      </c>
      <c r="R55" s="17" t="inlineStr">
        <is>
          <t>58400 CE</t>
        </is>
      </c>
      <c r="S55" s="17" t="n">
        <v>15</v>
      </c>
      <c r="T55" s="17" t="n">
        <v>30</v>
      </c>
      <c r="U55" s="17" t="n">
        <v>450</v>
      </c>
      <c r="V55" s="17" t="n">
        <v>107.31</v>
      </c>
      <c r="W55" s="17" t="n">
        <v>139.5</v>
      </c>
      <c r="X55" s="17" t="n">
        <v>48289.5</v>
      </c>
      <c r="Y55" s="17" t="n">
        <v>48344.3</v>
      </c>
      <c r="Z55" s="17" t="n">
        <v>41710.5</v>
      </c>
      <c r="AA55" s="17" t="n">
        <v>14486.85</v>
      </c>
      <c r="AB55" s="17" t="n">
        <v>14486.85</v>
      </c>
      <c r="AC55" s="17" t="n">
        <v>14485.5</v>
      </c>
      <c r="AD55" s="17" t="n">
        <v>30</v>
      </c>
      <c r="AE55" s="17" t="n">
        <v>40</v>
      </c>
      <c r="AF55" s="17" t="n">
        <v>6.04</v>
      </c>
      <c r="AG55" s="17" t="n">
        <v>0.1</v>
      </c>
      <c r="AH55" s="17" t="n">
        <v>1.45</v>
      </c>
      <c r="AI55" s="17" t="n">
        <v>7.22</v>
      </c>
      <c r="AJ55" s="17" t="n">
        <v>54.8</v>
      </c>
      <c r="AK55" s="17" t="n">
        <v>14430.7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2026-07-07</t>
        </is>
      </c>
      <c r="B56" s="16" t="inlineStr">
        <is>
          <t>BANKNIFTY</t>
        </is>
      </c>
      <c r="C56" s="16" t="inlineStr">
        <is>
          <t>Both Spreads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SKIP</t>
        </is>
      </c>
      <c r="G56" s="16" t="inlineStr">
        <is>
          <t>Conflicting — Price:BEARISH EMA:BULLISH</t>
        </is>
      </c>
      <c r="H56" s="16" t="n">
        <v>57924.34</v>
      </c>
      <c r="I56" s="16" t="n">
        <v>56950.61</v>
      </c>
      <c r="J56" s="16" t="inlineStr">
        <is>
          <t>2026-07-30</t>
        </is>
      </c>
      <c r="K56" s="16" t="inlineStr">
        <is>
          <t>MONTHLY</t>
        </is>
      </c>
      <c r="L56" s="16" t="n">
        <v>23</v>
      </c>
      <c r="M56" s="16" t="inlineStr">
        <is>
          <t>09:20 IST</t>
        </is>
      </c>
      <c r="N56" s="16" t="inlineStr">
        <is>
          <t>14:30 IST</t>
        </is>
      </c>
      <c r="O56" s="16" t="n">
        <v>58200.7</v>
      </c>
      <c r="P56" s="16" t="n">
        <v>58291.5</v>
      </c>
      <c r="Q56" s="16" t="inlineStr">
        <is>
          <t>58400 PE</t>
        </is>
      </c>
      <c r="R56" s="16" t="inlineStr">
        <is>
          <t>58200 PE</t>
        </is>
      </c>
      <c r="S56" s="16" t="n">
        <v>15</v>
      </c>
      <c r="T56" s="16" t="n">
        <v>30</v>
      </c>
      <c r="U56" s="16" t="n">
        <v>450</v>
      </c>
      <c r="V56" s="16" t="n">
        <v>102.9</v>
      </c>
      <c r="W56" s="16" t="n">
        <v>100.86</v>
      </c>
      <c r="X56" s="16" t="n">
        <v>46305</v>
      </c>
      <c r="Y56" s="16" t="n">
        <v>46359.49</v>
      </c>
      <c r="Z56" s="16" t="n">
        <v>43695</v>
      </c>
      <c r="AA56" s="16" t="n">
        <v>13891.5</v>
      </c>
      <c r="AB56" s="16" t="n">
        <v>13891.5</v>
      </c>
      <c r="AC56" s="16" t="n">
        <v>-918</v>
      </c>
      <c r="AD56" s="16" t="n">
        <v>-2</v>
      </c>
      <c r="AE56" s="16" t="n">
        <v>40</v>
      </c>
      <c r="AF56" s="16" t="n">
        <v>5.79</v>
      </c>
      <c r="AG56" s="16" t="n">
        <v>0.09</v>
      </c>
      <c r="AH56" s="16" t="n">
        <v>1.39</v>
      </c>
      <c r="AI56" s="16" t="n">
        <v>7.22</v>
      </c>
      <c r="AJ56" s="16" t="n">
        <v>54.49</v>
      </c>
      <c r="AK56" s="16" t="n">
        <v>-972.49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BANKNIFTY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Price↑(58291.5&gt;57938.5) &amp; EMA9↑(57855.26&gt;56825.6)</t>
        </is>
      </c>
      <c r="H57" s="17" t="n">
        <v>57855.26</v>
      </c>
      <c r="I57" s="17" t="n">
        <v>56825.6</v>
      </c>
      <c r="J57" s="17" t="inlineStr">
        <is>
          <t>2026-07-30</t>
        </is>
      </c>
      <c r="K57" s="17" t="inlineStr">
        <is>
          <t>MONTHLY</t>
        </is>
      </c>
      <c r="L57" s="17" t="n">
        <v>23</v>
      </c>
      <c r="M57" s="17" t="inlineStr">
        <is>
          <t>09:20 IST</t>
        </is>
      </c>
      <c r="N57" s="17" t="inlineStr">
        <is>
          <t>11:52 IST</t>
        </is>
      </c>
      <c r="O57" s="17" t="n">
        <v>58291.5</v>
      </c>
      <c r="P57" s="17" t="n">
        <v>57938.5</v>
      </c>
      <c r="Q57" s="17" t="inlineStr">
        <is>
          <t>58200 CE</t>
        </is>
      </c>
      <c r="R57" s="17" t="inlineStr">
        <is>
          <t>58400 CE</t>
        </is>
      </c>
      <c r="S57" s="17" t="n">
        <v>19</v>
      </c>
      <c r="T57" s="17" t="n">
        <v>30</v>
      </c>
      <c r="U57" s="17" t="n">
        <v>570</v>
      </c>
      <c r="V57" s="17" t="n">
        <v>82.26000000000001</v>
      </c>
      <c r="W57" s="17" t="n">
        <v>106.94</v>
      </c>
      <c r="X57" s="17" t="n">
        <v>46888.2</v>
      </c>
      <c r="Y57" s="17" t="n">
        <v>46942.78</v>
      </c>
      <c r="Z57" s="17" t="n">
        <v>67111.8</v>
      </c>
      <c r="AA57" s="17" t="n">
        <v>14066.46</v>
      </c>
      <c r="AB57" s="17" t="n">
        <v>14066.46</v>
      </c>
      <c r="AC57" s="17" t="n">
        <v>14067.6</v>
      </c>
      <c r="AD57" s="17" t="n">
        <v>30</v>
      </c>
      <c r="AE57" s="17" t="n">
        <v>40</v>
      </c>
      <c r="AF57" s="17" t="n">
        <v>5.86</v>
      </c>
      <c r="AG57" s="17" t="n">
        <v>0.09</v>
      </c>
      <c r="AH57" s="17" t="n">
        <v>1.41</v>
      </c>
      <c r="AI57" s="17" t="n">
        <v>7.22</v>
      </c>
      <c r="AJ57" s="17" t="n">
        <v>54.58</v>
      </c>
      <c r="AK57" s="17" t="n">
        <v>14013.02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2026-07-08</t>
        </is>
      </c>
      <c r="B58" s="17" t="inlineStr">
        <is>
          <t>BANKNIFTY</t>
        </is>
      </c>
      <c r="C58" s="17" t="inlineStr">
        <is>
          <t>Both Spreads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BULLISH</t>
        </is>
      </c>
      <c r="G58" s="17" t="inlineStr">
        <is>
          <t>Price↑(58291.5&gt;57938.5) &amp; EMA9↑(57855.26&gt;56825.6)</t>
        </is>
      </c>
      <c r="H58" s="17" t="n">
        <v>57855.26</v>
      </c>
      <c r="I58" s="17" t="n">
        <v>56825.6</v>
      </c>
      <c r="J58" s="17" t="inlineStr">
        <is>
          <t>2026-07-30</t>
        </is>
      </c>
      <c r="K58" s="17" t="inlineStr">
        <is>
          <t>MONTHLY</t>
        </is>
      </c>
      <c r="L58" s="17" t="n">
        <v>23</v>
      </c>
      <c r="M58" s="17" t="inlineStr">
        <is>
          <t>09:20 IST</t>
        </is>
      </c>
      <c r="N58" s="17" t="inlineStr">
        <is>
          <t>11:23 IST</t>
        </is>
      </c>
      <c r="O58" s="17" t="n">
        <v>58291.5</v>
      </c>
      <c r="P58" s="17" t="n">
        <v>57938.5</v>
      </c>
      <c r="Q58" s="17" t="inlineStr">
        <is>
          <t>58400 PE</t>
        </is>
      </c>
      <c r="R58" s="17" t="inlineStr">
        <is>
          <t>58200 PE</t>
        </is>
      </c>
      <c r="S58" s="17" t="n">
        <v>18</v>
      </c>
      <c r="T58" s="17" t="n">
        <v>30</v>
      </c>
      <c r="U58" s="17" t="n">
        <v>540</v>
      </c>
      <c r="V58" s="17" t="n">
        <v>86.8</v>
      </c>
      <c r="W58" s="17" t="n">
        <v>112.84</v>
      </c>
      <c r="X58" s="17" t="n">
        <v>46872</v>
      </c>
      <c r="Y58" s="17" t="n">
        <v>46926.58</v>
      </c>
      <c r="Z58" s="17" t="n">
        <v>61128</v>
      </c>
      <c r="AA58" s="17" t="n">
        <v>14061.6</v>
      </c>
      <c r="AB58" s="17" t="n">
        <v>14061.6</v>
      </c>
      <c r="AC58" s="17" t="n">
        <v>14061.6</v>
      </c>
      <c r="AD58" s="17" t="n">
        <v>30</v>
      </c>
      <c r="AE58" s="17" t="n">
        <v>40</v>
      </c>
      <c r="AF58" s="17" t="n">
        <v>5.86</v>
      </c>
      <c r="AG58" s="17" t="n">
        <v>0.09</v>
      </c>
      <c r="AH58" s="17" t="n">
        <v>1.41</v>
      </c>
      <c r="AI58" s="17" t="n">
        <v>7.22</v>
      </c>
      <c r="AJ58" s="17" t="n">
        <v>54.58</v>
      </c>
      <c r="AK58" s="17" t="n">
        <v>14007.02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2026-07-08</t>
        </is>
      </c>
      <c r="B59" s="15" t="inlineStr">
        <is>
          <t>BANKNIFTY</t>
        </is>
      </c>
      <c r="C59" s="15" t="inlineStr">
        <is>
          <t>Both Spreads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Price:BEARISH EMA:BULLISH</t>
        </is>
      </c>
      <c r="H59" s="15" t="n">
        <v>57686.08</v>
      </c>
      <c r="I59" s="15" t="n">
        <v>56919.04</v>
      </c>
      <c r="J59" s="15" t="inlineStr">
        <is>
          <t>2026-07-30</t>
        </is>
      </c>
      <c r="K59" s="15" t="inlineStr">
        <is>
          <t>MONTHLY</t>
        </is>
      </c>
      <c r="L59" s="15" t="n">
        <v>22</v>
      </c>
      <c r="M59" s="15" t="inlineStr">
        <is>
          <t>09:20 IST</t>
        </is>
      </c>
      <c r="N59" s="15" t="inlineStr">
        <is>
          <t>11:19 IST</t>
        </is>
      </c>
      <c r="O59" s="15" t="n">
        <v>56742.6</v>
      </c>
      <c r="P59" s="15" t="n">
        <v>58200.7</v>
      </c>
      <c r="Q59" s="15" t="inlineStr">
        <is>
          <t>56600 CE</t>
        </is>
      </c>
      <c r="R59" s="15" t="inlineStr">
        <is>
          <t>56800 CE</t>
        </is>
      </c>
      <c r="S59" s="15" t="n">
        <v>15</v>
      </c>
      <c r="T59" s="15" t="n">
        <v>30</v>
      </c>
      <c r="U59" s="15" t="n">
        <v>450</v>
      </c>
      <c r="V59" s="15" t="n">
        <v>106.16</v>
      </c>
      <c r="W59" s="15" t="n">
        <v>74.31</v>
      </c>
      <c r="X59" s="15" t="n">
        <v>47772</v>
      </c>
      <c r="Y59" s="15" t="n">
        <v>47826.72</v>
      </c>
      <c r="Z59" s="15" t="n">
        <v>42228</v>
      </c>
      <c r="AA59" s="15" t="n">
        <v>14331.6</v>
      </c>
      <c r="AB59" s="15" t="n">
        <v>14331.6</v>
      </c>
      <c r="AC59" s="15" t="n">
        <v>-14332.5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54.72</v>
      </c>
      <c r="AK59" s="15" t="n">
        <v>-14387.22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BANKNIFTY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57686.08</v>
      </c>
      <c r="I60" s="17" t="n">
        <v>56919.04</v>
      </c>
      <c r="J60" s="17" t="inlineStr">
        <is>
          <t>2026-07-30</t>
        </is>
      </c>
      <c r="K60" s="17" t="inlineStr">
        <is>
          <t>MONTHLY</t>
        </is>
      </c>
      <c r="L60" s="17" t="n">
        <v>22</v>
      </c>
      <c r="M60" s="17" t="inlineStr">
        <is>
          <t>09:20 IST</t>
        </is>
      </c>
      <c r="N60" s="17" t="inlineStr">
        <is>
          <t>12:11 IST</t>
        </is>
      </c>
      <c r="O60" s="17" t="n">
        <v>56742.6</v>
      </c>
      <c r="P60" s="17" t="n">
        <v>58200.7</v>
      </c>
      <c r="Q60" s="17" t="inlineStr">
        <is>
          <t>56800 PE</t>
        </is>
      </c>
      <c r="R60" s="17" t="inlineStr">
        <is>
          <t>56600 PE</t>
        </is>
      </c>
      <c r="S60" s="17" t="n">
        <v>17</v>
      </c>
      <c r="T60" s="17" t="n">
        <v>30</v>
      </c>
      <c r="U60" s="17" t="n">
        <v>510</v>
      </c>
      <c r="V60" s="17" t="n">
        <v>91.54000000000001</v>
      </c>
      <c r="W60" s="17" t="n">
        <v>119</v>
      </c>
      <c r="X60" s="17" t="n">
        <v>46685.4</v>
      </c>
      <c r="Y60" s="17" t="n">
        <v>46739.95</v>
      </c>
      <c r="Z60" s="17" t="n">
        <v>55314.6</v>
      </c>
      <c r="AA60" s="17" t="n">
        <v>14005.62</v>
      </c>
      <c r="AB60" s="17" t="n">
        <v>14005.62</v>
      </c>
      <c r="AC60" s="17" t="n">
        <v>14004.6</v>
      </c>
      <c r="AD60" s="17" t="n">
        <v>30</v>
      </c>
      <c r="AE60" s="17" t="n">
        <v>40</v>
      </c>
      <c r="AF60" s="17" t="n">
        <v>5.84</v>
      </c>
      <c r="AG60" s="17" t="n">
        <v>0.09</v>
      </c>
      <c r="AH60" s="17" t="n">
        <v>1.4</v>
      </c>
      <c r="AI60" s="17" t="n">
        <v>7.22</v>
      </c>
      <c r="AJ60" s="17" t="n">
        <v>54.55</v>
      </c>
      <c r="AK60" s="17" t="n">
        <v>13950.05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BANKNIFTY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57921.95</v>
      </c>
      <c r="I61" s="15" t="n">
        <v>56936.69</v>
      </c>
      <c r="J61" s="15" t="inlineStr">
        <is>
          <t>2026-07-30</t>
        </is>
      </c>
      <c r="K61" s="15" t="inlineStr">
        <is>
          <t>MONTHLY</t>
        </is>
      </c>
      <c r="L61" s="15" t="n">
        <v>22</v>
      </c>
      <c r="M61" s="15" t="inlineStr">
        <is>
          <t>09:20 IST</t>
        </is>
      </c>
      <c r="N61" s="15" t="inlineStr">
        <is>
          <t>10:31 IST</t>
        </is>
      </c>
      <c r="O61" s="15" t="n">
        <v>58200.7</v>
      </c>
      <c r="P61" s="15" t="n">
        <v>58291.5</v>
      </c>
      <c r="Q61" s="15" t="inlineStr">
        <is>
          <t>58200 CE</t>
        </is>
      </c>
      <c r="R61" s="15" t="inlineStr">
        <is>
          <t>58400 CE</t>
        </is>
      </c>
      <c r="S61" s="15" t="n">
        <v>15</v>
      </c>
      <c r="T61" s="15" t="n">
        <v>30</v>
      </c>
      <c r="U61" s="15" t="n">
        <v>450</v>
      </c>
      <c r="V61" s="15" t="n">
        <v>108.5</v>
      </c>
      <c r="W61" s="15" t="n">
        <v>75.95</v>
      </c>
      <c r="X61" s="15" t="n">
        <v>48825</v>
      </c>
      <c r="Y61" s="15" t="n">
        <v>48879.88</v>
      </c>
      <c r="Z61" s="15" t="n">
        <v>41175</v>
      </c>
      <c r="AA61" s="15" t="n">
        <v>14647.5</v>
      </c>
      <c r="AB61" s="15" t="n">
        <v>14647.5</v>
      </c>
      <c r="AC61" s="15" t="n">
        <v>-14647.5</v>
      </c>
      <c r="AD61" s="15" t="n">
        <v>-30</v>
      </c>
      <c r="AE61" s="15" t="n">
        <v>40</v>
      </c>
      <c r="AF61" s="15" t="n">
        <v>6.1</v>
      </c>
      <c r="AG61" s="15" t="n">
        <v>0.1</v>
      </c>
      <c r="AH61" s="15" t="n">
        <v>1.46</v>
      </c>
      <c r="AI61" s="15" t="n">
        <v>7.22</v>
      </c>
      <c r="AJ61" s="15" t="n">
        <v>54.88</v>
      </c>
      <c r="AK61" s="15" t="n">
        <v>-14702.38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2026-07-09</t>
        </is>
      </c>
      <c r="B62" s="16" t="inlineStr">
        <is>
          <t>BANKNIFTY</t>
        </is>
      </c>
      <c r="C62" s="16" t="inlineStr">
        <is>
          <t>Both Spreads</t>
        </is>
      </c>
      <c r="D62" s="16" t="inlineStr">
        <is>
          <t>Bear Put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Price:BEARISH EMA:BULLISH</t>
        </is>
      </c>
      <c r="H62" s="16" t="n">
        <v>57921.95</v>
      </c>
      <c r="I62" s="16" t="n">
        <v>56936.69</v>
      </c>
      <c r="J62" s="16" t="inlineStr">
        <is>
          <t>2026-07-30</t>
        </is>
      </c>
      <c r="K62" s="16" t="inlineStr">
        <is>
          <t>MONTHLY</t>
        </is>
      </c>
      <c r="L62" s="16" t="n">
        <v>22</v>
      </c>
      <c r="M62" s="16" t="inlineStr">
        <is>
          <t>09:20 IST</t>
        </is>
      </c>
      <c r="N62" s="16" t="inlineStr">
        <is>
          <t>13:31 IST</t>
        </is>
      </c>
      <c r="O62" s="16" t="n">
        <v>58200.7</v>
      </c>
      <c r="P62" s="16" t="n">
        <v>58291.5</v>
      </c>
      <c r="Q62" s="16" t="inlineStr">
        <is>
          <t>58400 PE</t>
        </is>
      </c>
      <c r="R62" s="16" t="inlineStr">
        <is>
          <t>58200 PE</t>
        </is>
      </c>
      <c r="S62" s="16" t="n">
        <v>19</v>
      </c>
      <c r="T62" s="16" t="n">
        <v>30</v>
      </c>
      <c r="U62" s="16" t="n">
        <v>570</v>
      </c>
      <c r="V62" s="16" t="n">
        <v>82.8</v>
      </c>
      <c r="W62" s="16" t="n">
        <v>84.61</v>
      </c>
      <c r="X62" s="16" t="n">
        <v>47196</v>
      </c>
      <c r="Y62" s="16" t="n">
        <v>47250.63</v>
      </c>
      <c r="Z62" s="16" t="n">
        <v>66804</v>
      </c>
      <c r="AA62" s="16" t="n">
        <v>14158.8</v>
      </c>
      <c r="AB62" s="16" t="n">
        <v>14158.8</v>
      </c>
      <c r="AC62" s="16" t="n">
        <v>1031.7</v>
      </c>
      <c r="AD62" s="16" t="n">
        <v>2.2</v>
      </c>
      <c r="AE62" s="16" t="n">
        <v>40</v>
      </c>
      <c r="AF62" s="16" t="n">
        <v>5.9</v>
      </c>
      <c r="AG62" s="16" t="n">
        <v>0.09</v>
      </c>
      <c r="AH62" s="16" t="n">
        <v>1.42</v>
      </c>
      <c r="AI62" s="16" t="n">
        <v>7.22</v>
      </c>
      <c r="AJ62" s="16" t="n">
        <v>54.63</v>
      </c>
      <c r="AK62" s="16" t="n">
        <v>977.0700000000001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7" t="inlineStr">
        <is>
          <t>2026-07-09</t>
        </is>
      </c>
      <c r="B63" s="17" t="inlineStr">
        <is>
          <t>BANKNIFTY</t>
        </is>
      </c>
      <c r="C63" s="17" t="inlineStr">
        <is>
          <t>Both Spreads</t>
        </is>
      </c>
      <c r="D63" s="17" t="inlineStr">
        <is>
          <t>Bull Call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Price↑(57252.45&gt;56742.6) &amp; EMA9↑(57599.36&gt;56949.35)</t>
        </is>
      </c>
      <c r="H63" s="17" t="n">
        <v>57599.36</v>
      </c>
      <c r="I63" s="17" t="n">
        <v>56949.35</v>
      </c>
      <c r="J63" s="17" t="inlineStr">
        <is>
          <t>2026-07-30</t>
        </is>
      </c>
      <c r="K63" s="17" t="inlineStr">
        <is>
          <t>MONTHLY</t>
        </is>
      </c>
      <c r="L63" s="17" t="n">
        <v>21</v>
      </c>
      <c r="M63" s="17" t="inlineStr">
        <is>
          <t>09:20 IST</t>
        </is>
      </c>
      <c r="N63" s="17" t="inlineStr">
        <is>
          <t>10:54 IST</t>
        </is>
      </c>
      <c r="O63" s="17" t="n">
        <v>57252.45</v>
      </c>
      <c r="P63" s="17" t="n">
        <v>56742.6</v>
      </c>
      <c r="Q63" s="17" t="inlineStr">
        <is>
          <t>57200 CE</t>
        </is>
      </c>
      <c r="R63" s="17" t="inlineStr">
        <is>
          <t>57400 CE</t>
        </is>
      </c>
      <c r="S63" s="17" t="n">
        <v>16</v>
      </c>
      <c r="T63" s="17" t="n">
        <v>30</v>
      </c>
      <c r="U63" s="17" t="n">
        <v>480</v>
      </c>
      <c r="V63" s="17" t="n">
        <v>100.98</v>
      </c>
      <c r="W63" s="17" t="n">
        <v>131.27</v>
      </c>
      <c r="X63" s="17" t="n">
        <v>48470.4</v>
      </c>
      <c r="Y63" s="17" t="n">
        <v>48525.23</v>
      </c>
      <c r="Z63" s="17" t="n">
        <v>47529.6</v>
      </c>
      <c r="AA63" s="17" t="n">
        <v>14541.12</v>
      </c>
      <c r="AB63" s="17" t="n">
        <v>14541.12</v>
      </c>
      <c r="AC63" s="17" t="n">
        <v>14539.2</v>
      </c>
      <c r="AD63" s="17" t="n">
        <v>30</v>
      </c>
      <c r="AE63" s="17" t="n">
        <v>40</v>
      </c>
      <c r="AF63" s="17" t="n">
        <v>6.06</v>
      </c>
      <c r="AG63" s="17" t="n">
        <v>0.1</v>
      </c>
      <c r="AH63" s="17" t="n">
        <v>1.45</v>
      </c>
      <c r="AI63" s="17" t="n">
        <v>7.22</v>
      </c>
      <c r="AJ63" s="17" t="n">
        <v>54.83</v>
      </c>
      <c r="AK63" s="17" t="n">
        <v>14484.37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BANKNIFTY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Price↑(57252.45&gt;56742.6) &amp; EMA9↑(57599.36&gt;56949.35)</t>
        </is>
      </c>
      <c r="H64" s="17" t="n">
        <v>57599.36</v>
      </c>
      <c r="I64" s="17" t="n">
        <v>56949.35</v>
      </c>
      <c r="J64" s="17" t="inlineStr">
        <is>
          <t>2026-07-30</t>
        </is>
      </c>
      <c r="K64" s="17" t="inlineStr">
        <is>
          <t>MONTHLY</t>
        </is>
      </c>
      <c r="L64" s="17" t="n">
        <v>21</v>
      </c>
      <c r="M64" s="17" t="inlineStr">
        <is>
          <t>09:20 IST</t>
        </is>
      </c>
      <c r="N64" s="17" t="inlineStr">
        <is>
          <t>10:54 IST</t>
        </is>
      </c>
      <c r="O64" s="17" t="n">
        <v>57252.45</v>
      </c>
      <c r="P64" s="17" t="n">
        <v>56742.6</v>
      </c>
      <c r="Q64" s="17" t="inlineStr">
        <is>
          <t>57400 PE</t>
        </is>
      </c>
      <c r="R64" s="17" t="inlineStr">
        <is>
          <t>57200 PE</t>
        </is>
      </c>
      <c r="S64" s="17" t="n">
        <v>15</v>
      </c>
      <c r="T64" s="17" t="n">
        <v>30</v>
      </c>
      <c r="U64" s="17" t="n">
        <v>450</v>
      </c>
      <c r="V64" s="17" t="n">
        <v>105.76</v>
      </c>
      <c r="W64" s="17" t="n">
        <v>137.49</v>
      </c>
      <c r="X64" s="17" t="n">
        <v>47592</v>
      </c>
      <c r="Y64" s="17" t="n">
        <v>47646.69</v>
      </c>
      <c r="Z64" s="17" t="n">
        <v>42408</v>
      </c>
      <c r="AA64" s="17" t="n">
        <v>14277.6</v>
      </c>
      <c r="AB64" s="17" t="n">
        <v>14277.6</v>
      </c>
      <c r="AC64" s="17" t="n">
        <v>14278.5</v>
      </c>
      <c r="AD64" s="17" t="n">
        <v>30</v>
      </c>
      <c r="AE64" s="17" t="n">
        <v>40</v>
      </c>
      <c r="AF64" s="17" t="n">
        <v>5.95</v>
      </c>
      <c r="AG64" s="17" t="n">
        <v>0.1</v>
      </c>
      <c r="AH64" s="17" t="n">
        <v>1.43</v>
      </c>
      <c r="AI64" s="17" t="n">
        <v>7.22</v>
      </c>
      <c r="AJ64" s="17" t="n">
        <v>54.69</v>
      </c>
      <c r="AK64" s="17" t="n">
        <v>14223.81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BANKNIFTY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57686.08</v>
      </c>
      <c r="I65" s="15" t="n">
        <v>56919.04</v>
      </c>
      <c r="J65" s="15" t="inlineStr">
        <is>
          <t>2026-07-30</t>
        </is>
      </c>
      <c r="K65" s="15" t="inlineStr">
        <is>
          <t>MONTHLY</t>
        </is>
      </c>
      <c r="L65" s="15" t="n">
        <v>21</v>
      </c>
      <c r="M65" s="15" t="inlineStr">
        <is>
          <t>09:20 IST</t>
        </is>
      </c>
      <c r="N65" s="15" t="inlineStr">
        <is>
          <t>10:52 IST</t>
        </is>
      </c>
      <c r="O65" s="15" t="n">
        <v>56742.6</v>
      </c>
      <c r="P65" s="15" t="n">
        <v>58200.7</v>
      </c>
      <c r="Q65" s="15" t="inlineStr">
        <is>
          <t>56600 CE</t>
        </is>
      </c>
      <c r="R65" s="15" t="inlineStr">
        <is>
          <t>56800 CE</t>
        </is>
      </c>
      <c r="S65" s="15" t="n">
        <v>15</v>
      </c>
      <c r="T65" s="15" t="n">
        <v>30</v>
      </c>
      <c r="U65" s="15" t="n">
        <v>450</v>
      </c>
      <c r="V65" s="15" t="n">
        <v>103.58</v>
      </c>
      <c r="W65" s="15" t="n">
        <v>72.51000000000001</v>
      </c>
      <c r="X65" s="15" t="n">
        <v>46611</v>
      </c>
      <c r="Y65" s="15" t="n">
        <v>46665.53</v>
      </c>
      <c r="Z65" s="15" t="n">
        <v>43389</v>
      </c>
      <c r="AA65" s="15" t="n">
        <v>13983.3</v>
      </c>
      <c r="AB65" s="15" t="n">
        <v>13983.3</v>
      </c>
      <c r="AC65" s="15" t="n">
        <v>-13981.5</v>
      </c>
      <c r="AD65" s="15" t="n">
        <v>-30</v>
      </c>
      <c r="AE65" s="15" t="n">
        <v>40</v>
      </c>
      <c r="AF65" s="15" t="n">
        <v>5.83</v>
      </c>
      <c r="AG65" s="15" t="n">
        <v>0.09</v>
      </c>
      <c r="AH65" s="15" t="n">
        <v>1.4</v>
      </c>
      <c r="AI65" s="15" t="n">
        <v>7.22</v>
      </c>
      <c r="AJ65" s="15" t="n">
        <v>54.53</v>
      </c>
      <c r="AK65" s="15" t="n">
        <v>-14036.03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BANKNIFTY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57686.08</v>
      </c>
      <c r="I66" s="16" t="n">
        <v>56919.04</v>
      </c>
      <c r="J66" s="16" t="inlineStr">
        <is>
          <t>2026-07-30</t>
        </is>
      </c>
      <c r="K66" s="16" t="inlineStr">
        <is>
          <t>MONTHLY</t>
        </is>
      </c>
      <c r="L66" s="16" t="n">
        <v>21</v>
      </c>
      <c r="M66" s="16" t="inlineStr">
        <is>
          <t>09:20 IST</t>
        </is>
      </c>
      <c r="N66" s="16" t="inlineStr">
        <is>
          <t>14:16 IST</t>
        </is>
      </c>
      <c r="O66" s="16" t="n">
        <v>56742.6</v>
      </c>
      <c r="P66" s="16" t="n">
        <v>58200.7</v>
      </c>
      <c r="Q66" s="16" t="inlineStr">
        <is>
          <t>56800 PE</t>
        </is>
      </c>
      <c r="R66" s="16" t="inlineStr">
        <is>
          <t>56600 PE</t>
        </is>
      </c>
      <c r="S66" s="16" t="n">
        <v>16</v>
      </c>
      <c r="T66" s="16" t="n">
        <v>30</v>
      </c>
      <c r="U66" s="16" t="n">
        <v>480</v>
      </c>
      <c r="V66" s="16" t="n">
        <v>98.56</v>
      </c>
      <c r="W66" s="16" t="n">
        <v>101.5</v>
      </c>
      <c r="X66" s="16" t="n">
        <v>47308.8</v>
      </c>
      <c r="Y66" s="16" t="n">
        <v>47363.44</v>
      </c>
      <c r="Z66" s="16" t="n">
        <v>48691.2</v>
      </c>
      <c r="AA66" s="16" t="n">
        <v>14192.64</v>
      </c>
      <c r="AB66" s="16" t="n">
        <v>14192.64</v>
      </c>
      <c r="AC66" s="16" t="n">
        <v>1411.2</v>
      </c>
      <c r="AD66" s="16" t="n">
        <v>3</v>
      </c>
      <c r="AE66" s="16" t="n">
        <v>40</v>
      </c>
      <c r="AF66" s="16" t="n">
        <v>5.91</v>
      </c>
      <c r="AG66" s="16" t="n">
        <v>0.09</v>
      </c>
      <c r="AH66" s="16" t="n">
        <v>1.42</v>
      </c>
      <c r="AI66" s="16" t="n">
        <v>7.22</v>
      </c>
      <c r="AJ66" s="16" t="n">
        <v>54.64</v>
      </c>
      <c r="AK66" s="16" t="n">
        <v>1356.56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BANKNIFTY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Price↑(58045.9&gt;57252.45) &amp; EMA9↑(57687.91&gt;57060.71)</t>
        </is>
      </c>
      <c r="H67" s="17" t="n">
        <v>57687.91</v>
      </c>
      <c r="I67" s="17" t="n">
        <v>57060.71</v>
      </c>
      <c r="J67" s="17" t="inlineStr">
        <is>
          <t>2026-07-30</t>
        </is>
      </c>
      <c r="K67" s="17" t="inlineStr">
        <is>
          <t>MONTHLY</t>
        </is>
      </c>
      <c r="L67" s="17" t="n">
        <v>20</v>
      </c>
      <c r="M67" s="17" t="inlineStr">
        <is>
          <t>09:20 IST</t>
        </is>
      </c>
      <c r="N67" s="17" t="inlineStr">
        <is>
          <t>10:01 IST</t>
        </is>
      </c>
      <c r="O67" s="17" t="n">
        <v>58045.9</v>
      </c>
      <c r="P67" s="17" t="n">
        <v>57252.45</v>
      </c>
      <c r="Q67" s="17" t="inlineStr">
        <is>
          <t>58000 CE</t>
        </is>
      </c>
      <c r="R67" s="17" t="inlineStr">
        <is>
          <t>58200 CE</t>
        </is>
      </c>
      <c r="S67" s="17" t="n">
        <v>15</v>
      </c>
      <c r="T67" s="17" t="n">
        <v>30</v>
      </c>
      <c r="U67" s="17" t="n">
        <v>450</v>
      </c>
      <c r="V67" s="17" t="n">
        <v>104.98</v>
      </c>
      <c r="W67" s="17" t="n">
        <v>136.47</v>
      </c>
      <c r="X67" s="17" t="n">
        <v>47241</v>
      </c>
      <c r="Y67" s="17" t="n">
        <v>47295.63</v>
      </c>
      <c r="Z67" s="17" t="n">
        <v>42759</v>
      </c>
      <c r="AA67" s="17" t="n">
        <v>14172.3</v>
      </c>
      <c r="AB67" s="17" t="n">
        <v>14172.3</v>
      </c>
      <c r="AC67" s="17" t="n">
        <v>14170.5</v>
      </c>
      <c r="AD67" s="17" t="n">
        <v>30</v>
      </c>
      <c r="AE67" s="17" t="n">
        <v>40</v>
      </c>
      <c r="AF67" s="17" t="n">
        <v>5.91</v>
      </c>
      <c r="AG67" s="17" t="n">
        <v>0.09</v>
      </c>
      <c r="AH67" s="17" t="n">
        <v>1.42</v>
      </c>
      <c r="AI67" s="17" t="n">
        <v>7.22</v>
      </c>
      <c r="AJ67" s="17" t="n">
        <v>54.63</v>
      </c>
      <c r="AK67" s="17" t="n">
        <v>14115.87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7" t="inlineStr">
        <is>
          <t>2026-07-10</t>
        </is>
      </c>
      <c r="B68" s="17" t="inlineStr">
        <is>
          <t>BANKNIFTY</t>
        </is>
      </c>
      <c r="C68" s="17" t="inlineStr">
        <is>
          <t>Both Spreads</t>
        </is>
      </c>
      <c r="D68" s="17" t="inlineStr">
        <is>
          <t>Bear Put Spread</t>
        </is>
      </c>
      <c r="E68" s="17" t="inlineStr">
        <is>
          <t>SIMULATED</t>
        </is>
      </c>
      <c r="F68" s="17" t="inlineStr">
        <is>
          <t>BULLISH</t>
        </is>
      </c>
      <c r="G68" s="17" t="inlineStr">
        <is>
          <t>Price↑(58045.9&gt;57252.45) &amp; EMA9↑(57687.91&gt;57060.71)</t>
        </is>
      </c>
      <c r="H68" s="17" t="n">
        <v>57687.91</v>
      </c>
      <c r="I68" s="17" t="n">
        <v>57060.71</v>
      </c>
      <c r="J68" s="17" t="inlineStr">
        <is>
          <t>2026-07-30</t>
        </is>
      </c>
      <c r="K68" s="17" t="inlineStr">
        <is>
          <t>MONTHLY</t>
        </is>
      </c>
      <c r="L68" s="17" t="n">
        <v>20</v>
      </c>
      <c r="M68" s="17" t="inlineStr">
        <is>
          <t>09:20 IST</t>
        </is>
      </c>
      <c r="N68" s="17" t="inlineStr">
        <is>
          <t>10:43 IST</t>
        </is>
      </c>
      <c r="O68" s="17" t="n">
        <v>58045.9</v>
      </c>
      <c r="P68" s="17" t="n">
        <v>57252.45</v>
      </c>
      <c r="Q68" s="17" t="inlineStr">
        <is>
          <t>58200 PE</t>
        </is>
      </c>
      <c r="R68" s="17" t="inlineStr">
        <is>
          <t>58000 PE</t>
        </is>
      </c>
      <c r="S68" s="17" t="n">
        <v>19</v>
      </c>
      <c r="T68" s="17" t="n">
        <v>30</v>
      </c>
      <c r="U68" s="17" t="n">
        <v>570</v>
      </c>
      <c r="V68" s="17" t="n">
        <v>85.16</v>
      </c>
      <c r="W68" s="17" t="n">
        <v>110.71</v>
      </c>
      <c r="X68" s="17" t="n">
        <v>48541.2</v>
      </c>
      <c r="Y68" s="17" t="n">
        <v>48596.04</v>
      </c>
      <c r="Z68" s="17" t="n">
        <v>65458.8</v>
      </c>
      <c r="AA68" s="17" t="n">
        <v>14562.36</v>
      </c>
      <c r="AB68" s="17" t="n">
        <v>14562.36</v>
      </c>
      <c r="AC68" s="17" t="n">
        <v>14563.5</v>
      </c>
      <c r="AD68" s="17" t="n">
        <v>30</v>
      </c>
      <c r="AE68" s="17" t="n">
        <v>40</v>
      </c>
      <c r="AF68" s="17" t="n">
        <v>6.07</v>
      </c>
      <c r="AG68" s="17" t="n">
        <v>0.1</v>
      </c>
      <c r="AH68" s="17" t="n">
        <v>1.46</v>
      </c>
      <c r="AI68" s="17" t="n">
        <v>7.22</v>
      </c>
      <c r="AJ68" s="17" t="n">
        <v>54.84</v>
      </c>
      <c r="AK68" s="17" t="n">
        <v>14508.66</v>
      </c>
      <c r="AL68" s="17" t="inlineStr">
        <is>
          <t>PROFIT</t>
        </is>
      </c>
      <c r="AM68" s="17" t="n">
        <v>50000</v>
      </c>
      <c r="AN68" s="17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BANKNIFTY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Price↑(57252.45&gt;56742.6) &amp; EMA9↑(57598.41&gt;56962.19)</t>
        </is>
      </c>
      <c r="H69" s="17" t="n">
        <v>57598.41</v>
      </c>
      <c r="I69" s="17" t="n">
        <v>56962.19</v>
      </c>
      <c r="J69" s="17" t="inlineStr">
        <is>
          <t>2026-07-30</t>
        </is>
      </c>
      <c r="K69" s="17" t="inlineStr">
        <is>
          <t>MONTHLY</t>
        </is>
      </c>
      <c r="L69" s="17" t="n">
        <v>20</v>
      </c>
      <c r="M69" s="17" t="inlineStr">
        <is>
          <t>09:20 IST</t>
        </is>
      </c>
      <c r="N69" s="17" t="inlineStr">
        <is>
          <t>10:32 IST</t>
        </is>
      </c>
      <c r="O69" s="17" t="n">
        <v>57252.45</v>
      </c>
      <c r="P69" s="17" t="n">
        <v>56742.6</v>
      </c>
      <c r="Q69" s="17" t="inlineStr">
        <is>
          <t>57200 CE</t>
        </is>
      </c>
      <c r="R69" s="17" t="inlineStr">
        <is>
          <t>57400 CE</t>
        </is>
      </c>
      <c r="S69" s="17" t="n">
        <v>16</v>
      </c>
      <c r="T69" s="17" t="n">
        <v>30</v>
      </c>
      <c r="U69" s="17" t="n">
        <v>480</v>
      </c>
      <c r="V69" s="17" t="n">
        <v>100.29</v>
      </c>
      <c r="W69" s="17" t="n">
        <v>130.38</v>
      </c>
      <c r="X69" s="17" t="n">
        <v>48139.2</v>
      </c>
      <c r="Y69" s="17" t="n">
        <v>48193.98</v>
      </c>
      <c r="Z69" s="17" t="n">
        <v>47860.8</v>
      </c>
      <c r="AA69" s="17" t="n">
        <v>14441.76</v>
      </c>
      <c r="AB69" s="17" t="n">
        <v>14441.76</v>
      </c>
      <c r="AC69" s="17" t="n">
        <v>14443.2</v>
      </c>
      <c r="AD69" s="17" t="n">
        <v>30</v>
      </c>
      <c r="AE69" s="17" t="n">
        <v>40</v>
      </c>
      <c r="AF69" s="17" t="n">
        <v>6.02</v>
      </c>
      <c r="AG69" s="17" t="n">
        <v>0.1</v>
      </c>
      <c r="AH69" s="17" t="n">
        <v>1.44</v>
      </c>
      <c r="AI69" s="17" t="n">
        <v>7.22</v>
      </c>
      <c r="AJ69" s="17" t="n">
        <v>54.78</v>
      </c>
      <c r="AK69" s="17" t="n">
        <v>14388.42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BANKNIFTY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Price↑(57252.45&gt;56742.6) &amp; EMA9↑(57598.41&gt;56962.19)</t>
        </is>
      </c>
      <c r="H70" s="17" t="n">
        <v>57598.41</v>
      </c>
      <c r="I70" s="17" t="n">
        <v>56962.19</v>
      </c>
      <c r="J70" s="17" t="inlineStr">
        <is>
          <t>2026-07-30</t>
        </is>
      </c>
      <c r="K70" s="17" t="inlineStr">
        <is>
          <t>MONTHLY</t>
        </is>
      </c>
      <c r="L70" s="17" t="n">
        <v>20</v>
      </c>
      <c r="M70" s="17" t="inlineStr">
        <is>
          <t>09:20 IST</t>
        </is>
      </c>
      <c r="N70" s="17" t="inlineStr">
        <is>
          <t>10:56 IST</t>
        </is>
      </c>
      <c r="O70" s="17" t="n">
        <v>57252.45</v>
      </c>
      <c r="P70" s="17" t="n">
        <v>56742.6</v>
      </c>
      <c r="Q70" s="17" t="inlineStr">
        <is>
          <t>57400 PE</t>
        </is>
      </c>
      <c r="R70" s="17" t="inlineStr">
        <is>
          <t>57200 PE</t>
        </is>
      </c>
      <c r="S70" s="17" t="n">
        <v>17</v>
      </c>
      <c r="T70" s="17" t="n">
        <v>30</v>
      </c>
      <c r="U70" s="17" t="n">
        <v>510</v>
      </c>
      <c r="V70" s="17" t="n">
        <v>94.73</v>
      </c>
      <c r="W70" s="17" t="n">
        <v>123.15</v>
      </c>
      <c r="X70" s="17" t="n">
        <v>48312.3</v>
      </c>
      <c r="Y70" s="17" t="n">
        <v>48367.1</v>
      </c>
      <c r="Z70" s="17" t="n">
        <v>53687.7</v>
      </c>
      <c r="AA70" s="17" t="n">
        <v>14493.69</v>
      </c>
      <c r="AB70" s="17" t="n">
        <v>14493.69</v>
      </c>
      <c r="AC70" s="17" t="n">
        <v>14494.2</v>
      </c>
      <c r="AD70" s="17" t="n">
        <v>30</v>
      </c>
      <c r="AE70" s="17" t="n">
        <v>40</v>
      </c>
      <c r="AF70" s="17" t="n">
        <v>6.04</v>
      </c>
      <c r="AG70" s="17" t="n">
        <v>0.1</v>
      </c>
      <c r="AH70" s="17" t="n">
        <v>1.45</v>
      </c>
      <c r="AI70" s="17" t="n">
        <v>7.22</v>
      </c>
      <c r="AJ70" s="17" t="n">
        <v>54.8</v>
      </c>
      <c r="AK70" s="17" t="n">
        <v>14439.4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5" t="inlineStr">
        <is>
          <t>2026-07-13</t>
        </is>
      </c>
      <c r="B71" s="15" t="inlineStr">
        <is>
          <t>BANKNIFTY</t>
        </is>
      </c>
      <c r="C71" s="15" t="inlineStr">
        <is>
          <t>Both Spreads</t>
        </is>
      </c>
      <c r="D71" s="15" t="inlineStr">
        <is>
          <t>Bull Call Spread</t>
        </is>
      </c>
      <c r="E71" s="15" t="inlineStr">
        <is>
          <t>SIMULATED</t>
        </is>
      </c>
      <c r="F71" s="15" t="inlineStr">
        <is>
          <t>BULLISH</t>
        </is>
      </c>
      <c r="G71" s="15" t="inlineStr">
        <is>
          <t>Price↑(58131.45&gt;58045.9) &amp; EMA9↑(57775.18&gt;57179.74)</t>
        </is>
      </c>
      <c r="H71" s="15" t="n">
        <v>57775.18</v>
      </c>
      <c r="I71" s="15" t="n">
        <v>57179.74</v>
      </c>
      <c r="J71" s="15" t="inlineStr">
        <is>
          <t>2026-07-30</t>
        </is>
      </c>
      <c r="K71" s="15" t="inlineStr">
        <is>
          <t>MONTHLY</t>
        </is>
      </c>
      <c r="L71" s="15" t="n">
        <v>17</v>
      </c>
      <c r="M71" s="15" t="inlineStr">
        <is>
          <t>09:20 IST</t>
        </is>
      </c>
      <c r="N71" s="15" t="inlineStr">
        <is>
          <t>10:11 IST</t>
        </is>
      </c>
      <c r="O71" s="15" t="n">
        <v>58131.45</v>
      </c>
      <c r="P71" s="15" t="n">
        <v>58045.9</v>
      </c>
      <c r="Q71" s="15" t="inlineStr">
        <is>
          <t>58000 CE</t>
        </is>
      </c>
      <c r="R71" s="15" t="inlineStr">
        <is>
          <t>58200 CE</t>
        </is>
      </c>
      <c r="S71" s="15" t="n">
        <v>15</v>
      </c>
      <c r="T71" s="15" t="n">
        <v>30</v>
      </c>
      <c r="U71" s="15" t="n">
        <v>450</v>
      </c>
      <c r="V71" s="15" t="n">
        <v>108.77</v>
      </c>
      <c r="W71" s="15" t="n">
        <v>76.14</v>
      </c>
      <c r="X71" s="15" t="n">
        <v>48946.5</v>
      </c>
      <c r="Y71" s="15" t="n">
        <v>49001.4</v>
      </c>
      <c r="Z71" s="15" t="n">
        <v>41053.5</v>
      </c>
      <c r="AA71" s="15" t="n">
        <v>14683.95</v>
      </c>
      <c r="AB71" s="15" t="n">
        <v>14683.95</v>
      </c>
      <c r="AC71" s="15" t="n">
        <v>-14683.5</v>
      </c>
      <c r="AD71" s="15" t="n">
        <v>-30</v>
      </c>
      <c r="AE71" s="15" t="n">
        <v>40</v>
      </c>
      <c r="AF71" s="15" t="n">
        <v>6.12</v>
      </c>
      <c r="AG71" s="15" t="n">
        <v>0.1</v>
      </c>
      <c r="AH71" s="15" t="n">
        <v>1.47</v>
      </c>
      <c r="AI71" s="15" t="n">
        <v>7.22</v>
      </c>
      <c r="AJ71" s="15" t="n">
        <v>54.9</v>
      </c>
      <c r="AK71" s="15" t="n">
        <v>-14738.4</v>
      </c>
      <c r="AL71" s="15" t="inlineStr">
        <is>
          <t>STOP LOSS</t>
        </is>
      </c>
      <c r="AM71" s="15" t="n">
        <v>50000</v>
      </c>
      <c r="AN71" s="15" t="inlineStr">
        <is>
          <t>PAPER TRADING</t>
        </is>
      </c>
    </row>
    <row r="72">
      <c r="A72" s="15" t="inlineStr">
        <is>
          <t>2026-07-13</t>
        </is>
      </c>
      <c r="B72" s="15" t="inlineStr">
        <is>
          <t>BANKNIFTY</t>
        </is>
      </c>
      <c r="C72" s="15" t="inlineStr">
        <is>
          <t>Both Spreads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Price↑(58131.45&gt;58045.9) &amp; EMA9↑(57775.18&gt;57179.74)</t>
        </is>
      </c>
      <c r="H72" s="15" t="n">
        <v>57775.18</v>
      </c>
      <c r="I72" s="15" t="n">
        <v>57179.74</v>
      </c>
      <c r="J72" s="15" t="inlineStr">
        <is>
          <t>2026-07-30</t>
        </is>
      </c>
      <c r="K72" s="15" t="inlineStr">
        <is>
          <t>MONTHLY</t>
        </is>
      </c>
      <c r="L72" s="15" t="n">
        <v>17</v>
      </c>
      <c r="M72" s="15" t="inlineStr">
        <is>
          <t>09:20 IST</t>
        </is>
      </c>
      <c r="N72" s="15" t="inlineStr">
        <is>
          <t>10:10 IST</t>
        </is>
      </c>
      <c r="O72" s="15" t="n">
        <v>58131.45</v>
      </c>
      <c r="P72" s="15" t="n">
        <v>58045.9</v>
      </c>
      <c r="Q72" s="15" t="inlineStr">
        <is>
          <t>58200 PE</t>
        </is>
      </c>
      <c r="R72" s="15" t="inlineStr">
        <is>
          <t>58000 PE</t>
        </is>
      </c>
      <c r="S72" s="15" t="n">
        <v>18</v>
      </c>
      <c r="T72" s="15" t="n">
        <v>30</v>
      </c>
      <c r="U72" s="15" t="n">
        <v>540</v>
      </c>
      <c r="V72" s="15" t="n">
        <v>87.41</v>
      </c>
      <c r="W72" s="15" t="n">
        <v>61.19</v>
      </c>
      <c r="X72" s="15" t="n">
        <v>47201.4</v>
      </c>
      <c r="Y72" s="15" t="n">
        <v>47256.03</v>
      </c>
      <c r="Z72" s="15" t="n">
        <v>60798.6</v>
      </c>
      <c r="AA72" s="15" t="n">
        <v>14160.42</v>
      </c>
      <c r="AB72" s="15" t="n">
        <v>14160.42</v>
      </c>
      <c r="AC72" s="15" t="n">
        <v>-14158.8</v>
      </c>
      <c r="AD72" s="15" t="n">
        <v>-30</v>
      </c>
      <c r="AE72" s="15" t="n">
        <v>40</v>
      </c>
      <c r="AF72" s="15" t="n">
        <v>5.9</v>
      </c>
      <c r="AG72" s="15" t="n">
        <v>0.09</v>
      </c>
      <c r="AH72" s="15" t="n">
        <v>1.42</v>
      </c>
      <c r="AI72" s="15" t="n">
        <v>7.22</v>
      </c>
      <c r="AJ72" s="15" t="n">
        <v>54.63</v>
      </c>
      <c r="AK72" s="15" t="n">
        <v>-14213.43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BANKNIFTY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Price↑(58045.9&gt;57252.45) &amp; EMA9↑(57686.12&gt;57084.57)</t>
        </is>
      </c>
      <c r="H73" s="15" t="n">
        <v>57686.12</v>
      </c>
      <c r="I73" s="15" t="n">
        <v>57084.57</v>
      </c>
      <c r="J73" s="15" t="inlineStr">
        <is>
          <t>2026-07-30</t>
        </is>
      </c>
      <c r="K73" s="15" t="inlineStr">
        <is>
          <t>MONTHLY</t>
        </is>
      </c>
      <c r="L73" s="15" t="n">
        <v>17</v>
      </c>
      <c r="M73" s="15" t="inlineStr">
        <is>
          <t>09:20 IST</t>
        </is>
      </c>
      <c r="N73" s="15" t="inlineStr">
        <is>
          <t>10:36 IST</t>
        </is>
      </c>
      <c r="O73" s="15" t="n">
        <v>58045.9</v>
      </c>
      <c r="P73" s="15" t="n">
        <v>57252.45</v>
      </c>
      <c r="Q73" s="15" t="inlineStr">
        <is>
          <t>58000 CE</t>
        </is>
      </c>
      <c r="R73" s="15" t="inlineStr">
        <is>
          <t>58200 CE</t>
        </is>
      </c>
      <c r="S73" s="15" t="n">
        <v>20</v>
      </c>
      <c r="T73" s="15" t="n">
        <v>30</v>
      </c>
      <c r="U73" s="15" t="n">
        <v>600</v>
      </c>
      <c r="V73" s="15" t="n">
        <v>81.53</v>
      </c>
      <c r="W73" s="15" t="n">
        <v>57.07</v>
      </c>
      <c r="X73" s="15" t="n">
        <v>48918</v>
      </c>
      <c r="Y73" s="15" t="n">
        <v>48972.9</v>
      </c>
      <c r="Z73" s="15" t="n">
        <v>71082</v>
      </c>
      <c r="AA73" s="15" t="n">
        <v>14675.4</v>
      </c>
      <c r="AB73" s="15" t="n">
        <v>14675.4</v>
      </c>
      <c r="AC73" s="15" t="n">
        <v>-14676</v>
      </c>
      <c r="AD73" s="15" t="n">
        <v>-30</v>
      </c>
      <c r="AE73" s="15" t="n">
        <v>40</v>
      </c>
      <c r="AF73" s="15" t="n">
        <v>6.11</v>
      </c>
      <c r="AG73" s="15" t="n">
        <v>0.1</v>
      </c>
      <c r="AH73" s="15" t="n">
        <v>1.47</v>
      </c>
      <c r="AI73" s="15" t="n">
        <v>7.22</v>
      </c>
      <c r="AJ73" s="15" t="n">
        <v>54.9</v>
      </c>
      <c r="AK73" s="15" t="n">
        <v>-14730.9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2026-07-14</t>
        </is>
      </c>
      <c r="B74" s="15" t="inlineStr">
        <is>
          <t>BANKNIFTY</t>
        </is>
      </c>
      <c r="C74" s="15" t="inlineStr">
        <is>
          <t>Both Spreads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BULLISH</t>
        </is>
      </c>
      <c r="G74" s="15" t="inlineStr">
        <is>
          <t>Price↑(58045.9&gt;57252.45) &amp; EMA9↑(57686.12&gt;57084.57)</t>
        </is>
      </c>
      <c r="H74" s="15" t="n">
        <v>57686.12</v>
      </c>
      <c r="I74" s="15" t="n">
        <v>57084.57</v>
      </c>
      <c r="J74" s="15" t="inlineStr">
        <is>
          <t>2026-07-30</t>
        </is>
      </c>
      <c r="K74" s="15" t="inlineStr">
        <is>
          <t>MONTHLY</t>
        </is>
      </c>
      <c r="L74" s="15" t="n">
        <v>17</v>
      </c>
      <c r="M74" s="15" t="inlineStr">
        <is>
          <t>09:20 IST</t>
        </is>
      </c>
      <c r="N74" s="15" t="inlineStr">
        <is>
          <t>10:29 IST</t>
        </is>
      </c>
      <c r="O74" s="15" t="n">
        <v>58045.9</v>
      </c>
      <c r="P74" s="15" t="n">
        <v>57252.45</v>
      </c>
      <c r="Q74" s="15" t="inlineStr">
        <is>
          <t>58200 PE</t>
        </is>
      </c>
      <c r="R74" s="15" t="inlineStr">
        <is>
          <t>58000 PE</t>
        </is>
      </c>
      <c r="S74" s="15" t="n">
        <v>18</v>
      </c>
      <c r="T74" s="15" t="n">
        <v>30</v>
      </c>
      <c r="U74" s="15" t="n">
        <v>540</v>
      </c>
      <c r="V74" s="15" t="n">
        <v>86.81</v>
      </c>
      <c r="W74" s="15" t="n">
        <v>60.77</v>
      </c>
      <c r="X74" s="15" t="n">
        <v>46877.4</v>
      </c>
      <c r="Y74" s="15" t="n">
        <v>46931.98</v>
      </c>
      <c r="Z74" s="15" t="n">
        <v>61122.6</v>
      </c>
      <c r="AA74" s="15" t="n">
        <v>14063.22</v>
      </c>
      <c r="AB74" s="15" t="n">
        <v>14063.22</v>
      </c>
      <c r="AC74" s="15" t="n">
        <v>-14061.6</v>
      </c>
      <c r="AD74" s="15" t="n">
        <v>-30</v>
      </c>
      <c r="AE74" s="15" t="n">
        <v>40</v>
      </c>
      <c r="AF74" s="15" t="n">
        <v>5.86</v>
      </c>
      <c r="AG74" s="15" t="n">
        <v>0.09</v>
      </c>
      <c r="AH74" s="15" t="n">
        <v>1.41</v>
      </c>
      <c r="AI74" s="15" t="n">
        <v>7.22</v>
      </c>
      <c r="AJ74" s="15" t="n">
        <v>54.58</v>
      </c>
      <c r="AK74" s="15" t="n">
        <v>-14116.18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6" t="inlineStr">
        <is>
          <t>2026-07-14</t>
        </is>
      </c>
      <c r="B75" s="16" t="inlineStr">
        <is>
          <t>BANKNIFTY</t>
        </is>
      </c>
      <c r="C75" s="16" t="inlineStr">
        <is>
          <t>Both Spreads</t>
        </is>
      </c>
      <c r="D75" s="16" t="inlineStr">
        <is>
          <t>Bull Call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57746.15</v>
      </c>
      <c r="I75" s="16" t="n">
        <v>57250.18</v>
      </c>
      <c r="J75" s="16" t="inlineStr">
        <is>
          <t>2026-07-30</t>
        </is>
      </c>
      <c r="K75" s="16" t="inlineStr">
        <is>
          <t>MONTHLY</t>
        </is>
      </c>
      <c r="L75" s="16" t="n">
        <v>16</v>
      </c>
      <c r="M75" s="16" t="inlineStr">
        <is>
          <t>09:20 IST</t>
        </is>
      </c>
      <c r="N75" s="16" t="inlineStr">
        <is>
          <t>13:59 IST</t>
        </is>
      </c>
      <c r="O75" s="16" t="n">
        <v>57635.55</v>
      </c>
      <c r="P75" s="16" t="n">
        <v>58131.45</v>
      </c>
      <c r="Q75" s="16" t="inlineStr">
        <is>
          <t>57600 CE</t>
        </is>
      </c>
      <c r="R75" s="16" t="inlineStr">
        <is>
          <t>57800 CE</t>
        </is>
      </c>
      <c r="S75" s="16" t="n">
        <v>18</v>
      </c>
      <c r="T75" s="16" t="n">
        <v>30</v>
      </c>
      <c r="U75" s="16" t="n">
        <v>540</v>
      </c>
      <c r="V75" s="16" t="n">
        <v>86.98</v>
      </c>
      <c r="W75" s="16" t="n">
        <v>84.08</v>
      </c>
      <c r="X75" s="16" t="n">
        <v>46969.2</v>
      </c>
      <c r="Y75" s="16" t="n">
        <v>47023.79</v>
      </c>
      <c r="Z75" s="16" t="n">
        <v>61030.8</v>
      </c>
      <c r="AA75" s="16" t="n">
        <v>14090.76</v>
      </c>
      <c r="AB75" s="16" t="n">
        <v>14090.76</v>
      </c>
      <c r="AC75" s="16" t="n">
        <v>-1566</v>
      </c>
      <c r="AD75" s="16" t="n">
        <v>-3.3</v>
      </c>
      <c r="AE75" s="16" t="n">
        <v>40</v>
      </c>
      <c r="AF75" s="16" t="n">
        <v>5.87</v>
      </c>
      <c r="AG75" s="16" t="n">
        <v>0.09</v>
      </c>
      <c r="AH75" s="16" t="n">
        <v>1.41</v>
      </c>
      <c r="AI75" s="16" t="n">
        <v>7.22</v>
      </c>
      <c r="AJ75" s="16" t="n">
        <v>54.59</v>
      </c>
      <c r="AK75" s="16" t="n">
        <v>-1620.59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6" t="inlineStr">
        <is>
          <t>2026-07-14</t>
        </is>
      </c>
      <c r="B76" s="16" t="inlineStr">
        <is>
          <t>BANKNIFTY</t>
        </is>
      </c>
      <c r="C76" s="16" t="inlineStr">
        <is>
          <t>Both Spreads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57746.15</v>
      </c>
      <c r="I76" s="16" t="n">
        <v>57250.18</v>
      </c>
      <c r="J76" s="16" t="inlineStr">
        <is>
          <t>2026-07-30</t>
        </is>
      </c>
      <c r="K76" s="16" t="inlineStr">
        <is>
          <t>MONTHLY</t>
        </is>
      </c>
      <c r="L76" s="16" t="n">
        <v>16</v>
      </c>
      <c r="M76" s="16" t="inlineStr">
        <is>
          <t>09:20 IST</t>
        </is>
      </c>
      <c r="N76" s="16" t="inlineStr">
        <is>
          <t>14:56 IST</t>
        </is>
      </c>
      <c r="O76" s="16" t="n">
        <v>57635.55</v>
      </c>
      <c r="P76" s="16" t="n">
        <v>58131.45</v>
      </c>
      <c r="Q76" s="16" t="inlineStr">
        <is>
          <t>57800 PE</t>
        </is>
      </c>
      <c r="R76" s="16" t="inlineStr">
        <is>
          <t>57600 PE</t>
        </is>
      </c>
      <c r="S76" s="16" t="n">
        <v>17</v>
      </c>
      <c r="T76" s="16" t="n">
        <v>30</v>
      </c>
      <c r="U76" s="16" t="n">
        <v>510</v>
      </c>
      <c r="V76" s="16" t="n">
        <v>95.67</v>
      </c>
      <c r="W76" s="16" t="n">
        <v>91.31999999999999</v>
      </c>
      <c r="X76" s="16" t="n">
        <v>48791.7</v>
      </c>
      <c r="Y76" s="16" t="n">
        <v>48846.58</v>
      </c>
      <c r="Z76" s="16" t="n">
        <v>53208.3</v>
      </c>
      <c r="AA76" s="16" t="n">
        <v>14637.51</v>
      </c>
      <c r="AB76" s="16" t="n">
        <v>14637.51</v>
      </c>
      <c r="AC76" s="16" t="n">
        <v>-2218.5</v>
      </c>
      <c r="AD76" s="16" t="n">
        <v>-4.5</v>
      </c>
      <c r="AE76" s="16" t="n">
        <v>40</v>
      </c>
      <c r="AF76" s="16" t="n">
        <v>6.1</v>
      </c>
      <c r="AG76" s="16" t="n">
        <v>0.1</v>
      </c>
      <c r="AH76" s="16" t="n">
        <v>1.46</v>
      </c>
      <c r="AI76" s="16" t="n">
        <v>7.22</v>
      </c>
      <c r="AJ76" s="16" t="n">
        <v>54.88</v>
      </c>
      <c r="AK76" s="16" t="n">
        <v>-2273.38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2026-07-14</t>
        </is>
      </c>
      <c r="B77" s="15" t="inlineStr">
        <is>
          <t>BANKNIFTY</t>
        </is>
      </c>
      <c r="C77" s="15" t="inlineStr">
        <is>
          <t>Both Spreads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57711.5</v>
      </c>
      <c r="I77" s="15" t="n">
        <v>57234.43</v>
      </c>
      <c r="J77" s="15" t="inlineStr">
        <is>
          <t>2026-07-30</t>
        </is>
      </c>
      <c r="K77" s="15" t="inlineStr">
        <is>
          <t>MONTHLY</t>
        </is>
      </c>
      <c r="L77" s="15" t="n">
        <v>16</v>
      </c>
      <c r="M77" s="15" t="inlineStr">
        <is>
          <t>09:20 IST</t>
        </is>
      </c>
      <c r="N77" s="15" t="inlineStr">
        <is>
          <t>10:25 IST</t>
        </is>
      </c>
      <c r="O77" s="15" t="n">
        <v>57462.3</v>
      </c>
      <c r="P77" s="15" t="n">
        <v>58131.45</v>
      </c>
      <c r="Q77" s="15" t="inlineStr">
        <is>
          <t>57400 CE</t>
        </is>
      </c>
      <c r="R77" s="15" t="inlineStr">
        <is>
          <t>57600 CE</t>
        </is>
      </c>
      <c r="S77" s="15" t="n">
        <v>17</v>
      </c>
      <c r="T77" s="15" t="n">
        <v>30</v>
      </c>
      <c r="U77" s="15" t="n">
        <v>510</v>
      </c>
      <c r="V77" s="15" t="n">
        <v>95.36</v>
      </c>
      <c r="W77" s="15" t="n">
        <v>66.75</v>
      </c>
      <c r="X77" s="15" t="n">
        <v>48633.6</v>
      </c>
      <c r="Y77" s="15" t="n">
        <v>48688.45</v>
      </c>
      <c r="Z77" s="15" t="n">
        <v>53366.4</v>
      </c>
      <c r="AA77" s="15" t="n">
        <v>14590.08</v>
      </c>
      <c r="AB77" s="15" t="n">
        <v>14590.08</v>
      </c>
      <c r="AC77" s="15" t="n">
        <v>-14591.1</v>
      </c>
      <c r="AD77" s="15" t="n">
        <v>-30</v>
      </c>
      <c r="AE77" s="15" t="n">
        <v>40</v>
      </c>
      <c r="AF77" s="15" t="n">
        <v>6.08</v>
      </c>
      <c r="AG77" s="15" t="n">
        <v>0.1</v>
      </c>
      <c r="AH77" s="15" t="n">
        <v>1.46</v>
      </c>
      <c r="AI77" s="15" t="n">
        <v>7.22</v>
      </c>
      <c r="AJ77" s="15" t="n">
        <v>54.85</v>
      </c>
      <c r="AK77" s="15" t="n">
        <v>-14645.95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BANKNIFTY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57711.5</v>
      </c>
      <c r="I78" s="17" t="n">
        <v>57234.43</v>
      </c>
      <c r="J78" s="17" t="inlineStr">
        <is>
          <t>2026-07-30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10:13 IST</t>
        </is>
      </c>
      <c r="O78" s="17" t="n">
        <v>57462.3</v>
      </c>
      <c r="P78" s="17" t="n">
        <v>58131.45</v>
      </c>
      <c r="Q78" s="17" t="inlineStr">
        <is>
          <t>57600 PE</t>
        </is>
      </c>
      <c r="R78" s="17" t="inlineStr">
        <is>
          <t>57400 PE</t>
        </is>
      </c>
      <c r="S78" s="17" t="n">
        <v>15</v>
      </c>
      <c r="T78" s="17" t="n">
        <v>30</v>
      </c>
      <c r="U78" s="17" t="n">
        <v>450</v>
      </c>
      <c r="V78" s="17" t="n">
        <v>105.02</v>
      </c>
      <c r="W78" s="17" t="n">
        <v>136.53</v>
      </c>
      <c r="X78" s="17" t="n">
        <v>47259</v>
      </c>
      <c r="Y78" s="17" t="n">
        <v>47313.64</v>
      </c>
      <c r="Z78" s="17" t="n">
        <v>42741</v>
      </c>
      <c r="AA78" s="17" t="n">
        <v>14177.7</v>
      </c>
      <c r="AB78" s="17" t="n">
        <v>14177.7</v>
      </c>
      <c r="AC78" s="17" t="n">
        <v>14179.5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14124.86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2026-07-15</t>
        </is>
      </c>
      <c r="B79" s="15" t="inlineStr">
        <is>
          <t>BANKNIFTY</t>
        </is>
      </c>
      <c r="C79" s="15" t="inlineStr">
        <is>
          <t>Both Spreads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SKIP</t>
        </is>
      </c>
      <c r="G79" s="15" t="inlineStr">
        <is>
          <t>Conflicting — Price:BEARISH EMA:BULLISH</t>
        </is>
      </c>
      <c r="H79" s="15" t="n">
        <v>57832.62</v>
      </c>
      <c r="I79" s="15" t="n">
        <v>57322.04</v>
      </c>
      <c r="J79" s="15" t="inlineStr">
        <is>
          <t>2026-07-30</t>
        </is>
      </c>
      <c r="K79" s="15" t="inlineStr">
        <is>
          <t>MONTHLY</t>
        </is>
      </c>
      <c r="L79" s="15" t="n">
        <v>15</v>
      </c>
      <c r="M79" s="15" t="inlineStr">
        <is>
          <t>09:20 IST</t>
        </is>
      </c>
      <c r="N79" s="15" t="inlineStr">
        <is>
          <t>10:34 IST</t>
        </is>
      </c>
      <c r="O79" s="15" t="n">
        <v>58073.65</v>
      </c>
      <c r="P79" s="15" t="n">
        <v>58131.45</v>
      </c>
      <c r="Q79" s="15" t="inlineStr">
        <is>
          <t>58000 CE</t>
        </is>
      </c>
      <c r="R79" s="15" t="inlineStr">
        <is>
          <t>58200 CE</t>
        </is>
      </c>
      <c r="S79" s="15" t="n">
        <v>19</v>
      </c>
      <c r="T79" s="15" t="n">
        <v>30</v>
      </c>
      <c r="U79" s="15" t="n">
        <v>570</v>
      </c>
      <c r="V79" s="15" t="n">
        <v>85.14</v>
      </c>
      <c r="W79" s="15" t="n">
        <v>59.6</v>
      </c>
      <c r="X79" s="15" t="n">
        <v>48529.8</v>
      </c>
      <c r="Y79" s="15" t="n">
        <v>48584.64</v>
      </c>
      <c r="Z79" s="15" t="n">
        <v>65470.2</v>
      </c>
      <c r="AA79" s="15" t="n">
        <v>14558.94</v>
      </c>
      <c r="AB79" s="15" t="n">
        <v>14558.94</v>
      </c>
      <c r="AC79" s="15" t="n">
        <v>-14557.8</v>
      </c>
      <c r="AD79" s="15" t="n">
        <v>-30</v>
      </c>
      <c r="AE79" s="15" t="n">
        <v>40</v>
      </c>
      <c r="AF79" s="15" t="n">
        <v>6.07</v>
      </c>
      <c r="AG79" s="15" t="n">
        <v>0.1</v>
      </c>
      <c r="AH79" s="15" t="n">
        <v>1.46</v>
      </c>
      <c r="AI79" s="15" t="n">
        <v>7.22</v>
      </c>
      <c r="AJ79" s="15" t="n">
        <v>54.84</v>
      </c>
      <c r="AK79" s="15" t="n">
        <v>-14612.64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6" t="inlineStr">
        <is>
          <t>2026-07-15</t>
        </is>
      </c>
      <c r="B80" s="16" t="inlineStr">
        <is>
          <t>BANKNIFTY</t>
        </is>
      </c>
      <c r="C80" s="16" t="inlineStr">
        <is>
          <t>Both Spreads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57832.62</v>
      </c>
      <c r="I80" s="16" t="n">
        <v>57322.04</v>
      </c>
      <c r="J80" s="16" t="inlineStr">
        <is>
          <t>2026-07-30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14:15 IST</t>
        </is>
      </c>
      <c r="O80" s="16" t="n">
        <v>58073.65</v>
      </c>
      <c r="P80" s="16" t="n">
        <v>58131.45</v>
      </c>
      <c r="Q80" s="16" t="inlineStr">
        <is>
          <t>58200 PE</t>
        </is>
      </c>
      <c r="R80" s="16" t="inlineStr">
        <is>
          <t>58000 PE</t>
        </is>
      </c>
      <c r="S80" s="16" t="n">
        <v>17</v>
      </c>
      <c r="T80" s="16" t="n">
        <v>30</v>
      </c>
      <c r="U80" s="16" t="n">
        <v>510</v>
      </c>
      <c r="V80" s="16" t="n">
        <v>93.81</v>
      </c>
      <c r="W80" s="16" t="n">
        <v>97.03</v>
      </c>
      <c r="X80" s="16" t="n">
        <v>47843.1</v>
      </c>
      <c r="Y80" s="16" t="n">
        <v>47897.83</v>
      </c>
      <c r="Z80" s="16" t="n">
        <v>54156.9</v>
      </c>
      <c r="AA80" s="16" t="n">
        <v>14352.93</v>
      </c>
      <c r="AB80" s="16" t="n">
        <v>14352.93</v>
      </c>
      <c r="AC80" s="16" t="n">
        <v>1642.2</v>
      </c>
      <c r="AD80" s="16" t="n">
        <v>3.4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1587.47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BANKNIFTY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57769.47</v>
      </c>
      <c r="I81" s="15" t="n">
        <v>57293.33</v>
      </c>
      <c r="J81" s="15" t="inlineStr">
        <is>
          <t>2026-07-30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10:01 IST</t>
        </is>
      </c>
      <c r="O81" s="15" t="n">
        <v>57757.85</v>
      </c>
      <c r="P81" s="15" t="n">
        <v>58131.45</v>
      </c>
      <c r="Q81" s="15" t="inlineStr">
        <is>
          <t>57600 CE</t>
        </is>
      </c>
      <c r="R81" s="15" t="inlineStr">
        <is>
          <t>57800 CE</t>
        </is>
      </c>
      <c r="S81" s="15" t="n">
        <v>19</v>
      </c>
      <c r="T81" s="15" t="n">
        <v>30</v>
      </c>
      <c r="U81" s="15" t="n">
        <v>570</v>
      </c>
      <c r="V81" s="15" t="n">
        <v>85.01000000000001</v>
      </c>
      <c r="W81" s="15" t="n">
        <v>59.51</v>
      </c>
      <c r="X81" s="15" t="n">
        <v>48455.7</v>
      </c>
      <c r="Y81" s="15" t="n">
        <v>48510.52</v>
      </c>
      <c r="Z81" s="15" t="n">
        <v>65544.3</v>
      </c>
      <c r="AA81" s="15" t="n">
        <v>14536.71</v>
      </c>
      <c r="AB81" s="15" t="n">
        <v>14536.71</v>
      </c>
      <c r="AC81" s="15" t="n">
        <v>-14535</v>
      </c>
      <c r="AD81" s="15" t="n">
        <v>-30</v>
      </c>
      <c r="AE81" s="15" t="n">
        <v>40</v>
      </c>
      <c r="AF81" s="15" t="n">
        <v>6.06</v>
      </c>
      <c r="AG81" s="15" t="n">
        <v>0.1</v>
      </c>
      <c r="AH81" s="15" t="n">
        <v>1.45</v>
      </c>
      <c r="AI81" s="15" t="n">
        <v>7.22</v>
      </c>
      <c r="AJ81" s="15" t="n">
        <v>54.82</v>
      </c>
      <c r="AK81" s="15" t="n">
        <v>-14589.82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BANKNIFTY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57769.47</v>
      </c>
      <c r="I82" s="17" t="n">
        <v>57293.33</v>
      </c>
      <c r="J82" s="17" t="inlineStr">
        <is>
          <t>2026-07-30</t>
        </is>
      </c>
      <c r="K82" s="17" t="inlineStr">
        <is>
          <t>MONTHLY</t>
        </is>
      </c>
      <c r="L82" s="17" t="n">
        <v>15</v>
      </c>
      <c r="M82" s="17" t="inlineStr">
        <is>
          <t>09:20 IST</t>
        </is>
      </c>
      <c r="N82" s="17" t="inlineStr">
        <is>
          <t>12:12 IST</t>
        </is>
      </c>
      <c r="O82" s="17" t="n">
        <v>57757.85</v>
      </c>
      <c r="P82" s="17" t="n">
        <v>58131.45</v>
      </c>
      <c r="Q82" s="17" t="inlineStr">
        <is>
          <t>57800 PE</t>
        </is>
      </c>
      <c r="R82" s="17" t="inlineStr">
        <is>
          <t>57600 PE</t>
        </is>
      </c>
      <c r="S82" s="17" t="n">
        <v>22</v>
      </c>
      <c r="T82" s="17" t="n">
        <v>30</v>
      </c>
      <c r="U82" s="17" t="n">
        <v>660</v>
      </c>
      <c r="V82" s="17" t="n">
        <v>73.37</v>
      </c>
      <c r="W82" s="17" t="n">
        <v>95.38</v>
      </c>
      <c r="X82" s="17" t="n">
        <v>48424.2</v>
      </c>
      <c r="Y82" s="17" t="n">
        <v>48479.02</v>
      </c>
      <c r="Z82" s="17" t="n">
        <v>83575.8</v>
      </c>
      <c r="AA82" s="17" t="n">
        <v>14527.26</v>
      </c>
      <c r="AB82" s="17" t="n">
        <v>14527.26</v>
      </c>
      <c r="AC82" s="17" t="n">
        <v>14526.6</v>
      </c>
      <c r="AD82" s="17" t="n">
        <v>30</v>
      </c>
      <c r="AE82" s="17" t="n">
        <v>40</v>
      </c>
      <c r="AF82" s="17" t="n">
        <v>6.05</v>
      </c>
      <c r="AG82" s="17" t="n">
        <v>0.1</v>
      </c>
      <c r="AH82" s="17" t="n">
        <v>1.45</v>
      </c>
      <c r="AI82" s="17" t="n">
        <v>7.22</v>
      </c>
      <c r="AJ82" s="17" t="n">
        <v>54.82</v>
      </c>
      <c r="AK82" s="17" t="n">
        <v>14471.78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BANKNIFTY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57711.42</v>
      </c>
      <c r="I83" s="17" t="n">
        <v>57371.59</v>
      </c>
      <c r="J83" s="17" t="inlineStr">
        <is>
          <t>2026-07-30</t>
        </is>
      </c>
      <c r="K83" s="17" t="inlineStr">
        <is>
          <t>MONTHLY</t>
        </is>
      </c>
      <c r="L83" s="17" t="n">
        <v>14</v>
      </c>
      <c r="M83" s="17" t="inlineStr">
        <is>
          <t>09:20 IST</t>
        </is>
      </c>
      <c r="N83" s="17" t="inlineStr">
        <is>
          <t>10:29 IST</t>
        </is>
      </c>
      <c r="O83" s="17" t="n">
        <v>57680.55</v>
      </c>
      <c r="P83" s="17" t="n">
        <v>57757.85</v>
      </c>
      <c r="Q83" s="17" t="inlineStr">
        <is>
          <t>57600 CE</t>
        </is>
      </c>
      <c r="R83" s="17" t="inlineStr">
        <is>
          <t>57800 CE</t>
        </is>
      </c>
      <c r="S83" s="17" t="n">
        <v>18</v>
      </c>
      <c r="T83" s="17" t="n">
        <v>30</v>
      </c>
      <c r="U83" s="17" t="n">
        <v>540</v>
      </c>
      <c r="V83" s="17" t="n">
        <v>89.76000000000001</v>
      </c>
      <c r="W83" s="17" t="n">
        <v>116.69</v>
      </c>
      <c r="X83" s="17" t="n">
        <v>48470.4</v>
      </c>
      <c r="Y83" s="17" t="n">
        <v>48525.23</v>
      </c>
      <c r="Z83" s="17" t="n">
        <v>59529.6</v>
      </c>
      <c r="AA83" s="17" t="n">
        <v>14541.12</v>
      </c>
      <c r="AB83" s="17" t="n">
        <v>14541.12</v>
      </c>
      <c r="AC83" s="17" t="n">
        <v>14542.2</v>
      </c>
      <c r="AD83" s="17" t="n">
        <v>30</v>
      </c>
      <c r="AE83" s="17" t="n">
        <v>40</v>
      </c>
      <c r="AF83" s="17" t="n">
        <v>6.06</v>
      </c>
      <c r="AG83" s="17" t="n">
        <v>0.1</v>
      </c>
      <c r="AH83" s="17" t="n">
        <v>1.45</v>
      </c>
      <c r="AI83" s="17" t="n">
        <v>7.22</v>
      </c>
      <c r="AJ83" s="17" t="n">
        <v>54.83</v>
      </c>
      <c r="AK83" s="17" t="n">
        <v>14487.37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BANKNIFTY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57711.42</v>
      </c>
      <c r="I84" s="17" t="n">
        <v>57371.59</v>
      </c>
      <c r="J84" s="17" t="inlineStr">
        <is>
          <t>2026-07-30</t>
        </is>
      </c>
      <c r="K84" s="17" t="inlineStr">
        <is>
          <t>MONTHLY</t>
        </is>
      </c>
      <c r="L84" s="17" t="n">
        <v>14</v>
      </c>
      <c r="M84" s="17" t="inlineStr">
        <is>
          <t>09:20 IST</t>
        </is>
      </c>
      <c r="N84" s="17" t="inlineStr">
        <is>
          <t>09:51 IST</t>
        </is>
      </c>
      <c r="O84" s="17" t="n">
        <v>57680.55</v>
      </c>
      <c r="P84" s="17" t="n">
        <v>57757.85</v>
      </c>
      <c r="Q84" s="17" t="inlineStr">
        <is>
          <t>57800 PE</t>
        </is>
      </c>
      <c r="R84" s="17" t="inlineStr">
        <is>
          <t>57600 PE</t>
        </is>
      </c>
      <c r="S84" s="17" t="n">
        <v>18</v>
      </c>
      <c r="T84" s="17" t="n">
        <v>30</v>
      </c>
      <c r="U84" s="17" t="n">
        <v>540</v>
      </c>
      <c r="V84" s="17" t="n">
        <v>87.98999999999999</v>
      </c>
      <c r="W84" s="17" t="n">
        <v>114.39</v>
      </c>
      <c r="X84" s="17" t="n">
        <v>47514.6</v>
      </c>
      <c r="Y84" s="17" t="n">
        <v>47569.28</v>
      </c>
      <c r="Z84" s="17" t="n">
        <v>60485.4</v>
      </c>
      <c r="AA84" s="17" t="n">
        <v>14254.38</v>
      </c>
      <c r="AB84" s="17" t="n">
        <v>14254.38</v>
      </c>
      <c r="AC84" s="17" t="n">
        <v>14256</v>
      </c>
      <c r="AD84" s="17" t="n">
        <v>30</v>
      </c>
      <c r="AE84" s="17" t="n">
        <v>40</v>
      </c>
      <c r="AF84" s="17" t="n">
        <v>5.94</v>
      </c>
      <c r="AG84" s="17" t="n">
        <v>0.1</v>
      </c>
      <c r="AH84" s="17" t="n">
        <v>1.43</v>
      </c>
      <c r="AI84" s="17" t="n">
        <v>7.22</v>
      </c>
      <c r="AJ84" s="17" t="n">
        <v>54.68</v>
      </c>
      <c r="AK84" s="17" t="n">
        <v>14201.32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BANKNIFTY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57691.76</v>
      </c>
      <c r="I85" s="15" t="n">
        <v>57362.65</v>
      </c>
      <c r="J85" s="15" t="inlineStr">
        <is>
          <t>2026-07-30</t>
        </is>
      </c>
      <c r="K85" s="15" t="inlineStr">
        <is>
          <t>MONTHLY</t>
        </is>
      </c>
      <c r="L85" s="15" t="n">
        <v>14</v>
      </c>
      <c r="M85" s="15" t="inlineStr">
        <is>
          <t>09:20 IST</t>
        </is>
      </c>
      <c r="N85" s="15" t="inlineStr">
        <is>
          <t>10:37 IST</t>
        </is>
      </c>
      <c r="O85" s="15" t="n">
        <v>57582.25</v>
      </c>
      <c r="P85" s="15" t="n">
        <v>57757.85</v>
      </c>
      <c r="Q85" s="15" t="inlineStr">
        <is>
          <t>57400 CE</t>
        </is>
      </c>
      <c r="R85" s="15" t="inlineStr">
        <is>
          <t>57600 CE</t>
        </is>
      </c>
      <c r="S85" s="15" t="n">
        <v>18</v>
      </c>
      <c r="T85" s="15" t="n">
        <v>30</v>
      </c>
      <c r="U85" s="15" t="n">
        <v>540</v>
      </c>
      <c r="V85" s="15" t="n">
        <v>88.63</v>
      </c>
      <c r="W85" s="15" t="n">
        <v>62.04</v>
      </c>
      <c r="X85" s="15" t="n">
        <v>47860.2</v>
      </c>
      <c r="Y85" s="15" t="n">
        <v>47914.93</v>
      </c>
      <c r="Z85" s="15" t="n">
        <v>60139.8</v>
      </c>
      <c r="AA85" s="15" t="n">
        <v>14358.06</v>
      </c>
      <c r="AB85" s="15" t="n">
        <v>14358.06</v>
      </c>
      <c r="AC85" s="15" t="n">
        <v>-14358.6</v>
      </c>
      <c r="AD85" s="15" t="n">
        <v>-30</v>
      </c>
      <c r="AE85" s="15" t="n">
        <v>40</v>
      </c>
      <c r="AF85" s="15" t="n">
        <v>5.98</v>
      </c>
      <c r="AG85" s="15" t="n">
        <v>0.1</v>
      </c>
      <c r="AH85" s="15" t="n">
        <v>1.44</v>
      </c>
      <c r="AI85" s="15" t="n">
        <v>7.22</v>
      </c>
      <c r="AJ85" s="15" t="n">
        <v>54.73</v>
      </c>
      <c r="AK85" s="15" t="n">
        <v>-14413.33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BANKNIFTY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57691.76</v>
      </c>
      <c r="I86" s="15" t="n">
        <v>57362.65</v>
      </c>
      <c r="J86" s="15" t="inlineStr">
        <is>
          <t>2026-07-30</t>
        </is>
      </c>
      <c r="K86" s="15" t="inlineStr">
        <is>
          <t>MONTHLY</t>
        </is>
      </c>
      <c r="L86" s="15" t="n">
        <v>14</v>
      </c>
      <c r="M86" s="15" t="inlineStr">
        <is>
          <t>09:20 IST</t>
        </is>
      </c>
      <c r="N86" s="15" t="inlineStr">
        <is>
          <t>10:37 IST</t>
        </is>
      </c>
      <c r="O86" s="15" t="n">
        <v>57582.25</v>
      </c>
      <c r="P86" s="15" t="n">
        <v>57757.85</v>
      </c>
      <c r="Q86" s="15" t="inlineStr">
        <is>
          <t>57600 PE</t>
        </is>
      </c>
      <c r="R86" s="15" t="inlineStr">
        <is>
          <t>57400 PE</t>
        </is>
      </c>
      <c r="S86" s="15" t="n">
        <v>22</v>
      </c>
      <c r="T86" s="15" t="n">
        <v>30</v>
      </c>
      <c r="U86" s="15" t="n">
        <v>660</v>
      </c>
      <c r="V86" s="15" t="n">
        <v>72.03</v>
      </c>
      <c r="W86" s="15" t="n">
        <v>50.42</v>
      </c>
      <c r="X86" s="15" t="n">
        <v>47539.8</v>
      </c>
      <c r="Y86" s="15" t="n">
        <v>47594.48</v>
      </c>
      <c r="Z86" s="15" t="n">
        <v>84460.2</v>
      </c>
      <c r="AA86" s="15" t="n">
        <v>14261.94</v>
      </c>
      <c r="AB86" s="15" t="n">
        <v>14261.94</v>
      </c>
      <c r="AC86" s="15" t="n">
        <v>-14262.6</v>
      </c>
      <c r="AD86" s="15" t="n">
        <v>-30</v>
      </c>
      <c r="AE86" s="15" t="n">
        <v>40</v>
      </c>
      <c r="AF86" s="15" t="n">
        <v>5.94</v>
      </c>
      <c r="AG86" s="15" t="n">
        <v>0.1</v>
      </c>
      <c r="AH86" s="15" t="n">
        <v>1.43</v>
      </c>
      <c r="AI86" s="15" t="n">
        <v>7.22</v>
      </c>
      <c r="AJ86" s="15" t="n">
        <v>54.68</v>
      </c>
      <c r="AK86" s="15" t="n">
        <v>-14317.28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BANKNIFTY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Price↑(58085.9&gt;57582.25) &amp; EMA9↑(57770.23&gt;57460.96)</t>
        </is>
      </c>
      <c r="H87" s="17" t="n">
        <v>57770.23</v>
      </c>
      <c r="I87" s="17" t="n">
        <v>57460.96</v>
      </c>
      <c r="J87" s="17" t="inlineStr">
        <is>
          <t>2026-07-30</t>
        </is>
      </c>
      <c r="K87" s="17" t="inlineStr">
        <is>
          <t>MONTHLY</t>
        </is>
      </c>
      <c r="L87" s="17" t="n">
        <v>13</v>
      </c>
      <c r="M87" s="17" t="inlineStr">
        <is>
          <t>09:20 IST</t>
        </is>
      </c>
      <c r="N87" s="17" t="inlineStr">
        <is>
          <t>10:50 IST</t>
        </is>
      </c>
      <c r="O87" s="17" t="n">
        <v>58085.9</v>
      </c>
      <c r="P87" s="17" t="n">
        <v>57582.25</v>
      </c>
      <c r="Q87" s="17" t="inlineStr">
        <is>
          <t>58000 CE</t>
        </is>
      </c>
      <c r="R87" s="17" t="inlineStr">
        <is>
          <t>58200 CE</t>
        </is>
      </c>
      <c r="S87" s="17" t="n">
        <v>19</v>
      </c>
      <c r="T87" s="17" t="n">
        <v>30</v>
      </c>
      <c r="U87" s="17" t="n">
        <v>570</v>
      </c>
      <c r="V87" s="17" t="n">
        <v>82.8</v>
      </c>
      <c r="W87" s="17" t="n">
        <v>107.64</v>
      </c>
      <c r="X87" s="17" t="n">
        <v>47196</v>
      </c>
      <c r="Y87" s="17" t="n">
        <v>47250.63</v>
      </c>
      <c r="Z87" s="17" t="n">
        <v>66804</v>
      </c>
      <c r="AA87" s="17" t="n">
        <v>14158.8</v>
      </c>
      <c r="AB87" s="17" t="n">
        <v>14158.8</v>
      </c>
      <c r="AC87" s="17" t="n">
        <v>14158.8</v>
      </c>
      <c r="AD87" s="17" t="n">
        <v>30</v>
      </c>
      <c r="AE87" s="17" t="n">
        <v>40</v>
      </c>
      <c r="AF87" s="17" t="n">
        <v>5.9</v>
      </c>
      <c r="AG87" s="17" t="n">
        <v>0.09</v>
      </c>
      <c r="AH87" s="17" t="n">
        <v>1.42</v>
      </c>
      <c r="AI87" s="17" t="n">
        <v>7.22</v>
      </c>
      <c r="AJ87" s="17" t="n">
        <v>54.63</v>
      </c>
      <c r="AK87" s="17" t="n">
        <v>14104.17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5" t="inlineStr">
        <is>
          <t>2026-07-17</t>
        </is>
      </c>
      <c r="B88" s="15" t="inlineStr">
        <is>
          <t>BANKNIFTY</t>
        </is>
      </c>
      <c r="C88" s="15" t="inlineStr">
        <is>
          <t>Both Spreads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BULLISH</t>
        </is>
      </c>
      <c r="G88" s="15" t="inlineStr">
        <is>
          <t>Price↑(58085.9&gt;57582.25) &amp; EMA9↑(57770.23&gt;57460.96)</t>
        </is>
      </c>
      <c r="H88" s="15" t="n">
        <v>57770.23</v>
      </c>
      <c r="I88" s="15" t="n">
        <v>57460.96</v>
      </c>
      <c r="J88" s="15" t="inlineStr">
        <is>
          <t>2026-07-30</t>
        </is>
      </c>
      <c r="K88" s="15" t="inlineStr">
        <is>
          <t>MONTHLY</t>
        </is>
      </c>
      <c r="L88" s="15" t="n">
        <v>13</v>
      </c>
      <c r="M88" s="15" t="inlineStr">
        <is>
          <t>09:20 IST</t>
        </is>
      </c>
      <c r="N88" s="15" t="inlineStr">
        <is>
          <t>09:32 IST</t>
        </is>
      </c>
      <c r="O88" s="15" t="n">
        <v>58085.9</v>
      </c>
      <c r="P88" s="15" t="n">
        <v>57582.25</v>
      </c>
      <c r="Q88" s="15" t="inlineStr">
        <is>
          <t>58200 PE</t>
        </is>
      </c>
      <c r="R88" s="15" t="inlineStr">
        <is>
          <t>58000 PE</t>
        </is>
      </c>
      <c r="S88" s="15" t="n">
        <v>21</v>
      </c>
      <c r="T88" s="15" t="n">
        <v>30</v>
      </c>
      <c r="U88" s="15" t="n">
        <v>630</v>
      </c>
      <c r="V88" s="15" t="n">
        <v>76.81999999999999</v>
      </c>
      <c r="W88" s="15" t="n">
        <v>53.77</v>
      </c>
      <c r="X88" s="15" t="n">
        <v>48396.6</v>
      </c>
      <c r="Y88" s="15" t="n">
        <v>48451.42</v>
      </c>
      <c r="Z88" s="15" t="n">
        <v>77603.39999999999</v>
      </c>
      <c r="AA88" s="15" t="n">
        <v>14518.98</v>
      </c>
      <c r="AB88" s="15" t="n">
        <v>14518.98</v>
      </c>
      <c r="AC88" s="15" t="n">
        <v>-14521.5</v>
      </c>
      <c r="AD88" s="15" t="n">
        <v>-30</v>
      </c>
      <c r="AE88" s="15" t="n">
        <v>40</v>
      </c>
      <c r="AF88" s="15" t="n">
        <v>6.05</v>
      </c>
      <c r="AG88" s="15" t="n">
        <v>0.1</v>
      </c>
      <c r="AH88" s="15" t="n">
        <v>1.45</v>
      </c>
      <c r="AI88" s="15" t="n">
        <v>7.22</v>
      </c>
      <c r="AJ88" s="15" t="n">
        <v>54.82</v>
      </c>
      <c r="AK88" s="15" t="n">
        <v>-14576.32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7" t="inlineStr">
        <is>
          <t>2026-07-17</t>
        </is>
      </c>
      <c r="B89" s="17" t="inlineStr">
        <is>
          <t>BANKNIFTY</t>
        </is>
      </c>
      <c r="C89" s="17" t="inlineStr">
        <is>
          <t>Both Spreads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BULLISH</t>
        </is>
      </c>
      <c r="G89" s="17" t="inlineStr">
        <is>
          <t>Price↑(58521.4&gt;57582.25) &amp; EMA9↑(57857.33&gt;57500.55)</t>
        </is>
      </c>
      <c r="H89" s="17" t="n">
        <v>57857.33</v>
      </c>
      <c r="I89" s="17" t="n">
        <v>57500.55</v>
      </c>
      <c r="J89" s="17" t="inlineStr">
        <is>
          <t>2026-07-30</t>
        </is>
      </c>
      <c r="K89" s="17" t="inlineStr">
        <is>
          <t>MONTHLY</t>
        </is>
      </c>
      <c r="L89" s="17" t="n">
        <v>13</v>
      </c>
      <c r="M89" s="17" t="inlineStr">
        <is>
          <t>09:20 IST</t>
        </is>
      </c>
      <c r="N89" s="17" t="inlineStr">
        <is>
          <t>09:49 IST</t>
        </is>
      </c>
      <c r="O89" s="17" t="n">
        <v>58521.4</v>
      </c>
      <c r="P89" s="17" t="n">
        <v>57582.25</v>
      </c>
      <c r="Q89" s="17" t="inlineStr">
        <is>
          <t>58400 CE</t>
        </is>
      </c>
      <c r="R89" s="17" t="inlineStr">
        <is>
          <t>58600 CE</t>
        </is>
      </c>
      <c r="S89" s="17" t="n">
        <v>18</v>
      </c>
      <c r="T89" s="17" t="n">
        <v>30</v>
      </c>
      <c r="U89" s="17" t="n">
        <v>540</v>
      </c>
      <c r="V89" s="17" t="n">
        <v>87.98999999999999</v>
      </c>
      <c r="W89" s="17" t="n">
        <v>114.39</v>
      </c>
      <c r="X89" s="17" t="n">
        <v>47514.6</v>
      </c>
      <c r="Y89" s="17" t="n">
        <v>47569.28</v>
      </c>
      <c r="Z89" s="17" t="n">
        <v>60485.4</v>
      </c>
      <c r="AA89" s="17" t="n">
        <v>14254.38</v>
      </c>
      <c r="AB89" s="17" t="n">
        <v>14254.38</v>
      </c>
      <c r="AC89" s="17" t="n">
        <v>14256</v>
      </c>
      <c r="AD89" s="17" t="n">
        <v>30</v>
      </c>
      <c r="AE89" s="17" t="n">
        <v>40</v>
      </c>
      <c r="AF89" s="17" t="n">
        <v>5.94</v>
      </c>
      <c r="AG89" s="17" t="n">
        <v>0.1</v>
      </c>
      <c r="AH89" s="17" t="n">
        <v>1.43</v>
      </c>
      <c r="AI89" s="17" t="n">
        <v>7.22</v>
      </c>
      <c r="AJ89" s="17" t="n">
        <v>54.68</v>
      </c>
      <c r="AK89" s="17" t="n">
        <v>14201.32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2026-07-17</t>
        </is>
      </c>
      <c r="B90" s="17" t="inlineStr">
        <is>
          <t>BANKNIFTY</t>
        </is>
      </c>
      <c r="C90" s="17" t="inlineStr">
        <is>
          <t>Both Spreads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BULLISH</t>
        </is>
      </c>
      <c r="G90" s="17" t="inlineStr">
        <is>
          <t>Price↑(58521.4&gt;57582.25) &amp; EMA9↑(57857.33&gt;57500.55)</t>
        </is>
      </c>
      <c r="H90" s="17" t="n">
        <v>57857.33</v>
      </c>
      <c r="I90" s="17" t="n">
        <v>57500.55</v>
      </c>
      <c r="J90" s="17" t="inlineStr">
        <is>
          <t>2026-07-30</t>
        </is>
      </c>
      <c r="K90" s="17" t="inlineStr">
        <is>
          <t>MONTHLY</t>
        </is>
      </c>
      <c r="L90" s="17" t="n">
        <v>13</v>
      </c>
      <c r="M90" s="17" t="inlineStr">
        <is>
          <t>09:20 IST</t>
        </is>
      </c>
      <c r="N90" s="17" t="inlineStr">
        <is>
          <t>11:55 IST</t>
        </is>
      </c>
      <c r="O90" s="17" t="n">
        <v>58521.4</v>
      </c>
      <c r="P90" s="17" t="n">
        <v>57582.25</v>
      </c>
      <c r="Q90" s="17" t="inlineStr">
        <is>
          <t>58600 PE</t>
        </is>
      </c>
      <c r="R90" s="17" t="inlineStr">
        <is>
          <t>58400 PE</t>
        </is>
      </c>
      <c r="S90" s="17" t="n">
        <v>22</v>
      </c>
      <c r="T90" s="17" t="n">
        <v>30</v>
      </c>
      <c r="U90" s="17" t="n">
        <v>660</v>
      </c>
      <c r="V90" s="17" t="n">
        <v>72.06999999999999</v>
      </c>
      <c r="W90" s="17" t="n">
        <v>93.69</v>
      </c>
      <c r="X90" s="17" t="n">
        <v>47566.2</v>
      </c>
      <c r="Y90" s="17" t="n">
        <v>47620.89</v>
      </c>
      <c r="Z90" s="17" t="n">
        <v>84433.8</v>
      </c>
      <c r="AA90" s="17" t="n">
        <v>14269.86</v>
      </c>
      <c r="AB90" s="17" t="n">
        <v>14269.86</v>
      </c>
      <c r="AC90" s="17" t="n">
        <v>14269.2</v>
      </c>
      <c r="AD90" s="17" t="n">
        <v>30</v>
      </c>
      <c r="AE90" s="17" t="n">
        <v>40</v>
      </c>
      <c r="AF90" s="17" t="n">
        <v>5.95</v>
      </c>
      <c r="AG90" s="17" t="n">
        <v>0.1</v>
      </c>
      <c r="AH90" s="17" t="n">
        <v>1.43</v>
      </c>
      <c r="AI90" s="17" t="n">
        <v>7.22</v>
      </c>
      <c r="AJ90" s="17" t="n">
        <v>54.69</v>
      </c>
      <c r="AK90" s="17" t="n">
        <v>14214.51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2026-07-20</t>
        </is>
      </c>
      <c r="B91" s="16" t="inlineStr">
        <is>
          <t>BANKNIFTY</t>
        </is>
      </c>
      <c r="C91" s="16" t="inlineStr">
        <is>
          <t>Both Spreads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SKIP</t>
        </is>
      </c>
      <c r="G91" s="16" t="inlineStr">
        <is>
          <t>Conflicting — Price:BEARISH EMA:BULLISH</t>
        </is>
      </c>
      <c r="H91" s="16" t="n">
        <v>57821.95</v>
      </c>
      <c r="I91" s="16" t="n">
        <v>57595.38</v>
      </c>
      <c r="J91" s="16" t="inlineStr">
        <is>
          <t>2026-07-30</t>
        </is>
      </c>
      <c r="K91" s="16" t="inlineStr">
        <is>
          <t>MONTHLY</t>
        </is>
      </c>
      <c r="L91" s="16" t="n">
        <v>10</v>
      </c>
      <c r="M91" s="16" t="inlineStr">
        <is>
          <t>09:20 IST</t>
        </is>
      </c>
      <c r="N91" s="16" t="inlineStr">
        <is>
          <t>13:27 IST</t>
        </is>
      </c>
      <c r="O91" s="16" t="n">
        <v>57673.6</v>
      </c>
      <c r="P91" s="16" t="n">
        <v>58521.4</v>
      </c>
      <c r="Q91" s="16" t="inlineStr">
        <is>
          <t>57600 CE</t>
        </is>
      </c>
      <c r="R91" s="16" t="inlineStr">
        <is>
          <t>57800 CE</t>
        </is>
      </c>
      <c r="S91" s="16" t="n">
        <v>16</v>
      </c>
      <c r="T91" s="16" t="n">
        <v>30</v>
      </c>
      <c r="U91" s="16" t="n">
        <v>480</v>
      </c>
      <c r="V91" s="16" t="n">
        <v>99.31999999999999</v>
      </c>
      <c r="W91" s="16" t="n">
        <v>100.67</v>
      </c>
      <c r="X91" s="16" t="n">
        <v>47673.6</v>
      </c>
      <c r="Y91" s="16" t="n">
        <v>47728.3</v>
      </c>
      <c r="Z91" s="16" t="n">
        <v>48326.4</v>
      </c>
      <c r="AA91" s="16" t="n">
        <v>14302.08</v>
      </c>
      <c r="AB91" s="16" t="n">
        <v>14302.08</v>
      </c>
      <c r="AC91" s="16" t="n">
        <v>648</v>
      </c>
      <c r="AD91" s="16" t="n">
        <v>1.4</v>
      </c>
      <c r="AE91" s="16" t="n">
        <v>40</v>
      </c>
      <c r="AF91" s="16" t="n">
        <v>5.96</v>
      </c>
      <c r="AG91" s="16" t="n">
        <v>0.1</v>
      </c>
      <c r="AH91" s="16" t="n">
        <v>1.43</v>
      </c>
      <c r="AI91" s="16" t="n">
        <v>7.22</v>
      </c>
      <c r="AJ91" s="16" t="n">
        <v>54.7</v>
      </c>
      <c r="AK91" s="16" t="n">
        <v>593.3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5" t="inlineStr">
        <is>
          <t>2026-07-20</t>
        </is>
      </c>
      <c r="B92" s="15" t="inlineStr">
        <is>
          <t>BANKNIFTY</t>
        </is>
      </c>
      <c r="C92" s="15" t="inlineStr">
        <is>
          <t>Both Spreads</t>
        </is>
      </c>
      <c r="D92" s="15" t="inlineStr">
        <is>
          <t>Bear Put Spread</t>
        </is>
      </c>
      <c r="E92" s="15" t="inlineStr">
        <is>
          <t>SIMULATED</t>
        </is>
      </c>
      <c r="F92" s="15" t="inlineStr">
        <is>
          <t>SKIP</t>
        </is>
      </c>
      <c r="G92" s="15" t="inlineStr">
        <is>
          <t>Conflicting — Price:BEARISH EMA:BULLISH</t>
        </is>
      </c>
      <c r="H92" s="15" t="n">
        <v>57821.95</v>
      </c>
      <c r="I92" s="15" t="n">
        <v>57595.38</v>
      </c>
      <c r="J92" s="15" t="inlineStr">
        <is>
          <t>2026-07-30</t>
        </is>
      </c>
      <c r="K92" s="15" t="inlineStr">
        <is>
          <t>MONTHLY</t>
        </is>
      </c>
      <c r="L92" s="15" t="n">
        <v>10</v>
      </c>
      <c r="M92" s="15" t="inlineStr">
        <is>
          <t>09:20 IST</t>
        </is>
      </c>
      <c r="N92" s="15" t="inlineStr">
        <is>
          <t>10:45 IST</t>
        </is>
      </c>
      <c r="O92" s="15" t="n">
        <v>57673.6</v>
      </c>
      <c r="P92" s="15" t="n">
        <v>58521.4</v>
      </c>
      <c r="Q92" s="15" t="inlineStr">
        <is>
          <t>57800 PE</t>
        </is>
      </c>
      <c r="R92" s="15" t="inlineStr">
        <is>
          <t>57600 PE</t>
        </is>
      </c>
      <c r="S92" s="15" t="n">
        <v>17</v>
      </c>
      <c r="T92" s="15" t="n">
        <v>30</v>
      </c>
      <c r="U92" s="15" t="n">
        <v>510</v>
      </c>
      <c r="V92" s="15" t="n">
        <v>92.64</v>
      </c>
      <c r="W92" s="15" t="n">
        <v>64.84999999999999</v>
      </c>
      <c r="X92" s="15" t="n">
        <v>47246.4</v>
      </c>
      <c r="Y92" s="15" t="n">
        <v>47301.03</v>
      </c>
      <c r="Z92" s="15" t="n">
        <v>54753.6</v>
      </c>
      <c r="AA92" s="15" t="n">
        <v>14173.92</v>
      </c>
      <c r="AB92" s="15" t="n">
        <v>14173.92</v>
      </c>
      <c r="AC92" s="15" t="n">
        <v>-14172.9</v>
      </c>
      <c r="AD92" s="15" t="n">
        <v>-30</v>
      </c>
      <c r="AE92" s="15" t="n">
        <v>40</v>
      </c>
      <c r="AF92" s="15" t="n">
        <v>5.91</v>
      </c>
      <c r="AG92" s="15" t="n">
        <v>0.09</v>
      </c>
      <c r="AH92" s="15" t="n">
        <v>1.42</v>
      </c>
      <c r="AI92" s="15" t="n">
        <v>7.22</v>
      </c>
      <c r="AJ92" s="15" t="n">
        <v>54.63</v>
      </c>
      <c r="AK92" s="15" t="n">
        <v>-14227.53</v>
      </c>
      <c r="AL92" s="15" t="inlineStr">
        <is>
          <t>STOP LOSS</t>
        </is>
      </c>
      <c r="AM92" s="15" t="n">
        <v>50000</v>
      </c>
      <c r="AN92" s="15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BANKNIFTY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57876.23</v>
      </c>
      <c r="I93" s="16" t="n">
        <v>57620.05</v>
      </c>
      <c r="J93" s="16" t="inlineStr">
        <is>
          <t>2026-07-30</t>
        </is>
      </c>
      <c r="K93" s="16" t="inlineStr">
        <is>
          <t>MONTHLY</t>
        </is>
      </c>
      <c r="L93" s="16" t="n">
        <v>10</v>
      </c>
      <c r="M93" s="16" t="inlineStr">
        <is>
          <t>09:20 IST</t>
        </is>
      </c>
      <c r="N93" s="16" t="inlineStr">
        <is>
          <t>13:48 IST</t>
        </is>
      </c>
      <c r="O93" s="16" t="n">
        <v>57945</v>
      </c>
      <c r="P93" s="16" t="n">
        <v>58521.4</v>
      </c>
      <c r="Q93" s="16" t="inlineStr">
        <is>
          <t>57800 CE</t>
        </is>
      </c>
      <c r="R93" s="16" t="inlineStr">
        <is>
          <t>58000 CE</t>
        </is>
      </c>
      <c r="S93" s="16" t="n">
        <v>18</v>
      </c>
      <c r="T93" s="16" t="n">
        <v>30</v>
      </c>
      <c r="U93" s="16" t="n">
        <v>540</v>
      </c>
      <c r="V93" s="16" t="n">
        <v>90.98</v>
      </c>
      <c r="W93" s="16" t="n">
        <v>94.59</v>
      </c>
      <c r="X93" s="16" t="n">
        <v>49129.2</v>
      </c>
      <c r="Y93" s="16" t="n">
        <v>49184.13</v>
      </c>
      <c r="Z93" s="16" t="n">
        <v>58870.8</v>
      </c>
      <c r="AA93" s="16" t="n">
        <v>14738.76</v>
      </c>
      <c r="AB93" s="16" t="n">
        <v>14738.76</v>
      </c>
      <c r="AC93" s="16" t="n">
        <v>1949.4</v>
      </c>
      <c r="AD93" s="16" t="n">
        <v>4</v>
      </c>
      <c r="AE93" s="16" t="n">
        <v>40</v>
      </c>
      <c r="AF93" s="16" t="n">
        <v>6.14</v>
      </c>
      <c r="AG93" s="16" t="n">
        <v>0.1</v>
      </c>
      <c r="AH93" s="16" t="n">
        <v>1.47</v>
      </c>
      <c r="AI93" s="16" t="n">
        <v>7.22</v>
      </c>
      <c r="AJ93" s="16" t="n">
        <v>54.93</v>
      </c>
      <c r="AK93" s="16" t="n">
        <v>1894.47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BANKNIFTY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57876.23</v>
      </c>
      <c r="I94" s="15" t="n">
        <v>57620.05</v>
      </c>
      <c r="J94" s="15" t="inlineStr">
        <is>
          <t>2026-07-30</t>
        </is>
      </c>
      <c r="K94" s="15" t="inlineStr">
        <is>
          <t>MONTHLY</t>
        </is>
      </c>
      <c r="L94" s="15" t="n">
        <v>10</v>
      </c>
      <c r="M94" s="15" t="inlineStr">
        <is>
          <t>09:20 IST</t>
        </is>
      </c>
      <c r="N94" s="15" t="inlineStr">
        <is>
          <t>10:46 IST</t>
        </is>
      </c>
      <c r="O94" s="15" t="n">
        <v>57945</v>
      </c>
      <c r="P94" s="15" t="n">
        <v>58521.4</v>
      </c>
      <c r="Q94" s="15" t="inlineStr">
        <is>
          <t>58000 PE</t>
        </is>
      </c>
      <c r="R94" s="15" t="inlineStr">
        <is>
          <t>57800 PE</t>
        </is>
      </c>
      <c r="S94" s="15" t="n">
        <v>19</v>
      </c>
      <c r="T94" s="15" t="n">
        <v>30</v>
      </c>
      <c r="U94" s="15" t="n">
        <v>570</v>
      </c>
      <c r="V94" s="15" t="n">
        <v>82.88</v>
      </c>
      <c r="W94" s="15" t="n">
        <v>58.02</v>
      </c>
      <c r="X94" s="15" t="n">
        <v>47241.6</v>
      </c>
      <c r="Y94" s="15" t="n">
        <v>47296.23</v>
      </c>
      <c r="Z94" s="15" t="n">
        <v>66758.39999999999</v>
      </c>
      <c r="AA94" s="15" t="n">
        <v>14172.48</v>
      </c>
      <c r="AB94" s="15" t="n">
        <v>14172.48</v>
      </c>
      <c r="AC94" s="15" t="n">
        <v>-14170.2</v>
      </c>
      <c r="AD94" s="15" t="n">
        <v>-30</v>
      </c>
      <c r="AE94" s="15" t="n">
        <v>40</v>
      </c>
      <c r="AF94" s="15" t="n">
        <v>5.91</v>
      </c>
      <c r="AG94" s="15" t="n">
        <v>0.09</v>
      </c>
      <c r="AH94" s="15" t="n">
        <v>1.42</v>
      </c>
      <c r="AI94" s="15" t="n">
        <v>7.22</v>
      </c>
      <c r="AJ94" s="15" t="n">
        <v>54.63</v>
      </c>
      <c r="AK94" s="15" t="n">
        <v>-14224.83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BANKNIFTY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57869.66</v>
      </c>
      <c r="I95" s="17" t="n">
        <v>57689.18</v>
      </c>
      <c r="J95" s="17" t="inlineStr">
        <is>
          <t>2026-07-30</t>
        </is>
      </c>
      <c r="K95" s="17" t="inlineStr">
        <is>
          <t>MONTHLY</t>
        </is>
      </c>
      <c r="L95" s="17" t="n">
        <v>9</v>
      </c>
      <c r="M95" s="17" t="inlineStr">
        <is>
          <t>09:20 IST</t>
        </is>
      </c>
      <c r="N95" s="17" t="inlineStr">
        <is>
          <t>11:57 IST</t>
        </is>
      </c>
      <c r="O95" s="17" t="n">
        <v>57840.45</v>
      </c>
      <c r="P95" s="17" t="n">
        <v>57945</v>
      </c>
      <c r="Q95" s="17" t="inlineStr">
        <is>
          <t>57800 CE</t>
        </is>
      </c>
      <c r="R95" s="17" t="inlineStr">
        <is>
          <t>58000 CE</t>
        </is>
      </c>
      <c r="S95" s="17" t="n">
        <v>22</v>
      </c>
      <c r="T95" s="17" t="n">
        <v>30</v>
      </c>
      <c r="U95" s="17" t="n">
        <v>660</v>
      </c>
      <c r="V95" s="17" t="n">
        <v>72.34</v>
      </c>
      <c r="W95" s="17" t="n">
        <v>94.04000000000001</v>
      </c>
      <c r="X95" s="17" t="n">
        <v>47744.4</v>
      </c>
      <c r="Y95" s="17" t="n">
        <v>47799.11</v>
      </c>
      <c r="Z95" s="17" t="n">
        <v>84255.60000000001</v>
      </c>
      <c r="AA95" s="17" t="n">
        <v>14323.32</v>
      </c>
      <c r="AB95" s="17" t="n">
        <v>14323.32</v>
      </c>
      <c r="AC95" s="17" t="n">
        <v>14322</v>
      </c>
      <c r="AD95" s="17" t="n">
        <v>30</v>
      </c>
      <c r="AE95" s="17" t="n">
        <v>40</v>
      </c>
      <c r="AF95" s="17" t="n">
        <v>5.97</v>
      </c>
      <c r="AG95" s="17" t="n">
        <v>0.1</v>
      </c>
      <c r="AH95" s="17" t="n">
        <v>1.43</v>
      </c>
      <c r="AI95" s="17" t="n">
        <v>7.22</v>
      </c>
      <c r="AJ95" s="17" t="n">
        <v>54.71</v>
      </c>
      <c r="AK95" s="17" t="n">
        <v>14267.29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6" t="inlineStr">
        <is>
          <t>2026-07-21</t>
        </is>
      </c>
      <c r="B96" s="16" t="inlineStr">
        <is>
          <t>BANKNIFTY</t>
        </is>
      </c>
      <c r="C96" s="16" t="inlineStr">
        <is>
          <t>Both Spreads</t>
        </is>
      </c>
      <c r="D96" s="16" t="inlineStr">
        <is>
          <t>Bear Put Spread</t>
        </is>
      </c>
      <c r="E96" s="16" t="inlineStr">
        <is>
          <t>SIMULATED</t>
        </is>
      </c>
      <c r="F96" s="16" t="inlineStr">
        <is>
          <t>SKIP</t>
        </is>
      </c>
      <c r="G96" s="16" t="inlineStr">
        <is>
          <t>Conflicting — Price:BEARISH EMA:BULLISH</t>
        </is>
      </c>
      <c r="H96" s="16" t="n">
        <v>57869.66</v>
      </c>
      <c r="I96" s="16" t="n">
        <v>57689.18</v>
      </c>
      <c r="J96" s="16" t="inlineStr">
        <is>
          <t>2026-07-30</t>
        </is>
      </c>
      <c r="K96" s="16" t="inlineStr">
        <is>
          <t>MONTHLY</t>
        </is>
      </c>
      <c r="L96" s="16" t="n">
        <v>9</v>
      </c>
      <c r="M96" s="16" t="inlineStr">
        <is>
          <t>09:20 IST</t>
        </is>
      </c>
      <c r="N96" s="16" t="inlineStr">
        <is>
          <t>14:02 IST</t>
        </is>
      </c>
      <c r="O96" s="16" t="n">
        <v>57840.45</v>
      </c>
      <c r="P96" s="16" t="n">
        <v>57945</v>
      </c>
      <c r="Q96" s="16" t="inlineStr">
        <is>
          <t>58000 PE</t>
        </is>
      </c>
      <c r="R96" s="16" t="inlineStr">
        <is>
          <t>57800 PE</t>
        </is>
      </c>
      <c r="S96" s="16" t="n">
        <v>20</v>
      </c>
      <c r="T96" s="16" t="n">
        <v>30</v>
      </c>
      <c r="U96" s="16" t="n">
        <v>600</v>
      </c>
      <c r="V96" s="16" t="n">
        <v>81.62</v>
      </c>
      <c r="W96" s="16" t="n">
        <v>78.28</v>
      </c>
      <c r="X96" s="16" t="n">
        <v>48972</v>
      </c>
      <c r="Y96" s="16" t="n">
        <v>49026.91</v>
      </c>
      <c r="Z96" s="16" t="n">
        <v>71028</v>
      </c>
      <c r="AA96" s="16" t="n">
        <v>14691.6</v>
      </c>
      <c r="AB96" s="16" t="n">
        <v>14691.6</v>
      </c>
      <c r="AC96" s="16" t="n">
        <v>-2004</v>
      </c>
      <c r="AD96" s="16" t="n">
        <v>-4.1</v>
      </c>
      <c r="AE96" s="16" t="n">
        <v>40</v>
      </c>
      <c r="AF96" s="16" t="n">
        <v>6.12</v>
      </c>
      <c r="AG96" s="16" t="n">
        <v>0.1</v>
      </c>
      <c r="AH96" s="16" t="n">
        <v>1.47</v>
      </c>
      <c r="AI96" s="16" t="n">
        <v>7.22</v>
      </c>
      <c r="AJ96" s="16" t="n">
        <v>54.91</v>
      </c>
      <c r="AK96" s="16" t="n">
        <v>-2058.91</v>
      </c>
      <c r="AL96" s="16" t="inlineStr">
        <is>
          <t>FLAT</t>
        </is>
      </c>
      <c r="AM96" s="16" t="n">
        <v>50000</v>
      </c>
      <c r="AN96" s="16" t="inlineStr">
        <is>
          <t>PAPER TRADING</t>
        </is>
      </c>
    </row>
    <row r="97">
      <c r="A97" s="16" t="inlineStr">
        <is>
          <t>2026-07-21</t>
        </is>
      </c>
      <c r="B97" s="16" t="inlineStr">
        <is>
          <t>BANKNIFTY</t>
        </is>
      </c>
      <c r="C97" s="16" t="inlineStr">
        <is>
          <t>Both Spreads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57868.64</v>
      </c>
      <c r="I97" s="16" t="n">
        <v>57688.71</v>
      </c>
      <c r="J97" s="16" t="inlineStr">
        <is>
          <t>2026-07-30</t>
        </is>
      </c>
      <c r="K97" s="16" t="inlineStr">
        <is>
          <t>MONTHLY</t>
        </is>
      </c>
      <c r="L97" s="16" t="n">
        <v>9</v>
      </c>
      <c r="M97" s="16" t="inlineStr">
        <is>
          <t>09:20 IST</t>
        </is>
      </c>
      <c r="N97" s="16" t="inlineStr">
        <is>
          <t>13:25 IST</t>
        </is>
      </c>
      <c r="O97" s="16" t="n">
        <v>57835.35</v>
      </c>
      <c r="P97" s="16" t="n">
        <v>57945</v>
      </c>
      <c r="Q97" s="16" t="inlineStr">
        <is>
          <t>57800 CE</t>
        </is>
      </c>
      <c r="R97" s="16" t="inlineStr">
        <is>
          <t>58000 CE</t>
        </is>
      </c>
      <c r="S97" s="16" t="n">
        <v>21</v>
      </c>
      <c r="T97" s="16" t="n">
        <v>30</v>
      </c>
      <c r="U97" s="16" t="n">
        <v>630</v>
      </c>
      <c r="V97" s="16" t="n">
        <v>77.39</v>
      </c>
      <c r="W97" s="16" t="n">
        <v>79.3</v>
      </c>
      <c r="X97" s="16" t="n">
        <v>48755.7</v>
      </c>
      <c r="Y97" s="16" t="n">
        <v>48810.57</v>
      </c>
      <c r="Z97" s="16" t="n">
        <v>77244.3</v>
      </c>
      <c r="AA97" s="16" t="n">
        <v>14626.71</v>
      </c>
      <c r="AB97" s="16" t="n">
        <v>14626.71</v>
      </c>
      <c r="AC97" s="16" t="n">
        <v>1203.3</v>
      </c>
      <c r="AD97" s="16" t="n">
        <v>2.5</v>
      </c>
      <c r="AE97" s="16" t="n">
        <v>40</v>
      </c>
      <c r="AF97" s="16" t="n">
        <v>6.09</v>
      </c>
      <c r="AG97" s="16" t="n">
        <v>0.1</v>
      </c>
      <c r="AH97" s="16" t="n">
        <v>1.46</v>
      </c>
      <c r="AI97" s="16" t="n">
        <v>7.22</v>
      </c>
      <c r="AJ97" s="16" t="n">
        <v>54.87</v>
      </c>
      <c r="AK97" s="16" t="n">
        <v>1148.43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6" t="inlineStr">
        <is>
          <t>2026-07-21</t>
        </is>
      </c>
      <c r="B98" s="16" t="inlineStr">
        <is>
          <t>BANKNIFTY</t>
        </is>
      </c>
      <c r="C98" s="16" t="inlineStr">
        <is>
          <t>Both Spreads</t>
        </is>
      </c>
      <c r="D98" s="16" t="inlineStr">
        <is>
          <t>Bear Put Spread</t>
        </is>
      </c>
      <c r="E98" s="16" t="inlineStr">
        <is>
          <t>SIMULATED</t>
        </is>
      </c>
      <c r="F98" s="16" t="inlineStr">
        <is>
          <t>SKIP</t>
        </is>
      </c>
      <c r="G98" s="16" t="inlineStr">
        <is>
          <t>Conflicting — Price:BEARISH EMA:BULLISH</t>
        </is>
      </c>
      <c r="H98" s="16" t="n">
        <v>57868.64</v>
      </c>
      <c r="I98" s="16" t="n">
        <v>57688.71</v>
      </c>
      <c r="J98" s="16" t="inlineStr">
        <is>
          <t>2026-07-30</t>
        </is>
      </c>
      <c r="K98" s="16" t="inlineStr">
        <is>
          <t>MONTHLY</t>
        </is>
      </c>
      <c r="L98" s="16" t="n">
        <v>9</v>
      </c>
      <c r="M98" s="16" t="inlineStr">
        <is>
          <t>09:20 IST</t>
        </is>
      </c>
      <c r="N98" s="16" t="inlineStr">
        <is>
          <t>15:17 IST</t>
        </is>
      </c>
      <c r="O98" s="16" t="n">
        <v>57835.35</v>
      </c>
      <c r="P98" s="16" t="n">
        <v>57945</v>
      </c>
      <c r="Q98" s="16" t="inlineStr">
        <is>
          <t>58000 PE</t>
        </is>
      </c>
      <c r="R98" s="16" t="inlineStr">
        <is>
          <t>57800 PE</t>
        </is>
      </c>
      <c r="S98" s="16" t="n">
        <v>18</v>
      </c>
      <c r="T98" s="16" t="n">
        <v>30</v>
      </c>
      <c r="U98" s="16" t="n">
        <v>540</v>
      </c>
      <c r="V98" s="16" t="n">
        <v>90.23</v>
      </c>
      <c r="W98" s="16" t="n">
        <v>92.95</v>
      </c>
      <c r="X98" s="16" t="n">
        <v>48724.2</v>
      </c>
      <c r="Y98" s="16" t="n">
        <v>48779.07</v>
      </c>
      <c r="Z98" s="16" t="n">
        <v>59275.8</v>
      </c>
      <c r="AA98" s="16" t="n">
        <v>14617.26</v>
      </c>
      <c r="AB98" s="16" t="n">
        <v>14617.26</v>
      </c>
      <c r="AC98" s="16" t="n">
        <v>1468.8</v>
      </c>
      <c r="AD98" s="16" t="n">
        <v>3</v>
      </c>
      <c r="AE98" s="16" t="n">
        <v>40</v>
      </c>
      <c r="AF98" s="16" t="n">
        <v>6.09</v>
      </c>
      <c r="AG98" s="16" t="n">
        <v>0.1</v>
      </c>
      <c r="AH98" s="16" t="n">
        <v>1.46</v>
      </c>
      <c r="AI98" s="16" t="n">
        <v>7.22</v>
      </c>
      <c r="AJ98" s="16" t="n">
        <v>54.87</v>
      </c>
      <c r="AK98" s="16" t="n">
        <v>1413.93</v>
      </c>
      <c r="AL98" s="16" t="inlineStr">
        <is>
          <t>FLAT</t>
        </is>
      </c>
      <c r="AM98" s="16" t="n">
        <v>50000</v>
      </c>
      <c r="AN98" s="16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BANKNIFTY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57751.03</v>
      </c>
      <c r="I99" s="17" t="n">
        <v>57689.93</v>
      </c>
      <c r="J99" s="17" t="inlineStr">
        <is>
          <t>2026-07-30</t>
        </is>
      </c>
      <c r="K99" s="17" t="inlineStr">
        <is>
          <t>MONTHLY</t>
        </is>
      </c>
      <c r="L99" s="17" t="n">
        <v>8</v>
      </c>
      <c r="M99" s="17" t="inlineStr">
        <is>
          <t>09:20 IST</t>
        </is>
      </c>
      <c r="N99" s="17" t="inlineStr">
        <is>
          <t>12:16 IST</t>
        </is>
      </c>
      <c r="O99" s="17" t="n">
        <v>57269.65</v>
      </c>
      <c r="P99" s="17" t="n">
        <v>57835.35</v>
      </c>
      <c r="Q99" s="17" t="inlineStr">
        <is>
          <t>57200 CE</t>
        </is>
      </c>
      <c r="R99" s="17" t="inlineStr">
        <is>
          <t>57400 CE</t>
        </is>
      </c>
      <c r="S99" s="17" t="n">
        <v>18</v>
      </c>
      <c r="T99" s="17" t="n">
        <v>30</v>
      </c>
      <c r="U99" s="17" t="n">
        <v>540</v>
      </c>
      <c r="V99" s="17" t="n">
        <v>87.64</v>
      </c>
      <c r="W99" s="17" t="n">
        <v>113.93</v>
      </c>
      <c r="X99" s="17" t="n">
        <v>47325.6</v>
      </c>
      <c r="Y99" s="17" t="n">
        <v>47380.25</v>
      </c>
      <c r="Z99" s="17" t="n">
        <v>60674.4</v>
      </c>
      <c r="AA99" s="17" t="n">
        <v>14197.68</v>
      </c>
      <c r="AB99" s="17" t="n">
        <v>14197.68</v>
      </c>
      <c r="AC99" s="17" t="n">
        <v>14196.6</v>
      </c>
      <c r="AD99" s="17" t="n">
        <v>30</v>
      </c>
      <c r="AE99" s="17" t="n">
        <v>40</v>
      </c>
      <c r="AF99" s="17" t="n">
        <v>5.92</v>
      </c>
      <c r="AG99" s="17" t="n">
        <v>0.09</v>
      </c>
      <c r="AH99" s="17" t="n">
        <v>1.42</v>
      </c>
      <c r="AI99" s="17" t="n">
        <v>7.22</v>
      </c>
      <c r="AJ99" s="17" t="n">
        <v>54.65</v>
      </c>
      <c r="AK99" s="17" t="n">
        <v>14141.95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2026-07-22</t>
        </is>
      </c>
      <c r="B100" s="17" t="inlineStr">
        <is>
          <t>BANKNIFTY</t>
        </is>
      </c>
      <c r="C100" s="17" t="inlineStr">
        <is>
          <t>Both Spreads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SKIP</t>
        </is>
      </c>
      <c r="G100" s="17" t="inlineStr">
        <is>
          <t>Conflicting — Price:BEARISH EMA:BULLISH</t>
        </is>
      </c>
      <c r="H100" s="17" t="n">
        <v>57751.03</v>
      </c>
      <c r="I100" s="17" t="n">
        <v>57689.93</v>
      </c>
      <c r="J100" s="17" t="inlineStr">
        <is>
          <t>2026-07-30</t>
        </is>
      </c>
      <c r="K100" s="17" t="inlineStr">
        <is>
          <t>MONTHLY</t>
        </is>
      </c>
      <c r="L100" s="17" t="n">
        <v>8</v>
      </c>
      <c r="M100" s="17" t="inlineStr">
        <is>
          <t>09:20 IST</t>
        </is>
      </c>
      <c r="N100" s="17" t="inlineStr">
        <is>
          <t>11:36 IST</t>
        </is>
      </c>
      <c r="O100" s="17" t="n">
        <v>57269.65</v>
      </c>
      <c r="P100" s="17" t="n">
        <v>57835.35</v>
      </c>
      <c r="Q100" s="17" t="inlineStr">
        <is>
          <t>57400 PE</t>
        </is>
      </c>
      <c r="R100" s="17" t="inlineStr">
        <is>
          <t>57200 PE</t>
        </is>
      </c>
      <c r="S100" s="17" t="n">
        <v>18</v>
      </c>
      <c r="T100" s="17" t="n">
        <v>30</v>
      </c>
      <c r="U100" s="17" t="n">
        <v>540</v>
      </c>
      <c r="V100" s="17" t="n">
        <v>88.51000000000001</v>
      </c>
      <c r="W100" s="17" t="n">
        <v>115.06</v>
      </c>
      <c r="X100" s="17" t="n">
        <v>47795.4</v>
      </c>
      <c r="Y100" s="17" t="n">
        <v>47850.12</v>
      </c>
      <c r="Z100" s="17" t="n">
        <v>60204.6</v>
      </c>
      <c r="AA100" s="17" t="n">
        <v>14338.62</v>
      </c>
      <c r="AB100" s="17" t="n">
        <v>14338.62</v>
      </c>
      <c r="AC100" s="17" t="n">
        <v>14337</v>
      </c>
      <c r="AD100" s="17" t="n">
        <v>30</v>
      </c>
      <c r="AE100" s="17" t="n">
        <v>40</v>
      </c>
      <c r="AF100" s="17" t="n">
        <v>5.97</v>
      </c>
      <c r="AG100" s="17" t="n">
        <v>0.1</v>
      </c>
      <c r="AH100" s="17" t="n">
        <v>1.43</v>
      </c>
      <c r="AI100" s="17" t="n">
        <v>7.22</v>
      </c>
      <c r="AJ100" s="17" t="n">
        <v>54.72</v>
      </c>
      <c r="AK100" s="17" t="n">
        <v>14282.28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2026-07-22</t>
        </is>
      </c>
      <c r="B101" s="17" t="inlineStr">
        <is>
          <t>BANKNIFTY</t>
        </is>
      </c>
      <c r="C101" s="17" t="inlineStr">
        <is>
          <t>Both Spreads</t>
        </is>
      </c>
      <c r="D101" s="17" t="inlineStr">
        <is>
          <t>Bull Call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57722.46</v>
      </c>
      <c r="I101" s="17" t="n">
        <v>57676.95</v>
      </c>
      <c r="J101" s="17" t="inlineStr">
        <is>
          <t>2026-07-30</t>
        </is>
      </c>
      <c r="K101" s="17" t="inlineStr">
        <is>
          <t>MONTHLY</t>
        </is>
      </c>
      <c r="L101" s="17" t="n">
        <v>8</v>
      </c>
      <c r="M101" s="17" t="inlineStr">
        <is>
          <t>09:20 IST</t>
        </is>
      </c>
      <c r="N101" s="17" t="inlineStr">
        <is>
          <t>12:10 IST</t>
        </is>
      </c>
      <c r="O101" s="17" t="n">
        <v>57126.8</v>
      </c>
      <c r="P101" s="17" t="n">
        <v>57835.35</v>
      </c>
      <c r="Q101" s="17" t="inlineStr">
        <is>
          <t>57000 CE</t>
        </is>
      </c>
      <c r="R101" s="17" t="inlineStr">
        <is>
          <t>57200 CE</t>
        </is>
      </c>
      <c r="S101" s="17" t="n">
        <v>17</v>
      </c>
      <c r="T101" s="17" t="n">
        <v>30</v>
      </c>
      <c r="U101" s="17" t="n">
        <v>510</v>
      </c>
      <c r="V101" s="17" t="n">
        <v>91.8</v>
      </c>
      <c r="W101" s="17" t="n">
        <v>119.34</v>
      </c>
      <c r="X101" s="17" t="n">
        <v>46818</v>
      </c>
      <c r="Y101" s="17" t="n">
        <v>46872.57</v>
      </c>
      <c r="Z101" s="17" t="n">
        <v>55182</v>
      </c>
      <c r="AA101" s="17" t="n">
        <v>14045.4</v>
      </c>
      <c r="AB101" s="17" t="n">
        <v>14045.4</v>
      </c>
      <c r="AC101" s="17" t="n">
        <v>14045.4</v>
      </c>
      <c r="AD101" s="17" t="n">
        <v>30</v>
      </c>
      <c r="AE101" s="17" t="n">
        <v>40</v>
      </c>
      <c r="AF101" s="17" t="n">
        <v>5.85</v>
      </c>
      <c r="AG101" s="17" t="n">
        <v>0.09</v>
      </c>
      <c r="AH101" s="17" t="n">
        <v>1.4</v>
      </c>
      <c r="AI101" s="17" t="n">
        <v>7.22</v>
      </c>
      <c r="AJ101" s="17" t="n">
        <v>54.57</v>
      </c>
      <c r="AK101" s="17" t="n">
        <v>13990.83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7" t="inlineStr">
        <is>
          <t>2026-07-22</t>
        </is>
      </c>
      <c r="B102" s="17" t="inlineStr">
        <is>
          <t>BANKNIFTY</t>
        </is>
      </c>
      <c r="C102" s="17" t="inlineStr">
        <is>
          <t>Both Spreads</t>
        </is>
      </c>
      <c r="D102" s="17" t="inlineStr">
        <is>
          <t>Bear Put Spread</t>
        </is>
      </c>
      <c r="E102" s="17" t="inlineStr">
        <is>
          <t>SIMULATED</t>
        </is>
      </c>
      <c r="F102" s="17" t="inlineStr">
        <is>
          <t>SKIP</t>
        </is>
      </c>
      <c r="G102" s="17" t="inlineStr">
        <is>
          <t>Conflicting — Price:BEARISH EMA:BULLISH</t>
        </is>
      </c>
      <c r="H102" s="17" t="n">
        <v>57722.46</v>
      </c>
      <c r="I102" s="17" t="n">
        <v>57676.95</v>
      </c>
      <c r="J102" s="17" t="inlineStr">
        <is>
          <t>2026-07-30</t>
        </is>
      </c>
      <c r="K102" s="17" t="inlineStr">
        <is>
          <t>MONTHLY</t>
        </is>
      </c>
      <c r="L102" s="17" t="n">
        <v>8</v>
      </c>
      <c r="M102" s="17" t="inlineStr">
        <is>
          <t>09:20 IST</t>
        </is>
      </c>
      <c r="N102" s="17" t="inlineStr">
        <is>
          <t>10:19 IST</t>
        </is>
      </c>
      <c r="O102" s="17" t="n">
        <v>57126.8</v>
      </c>
      <c r="P102" s="17" t="n">
        <v>57835.35</v>
      </c>
      <c r="Q102" s="17" t="inlineStr">
        <is>
          <t>57200 PE</t>
        </is>
      </c>
      <c r="R102" s="17" t="inlineStr">
        <is>
          <t>57000 PE</t>
        </is>
      </c>
      <c r="S102" s="17" t="n">
        <v>16</v>
      </c>
      <c r="T102" s="17" t="n">
        <v>30</v>
      </c>
      <c r="U102" s="17" t="n">
        <v>480</v>
      </c>
      <c r="V102" s="17" t="n">
        <v>97.02</v>
      </c>
      <c r="W102" s="17" t="n">
        <v>126.13</v>
      </c>
      <c r="X102" s="17" t="n">
        <v>46569.6</v>
      </c>
      <c r="Y102" s="17" t="n">
        <v>46624.13</v>
      </c>
      <c r="Z102" s="17" t="n">
        <v>49430.4</v>
      </c>
      <c r="AA102" s="17" t="n">
        <v>13970.88</v>
      </c>
      <c r="AB102" s="17" t="n">
        <v>13970.88</v>
      </c>
      <c r="AC102" s="17" t="n">
        <v>13972.8</v>
      </c>
      <c r="AD102" s="17" t="n">
        <v>30</v>
      </c>
      <c r="AE102" s="17" t="n">
        <v>40</v>
      </c>
      <c r="AF102" s="17" t="n">
        <v>5.82</v>
      </c>
      <c r="AG102" s="17" t="n">
        <v>0.09</v>
      </c>
      <c r="AH102" s="17" t="n">
        <v>1.4</v>
      </c>
      <c r="AI102" s="17" t="n">
        <v>7.22</v>
      </c>
      <c r="AJ102" s="17" t="n">
        <v>54.53</v>
      </c>
      <c r="AK102" s="17" t="n">
        <v>13918.27</v>
      </c>
      <c r="AL102" s="17" t="inlineStr">
        <is>
          <t>PROFIT</t>
        </is>
      </c>
      <c r="AM102" s="17" t="n">
        <v>50000</v>
      </c>
      <c r="AN102" s="17" t="inlineStr">
        <is>
          <t>PAPER TRADING</t>
        </is>
      </c>
    </row>
    <row r="103">
      <c r="A103" s="16" t="inlineStr">
        <is>
          <t>2026-07-23</t>
        </is>
      </c>
      <c r="B103" s="16" t="inlineStr">
        <is>
          <t>BANKNIFTY</t>
        </is>
      </c>
      <c r="C103" s="16" t="inlineStr">
        <is>
          <t>Both Spreads</t>
        </is>
      </c>
      <c r="D103" s="16" t="inlineStr">
        <is>
          <t>Bull Call Spread</t>
        </is>
      </c>
      <c r="E103" s="16" t="inlineStr">
        <is>
          <t>SIMULATED</t>
        </is>
      </c>
      <c r="F103" s="16" t="inlineStr">
        <is>
          <t>BEARISH</t>
        </is>
      </c>
      <c r="G103" s="16" t="inlineStr">
        <is>
          <t>Price↓(56618.7&lt;57126.8) &amp; EMA9↓(57503.33&lt;57622.58)</t>
        </is>
      </c>
      <c r="H103" s="16" t="n">
        <v>57503.33</v>
      </c>
      <c r="I103" s="16" t="n">
        <v>57622.58</v>
      </c>
      <c r="J103" s="16" t="inlineStr">
        <is>
          <t>2026-07-30</t>
        </is>
      </c>
      <c r="K103" s="16" t="inlineStr">
        <is>
          <t>MONTHLY</t>
        </is>
      </c>
      <c r="L103" s="16" t="n">
        <v>7</v>
      </c>
      <c r="M103" s="16" t="inlineStr">
        <is>
          <t>09:20 IST</t>
        </is>
      </c>
      <c r="N103" s="16" t="inlineStr">
        <is>
          <t>15:05 IST</t>
        </is>
      </c>
      <c r="O103" s="16" t="n">
        <v>56618.7</v>
      </c>
      <c r="P103" s="16" t="n">
        <v>57126.8</v>
      </c>
      <c r="Q103" s="16" t="inlineStr">
        <is>
          <t>56600 CE</t>
        </is>
      </c>
      <c r="R103" s="16" t="inlineStr">
        <is>
          <t>56800 CE</t>
        </is>
      </c>
      <c r="S103" s="16" t="n">
        <v>23</v>
      </c>
      <c r="T103" s="16" t="n">
        <v>30</v>
      </c>
      <c r="U103" s="16" t="n">
        <v>690</v>
      </c>
      <c r="V103" s="16" t="n">
        <v>70.63</v>
      </c>
      <c r="W103" s="16" t="n">
        <v>72.06</v>
      </c>
      <c r="X103" s="16" t="n">
        <v>48734.7</v>
      </c>
      <c r="Y103" s="16" t="n">
        <v>48789.57</v>
      </c>
      <c r="Z103" s="16" t="n">
        <v>89265.3</v>
      </c>
      <c r="AA103" s="16" t="n">
        <v>14620.41</v>
      </c>
      <c r="AB103" s="16" t="n">
        <v>14620.41</v>
      </c>
      <c r="AC103" s="16" t="n">
        <v>986.7</v>
      </c>
      <c r="AD103" s="16" t="n">
        <v>2</v>
      </c>
      <c r="AE103" s="16" t="n">
        <v>40</v>
      </c>
      <c r="AF103" s="16" t="n">
        <v>6.09</v>
      </c>
      <c r="AG103" s="16" t="n">
        <v>0.1</v>
      </c>
      <c r="AH103" s="16" t="n">
        <v>1.46</v>
      </c>
      <c r="AI103" s="16" t="n">
        <v>7.22</v>
      </c>
      <c r="AJ103" s="16" t="n">
        <v>54.87</v>
      </c>
      <c r="AK103" s="16" t="n">
        <v>931.83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5" t="inlineStr">
        <is>
          <t>2026-07-23</t>
        </is>
      </c>
      <c r="B104" s="15" t="inlineStr">
        <is>
          <t>BANKNIFTY</t>
        </is>
      </c>
      <c r="C104" s="15" t="inlineStr">
        <is>
          <t>Both Spreads</t>
        </is>
      </c>
      <c r="D104" s="15" t="inlineStr">
        <is>
          <t>Bear Put Spread</t>
        </is>
      </c>
      <c r="E104" s="15" t="inlineStr">
        <is>
          <t>SIMULATED</t>
        </is>
      </c>
      <c r="F104" s="15" t="inlineStr">
        <is>
          <t>BEARISH</t>
        </is>
      </c>
      <c r="G104" s="15" t="inlineStr">
        <is>
          <t>Price↓(56618.7&lt;57126.8) &amp; EMA9↓(57503.33&lt;57622.58)</t>
        </is>
      </c>
      <c r="H104" s="15" t="n">
        <v>57503.33</v>
      </c>
      <c r="I104" s="15" t="n">
        <v>57622.58</v>
      </c>
      <c r="J104" s="15" t="inlineStr">
        <is>
          <t>2026-07-30</t>
        </is>
      </c>
      <c r="K104" s="15" t="inlineStr">
        <is>
          <t>MONTHLY</t>
        </is>
      </c>
      <c r="L104" s="15" t="n">
        <v>7</v>
      </c>
      <c r="M104" s="15" t="inlineStr">
        <is>
          <t>09:20 IST</t>
        </is>
      </c>
      <c r="N104" s="15" t="inlineStr">
        <is>
          <t>11:15 IST</t>
        </is>
      </c>
      <c r="O104" s="15" t="n">
        <v>56618.7</v>
      </c>
      <c r="P104" s="15" t="n">
        <v>57126.8</v>
      </c>
      <c r="Q104" s="15" t="inlineStr">
        <is>
          <t>56800 PE</t>
        </is>
      </c>
      <c r="R104" s="15" t="inlineStr">
        <is>
          <t>56600 PE</t>
        </is>
      </c>
      <c r="S104" s="15" t="n">
        <v>32</v>
      </c>
      <c r="T104" s="15" t="n">
        <v>30</v>
      </c>
      <c r="U104" s="15" t="n">
        <v>960</v>
      </c>
      <c r="V104" s="15" t="n">
        <v>50.04</v>
      </c>
      <c r="W104" s="15" t="n">
        <v>35.03</v>
      </c>
      <c r="X104" s="15" t="n">
        <v>48038.4</v>
      </c>
      <c r="Y104" s="15" t="n">
        <v>48093.16</v>
      </c>
      <c r="Z104" s="15" t="n">
        <v>143961.6</v>
      </c>
      <c r="AA104" s="15" t="n">
        <v>14411.52</v>
      </c>
      <c r="AB104" s="15" t="n">
        <v>14411.52</v>
      </c>
      <c r="AC104" s="15" t="n">
        <v>-14409.6</v>
      </c>
      <c r="AD104" s="15" t="n">
        <v>-30</v>
      </c>
      <c r="AE104" s="15" t="n">
        <v>40</v>
      </c>
      <c r="AF104" s="15" t="n">
        <v>6</v>
      </c>
      <c r="AG104" s="15" t="n">
        <v>0.1</v>
      </c>
      <c r="AH104" s="15" t="n">
        <v>1.44</v>
      </c>
      <c r="AI104" s="15" t="n">
        <v>7.22</v>
      </c>
      <c r="AJ104" s="15" t="n">
        <v>54.76</v>
      </c>
      <c r="AK104" s="15" t="n">
        <v>-14464.36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6" t="inlineStr">
        <is>
          <t>2026-07-23</t>
        </is>
      </c>
      <c r="B105" s="16" t="inlineStr">
        <is>
          <t>BANKNIFTY</t>
        </is>
      </c>
      <c r="C105" s="16" t="inlineStr">
        <is>
          <t>Both Spreads</t>
        </is>
      </c>
      <c r="D105" s="16" t="inlineStr">
        <is>
          <t>Bull Call Spread</t>
        </is>
      </c>
      <c r="E105" s="16" t="inlineStr">
        <is>
          <t>SIMULATED</t>
        </is>
      </c>
      <c r="F105" s="16" t="inlineStr">
        <is>
          <t>BEARISH</t>
        </is>
      </c>
      <c r="G105" s="16" t="inlineStr">
        <is>
          <t>Price↓(56592.0&lt;57126.8) &amp; EMA9↓(57498.0&lt;57620.15)</t>
        </is>
      </c>
      <c r="H105" s="16" t="n">
        <v>57498</v>
      </c>
      <c r="I105" s="16" t="n">
        <v>57620.15</v>
      </c>
      <c r="J105" s="16" t="inlineStr">
        <is>
          <t>2026-07-30</t>
        </is>
      </c>
      <c r="K105" s="16" t="inlineStr">
        <is>
          <t>MONTHLY</t>
        </is>
      </c>
      <c r="L105" s="16" t="n">
        <v>7</v>
      </c>
      <c r="M105" s="16" t="inlineStr">
        <is>
          <t>09:20 IST</t>
        </is>
      </c>
      <c r="N105" s="16" t="inlineStr">
        <is>
          <t>13:51 IST</t>
        </is>
      </c>
      <c r="O105" s="16" t="n">
        <v>56592</v>
      </c>
      <c r="P105" s="16" t="n">
        <v>57126.8</v>
      </c>
      <c r="Q105" s="16" t="inlineStr">
        <is>
          <t>56400 CE</t>
        </is>
      </c>
      <c r="R105" s="16" t="inlineStr">
        <is>
          <t>56600 CE</t>
        </is>
      </c>
      <c r="S105" s="16" t="n">
        <v>20</v>
      </c>
      <c r="T105" s="16" t="n">
        <v>30</v>
      </c>
      <c r="U105" s="16" t="n">
        <v>600</v>
      </c>
      <c r="V105" s="16" t="n">
        <v>79.44</v>
      </c>
      <c r="W105" s="16" t="n">
        <v>78.06</v>
      </c>
      <c r="X105" s="16" t="n">
        <v>47664</v>
      </c>
      <c r="Y105" s="16" t="n">
        <v>47718.7</v>
      </c>
      <c r="Z105" s="16" t="n">
        <v>72336</v>
      </c>
      <c r="AA105" s="16" t="n">
        <v>14299.2</v>
      </c>
      <c r="AB105" s="16" t="n">
        <v>14299.2</v>
      </c>
      <c r="AC105" s="16" t="n">
        <v>-828</v>
      </c>
      <c r="AD105" s="16" t="n">
        <v>-1.7</v>
      </c>
      <c r="AE105" s="16" t="n">
        <v>40</v>
      </c>
      <c r="AF105" s="16" t="n">
        <v>5.96</v>
      </c>
      <c r="AG105" s="16" t="n">
        <v>0.1</v>
      </c>
      <c r="AH105" s="16" t="n">
        <v>1.43</v>
      </c>
      <c r="AI105" s="16" t="n">
        <v>7.22</v>
      </c>
      <c r="AJ105" s="16" t="n">
        <v>54.7</v>
      </c>
      <c r="AK105" s="16" t="n">
        <v>-882.7</v>
      </c>
      <c r="AL105" s="16" t="inlineStr">
        <is>
          <t>FLAT</t>
        </is>
      </c>
      <c r="AM105" s="16" t="n">
        <v>50000</v>
      </c>
      <c r="AN105" s="16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BANKNIFTY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BEARISH</t>
        </is>
      </c>
      <c r="G106" s="17" t="inlineStr">
        <is>
          <t>Price↓(56592.0&lt;57126.8) &amp; EMA9↓(57498.0&lt;57620.15)</t>
        </is>
      </c>
      <c r="H106" s="17" t="n">
        <v>57498</v>
      </c>
      <c r="I106" s="17" t="n">
        <v>57620.15</v>
      </c>
      <c r="J106" s="17" t="inlineStr">
        <is>
          <t>2026-07-30</t>
        </is>
      </c>
      <c r="K106" s="17" t="inlineStr">
        <is>
          <t>MONTHLY</t>
        </is>
      </c>
      <c r="L106" s="17" t="n">
        <v>7</v>
      </c>
      <c r="M106" s="17" t="inlineStr">
        <is>
          <t>09:20 IST</t>
        </is>
      </c>
      <c r="N106" s="17" t="inlineStr">
        <is>
          <t>10:17 IST</t>
        </is>
      </c>
      <c r="O106" s="17" t="n">
        <v>56592</v>
      </c>
      <c r="P106" s="17" t="n">
        <v>57126.8</v>
      </c>
      <c r="Q106" s="17" t="inlineStr">
        <is>
          <t>56600 PE</t>
        </is>
      </c>
      <c r="R106" s="17" t="inlineStr">
        <is>
          <t>56400 PE</t>
        </is>
      </c>
      <c r="S106" s="17" t="n">
        <v>23</v>
      </c>
      <c r="T106" s="17" t="n">
        <v>30</v>
      </c>
      <c r="U106" s="17" t="n">
        <v>690</v>
      </c>
      <c r="V106" s="17" t="n">
        <v>70.36</v>
      </c>
      <c r="W106" s="17" t="n">
        <v>91.47</v>
      </c>
      <c r="X106" s="17" t="n">
        <v>48548.4</v>
      </c>
      <c r="Y106" s="17" t="n">
        <v>48603.24</v>
      </c>
      <c r="Z106" s="17" t="n">
        <v>89451.60000000001</v>
      </c>
      <c r="AA106" s="17" t="n">
        <v>14564.52</v>
      </c>
      <c r="AB106" s="17" t="n">
        <v>14564.52</v>
      </c>
      <c r="AC106" s="17" t="n">
        <v>14565.9</v>
      </c>
      <c r="AD106" s="17" t="n">
        <v>30</v>
      </c>
      <c r="AE106" s="17" t="n">
        <v>40</v>
      </c>
      <c r="AF106" s="17" t="n">
        <v>6.07</v>
      </c>
      <c r="AG106" s="17" t="n">
        <v>0.1</v>
      </c>
      <c r="AH106" s="17" t="n">
        <v>1.46</v>
      </c>
      <c r="AI106" s="17" t="n">
        <v>7.22</v>
      </c>
      <c r="AJ106" s="17" t="n">
        <v>54.84</v>
      </c>
      <c r="AK106" s="17" t="n">
        <v>14511.06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BANKNIFTY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Price↓(56220.4&lt;56592.0) &amp; EMA9↓(57242.74&lt;57517.83)</t>
        </is>
      </c>
      <c r="H107" s="17" t="n">
        <v>57242.74</v>
      </c>
      <c r="I107" s="17" t="n">
        <v>57517.83</v>
      </c>
      <c r="J107" s="17" t="inlineStr">
        <is>
          <t>2026-07-30</t>
        </is>
      </c>
      <c r="K107" s="17" t="inlineStr">
        <is>
          <t>MONTHLY</t>
        </is>
      </c>
      <c r="L107" s="17" t="n">
        <v>6</v>
      </c>
      <c r="M107" s="17" t="inlineStr">
        <is>
          <t>09:20 IST</t>
        </is>
      </c>
      <c r="N107" s="17" t="inlineStr">
        <is>
          <t>10:41 IST</t>
        </is>
      </c>
      <c r="O107" s="17" t="n">
        <v>56220.4</v>
      </c>
      <c r="P107" s="17" t="n">
        <v>56592</v>
      </c>
      <c r="Q107" s="17" t="inlineStr">
        <is>
          <t>56200 CE</t>
        </is>
      </c>
      <c r="R107" s="17" t="inlineStr">
        <is>
          <t>56400 CE</t>
        </is>
      </c>
      <c r="S107" s="17" t="n">
        <v>25</v>
      </c>
      <c r="T107" s="17" t="n">
        <v>30</v>
      </c>
      <c r="U107" s="17" t="n">
        <v>750</v>
      </c>
      <c r="V107" s="17" t="n">
        <v>64.73999999999999</v>
      </c>
      <c r="W107" s="17" t="n">
        <v>84.16</v>
      </c>
      <c r="X107" s="17" t="n">
        <v>48555</v>
      </c>
      <c r="Y107" s="17" t="n">
        <v>48609.84</v>
      </c>
      <c r="Z107" s="17" t="n">
        <v>101445</v>
      </c>
      <c r="AA107" s="17" t="n">
        <v>14566.5</v>
      </c>
      <c r="AB107" s="17" t="n">
        <v>14566.5</v>
      </c>
      <c r="AC107" s="17" t="n">
        <v>14565</v>
      </c>
      <c r="AD107" s="17" t="n">
        <v>30</v>
      </c>
      <c r="AE107" s="17" t="n">
        <v>40</v>
      </c>
      <c r="AF107" s="17" t="n">
        <v>6.07</v>
      </c>
      <c r="AG107" s="17" t="n">
        <v>0.1</v>
      </c>
      <c r="AH107" s="17" t="n">
        <v>1.46</v>
      </c>
      <c r="AI107" s="17" t="n">
        <v>7.22</v>
      </c>
      <c r="AJ107" s="17" t="n">
        <v>54.84</v>
      </c>
      <c r="AK107" s="17" t="n">
        <v>14510.16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5" t="inlineStr">
        <is>
          <t>2026-07-24</t>
        </is>
      </c>
      <c r="B108" s="15" t="inlineStr">
        <is>
          <t>BANKNIFTY</t>
        </is>
      </c>
      <c r="C108" s="15" t="inlineStr">
        <is>
          <t>Both Spreads</t>
        </is>
      </c>
      <c r="D108" s="15" t="inlineStr">
        <is>
          <t>Bear Put Spread</t>
        </is>
      </c>
      <c r="E108" s="15" t="inlineStr">
        <is>
          <t>SIMULATED</t>
        </is>
      </c>
      <c r="F108" s="15" t="inlineStr">
        <is>
          <t>BEARISH</t>
        </is>
      </c>
      <c r="G108" s="15" t="inlineStr">
        <is>
          <t>Price↓(56220.4&lt;56592.0) &amp; EMA9↓(57242.74&lt;57517.83)</t>
        </is>
      </c>
      <c r="H108" s="15" t="n">
        <v>57242.74</v>
      </c>
      <c r="I108" s="15" t="n">
        <v>57517.83</v>
      </c>
      <c r="J108" s="15" t="inlineStr">
        <is>
          <t>2026-07-30</t>
        </is>
      </c>
      <c r="K108" s="15" t="inlineStr">
        <is>
          <t>MONTHLY</t>
        </is>
      </c>
      <c r="L108" s="15" t="n">
        <v>6</v>
      </c>
      <c r="M108" s="15" t="inlineStr">
        <is>
          <t>09:20 IST</t>
        </is>
      </c>
      <c r="N108" s="15" t="inlineStr">
        <is>
          <t>09:37 IST</t>
        </is>
      </c>
      <c r="O108" s="15" t="n">
        <v>56220.4</v>
      </c>
      <c r="P108" s="15" t="n">
        <v>56592</v>
      </c>
      <c r="Q108" s="15" t="inlineStr">
        <is>
          <t>56400 PE</t>
        </is>
      </c>
      <c r="R108" s="15" t="inlineStr">
        <is>
          <t>56200 PE</t>
        </is>
      </c>
      <c r="S108" s="15" t="n">
        <v>28</v>
      </c>
      <c r="T108" s="15" t="n">
        <v>30</v>
      </c>
      <c r="U108" s="15" t="n">
        <v>840</v>
      </c>
      <c r="V108" s="15" t="n">
        <v>58.18</v>
      </c>
      <c r="W108" s="15" t="n">
        <v>40.73</v>
      </c>
      <c r="X108" s="15" t="n">
        <v>48871.2</v>
      </c>
      <c r="Y108" s="15" t="n">
        <v>48926.09</v>
      </c>
      <c r="Z108" s="15" t="n">
        <v>119128.8</v>
      </c>
      <c r="AA108" s="15" t="n">
        <v>14661.36</v>
      </c>
      <c r="AB108" s="15" t="n">
        <v>14661.36</v>
      </c>
      <c r="AC108" s="15" t="n">
        <v>-14658</v>
      </c>
      <c r="AD108" s="15" t="n">
        <v>-30</v>
      </c>
      <c r="AE108" s="15" t="n">
        <v>40</v>
      </c>
      <c r="AF108" s="15" t="n">
        <v>6.11</v>
      </c>
      <c r="AG108" s="15" t="n">
        <v>0.1</v>
      </c>
      <c r="AH108" s="15" t="n">
        <v>1.47</v>
      </c>
      <c r="AI108" s="15" t="n">
        <v>7.22</v>
      </c>
      <c r="AJ108" s="15" t="n">
        <v>54.89</v>
      </c>
      <c r="AK108" s="15" t="n">
        <v>-14712.89</v>
      </c>
      <c r="AL108" s="15" t="inlineStr">
        <is>
          <t>STOP LOSS</t>
        </is>
      </c>
      <c r="AM108" s="15" t="n">
        <v>50000</v>
      </c>
      <c r="AN108" s="15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BANKNIFTY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SKIP</t>
        </is>
      </c>
      <c r="G109" s="17" t="inlineStr">
        <is>
          <t>Conflicting — Price:BULLISH EMA:BEARISH</t>
        </is>
      </c>
      <c r="H109" s="17" t="n">
        <v>57337.36</v>
      </c>
      <c r="I109" s="17" t="n">
        <v>57560.84</v>
      </c>
      <c r="J109" s="17" t="inlineStr">
        <is>
          <t>2026-07-30</t>
        </is>
      </c>
      <c r="K109" s="17" t="inlineStr">
        <is>
          <t>MONTHLY</t>
        </is>
      </c>
      <c r="L109" s="17" t="n">
        <v>6</v>
      </c>
      <c r="M109" s="17" t="inlineStr">
        <is>
          <t>09:20 IST</t>
        </is>
      </c>
      <c r="N109" s="17" t="inlineStr">
        <is>
          <t>11:08 IST</t>
        </is>
      </c>
      <c r="O109" s="17" t="n">
        <v>56693.5</v>
      </c>
      <c r="P109" s="17" t="n">
        <v>56592</v>
      </c>
      <c r="Q109" s="17" t="inlineStr">
        <is>
          <t>56600 CE</t>
        </is>
      </c>
      <c r="R109" s="17" t="inlineStr">
        <is>
          <t>56800 CE</t>
        </is>
      </c>
      <c r="S109" s="17" t="n">
        <v>21</v>
      </c>
      <c r="T109" s="17" t="n">
        <v>30</v>
      </c>
      <c r="U109" s="17" t="n">
        <v>630</v>
      </c>
      <c r="V109" s="17" t="n">
        <v>74.90000000000001</v>
      </c>
      <c r="W109" s="17" t="n">
        <v>97.37</v>
      </c>
      <c r="X109" s="17" t="n">
        <v>47187</v>
      </c>
      <c r="Y109" s="17" t="n">
        <v>47241.63</v>
      </c>
      <c r="Z109" s="17" t="n">
        <v>78813</v>
      </c>
      <c r="AA109" s="17" t="n">
        <v>14156.1</v>
      </c>
      <c r="AB109" s="17" t="n">
        <v>14156.1</v>
      </c>
      <c r="AC109" s="17" t="n">
        <v>14156.1</v>
      </c>
      <c r="AD109" s="17" t="n">
        <v>30</v>
      </c>
      <c r="AE109" s="17" t="n">
        <v>40</v>
      </c>
      <c r="AF109" s="17" t="n">
        <v>5.9</v>
      </c>
      <c r="AG109" s="17" t="n">
        <v>0.09</v>
      </c>
      <c r="AH109" s="17" t="n">
        <v>1.42</v>
      </c>
      <c r="AI109" s="17" t="n">
        <v>7.22</v>
      </c>
      <c r="AJ109" s="17" t="n">
        <v>54.63</v>
      </c>
      <c r="AK109" s="17" t="n">
        <v>14101.47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5" t="inlineStr">
        <is>
          <t>2026-07-24</t>
        </is>
      </c>
      <c r="B110" s="15" t="inlineStr">
        <is>
          <t>BANKNIFTY</t>
        </is>
      </c>
      <c r="C110" s="15" t="inlineStr">
        <is>
          <t>Both Spreads</t>
        </is>
      </c>
      <c r="D110" s="15" t="inlineStr">
        <is>
          <t>Bear Put Spread</t>
        </is>
      </c>
      <c r="E110" s="15" t="inlineStr">
        <is>
          <t>SIMULATED</t>
        </is>
      </c>
      <c r="F110" s="15" t="inlineStr">
        <is>
          <t>SKIP</t>
        </is>
      </c>
      <c r="G110" s="15" t="inlineStr">
        <is>
          <t>Conflicting — Price:BULLISH EMA:BEARISH</t>
        </is>
      </c>
      <c r="H110" s="15" t="n">
        <v>57337.36</v>
      </c>
      <c r="I110" s="15" t="n">
        <v>57560.84</v>
      </c>
      <c r="J110" s="15" t="inlineStr">
        <is>
          <t>2026-07-30</t>
        </is>
      </c>
      <c r="K110" s="15" t="inlineStr">
        <is>
          <t>MONTHLY</t>
        </is>
      </c>
      <c r="L110" s="15" t="n">
        <v>6</v>
      </c>
      <c r="M110" s="15" t="inlineStr">
        <is>
          <t>09:20 IST</t>
        </is>
      </c>
      <c r="N110" s="15" t="inlineStr">
        <is>
          <t>10:15 IST</t>
        </is>
      </c>
      <c r="O110" s="15" t="n">
        <v>56693.5</v>
      </c>
      <c r="P110" s="15" t="n">
        <v>56592</v>
      </c>
      <c r="Q110" s="15" t="inlineStr">
        <is>
          <t>56800 PE</t>
        </is>
      </c>
      <c r="R110" s="15" t="inlineStr">
        <is>
          <t>56600 PE</t>
        </is>
      </c>
      <c r="S110" s="15" t="n">
        <v>26</v>
      </c>
      <c r="T110" s="15" t="n">
        <v>30</v>
      </c>
      <c r="U110" s="15" t="n">
        <v>780</v>
      </c>
      <c r="V110" s="15" t="n">
        <v>62.17</v>
      </c>
      <c r="W110" s="15" t="n">
        <v>43.52</v>
      </c>
      <c r="X110" s="15" t="n">
        <v>48492.6</v>
      </c>
      <c r="Y110" s="15" t="n">
        <v>48547.43</v>
      </c>
      <c r="Z110" s="15" t="n">
        <v>107507.4</v>
      </c>
      <c r="AA110" s="15" t="n">
        <v>14547.78</v>
      </c>
      <c r="AB110" s="15" t="n">
        <v>14547.78</v>
      </c>
      <c r="AC110" s="15" t="n">
        <v>-14547</v>
      </c>
      <c r="AD110" s="15" t="n">
        <v>-30</v>
      </c>
      <c r="AE110" s="15" t="n">
        <v>40</v>
      </c>
      <c r="AF110" s="15" t="n">
        <v>6.06</v>
      </c>
      <c r="AG110" s="15" t="n">
        <v>0.1</v>
      </c>
      <c r="AH110" s="15" t="n">
        <v>1.45</v>
      </c>
      <c r="AI110" s="15" t="n">
        <v>7.22</v>
      </c>
      <c r="AJ110" s="15" t="n">
        <v>54.83</v>
      </c>
      <c r="AK110" s="15" t="n">
        <v>-14601.83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7" t="inlineStr">
        <is>
          <t>2026-07-27</t>
        </is>
      </c>
      <c r="B111" s="17" t="inlineStr">
        <is>
          <t>BANKNIFTY</t>
        </is>
      </c>
      <c r="C111" s="17" t="inlineStr">
        <is>
          <t>Both Spreads</t>
        </is>
      </c>
      <c r="D111" s="17" t="inlineStr">
        <is>
          <t>Bull Call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57288.3</v>
      </c>
      <c r="I111" s="17" t="n">
        <v>57529.7</v>
      </c>
      <c r="J111" s="17" t="inlineStr">
        <is>
          <t>2026-07-30</t>
        </is>
      </c>
      <c r="K111" s="17" t="inlineStr">
        <is>
          <t>MONTHLY</t>
        </is>
      </c>
      <c r="L111" s="17" t="n">
        <v>3</v>
      </c>
      <c r="M111" s="17" t="inlineStr">
        <is>
          <t>09:20 IST</t>
        </is>
      </c>
      <c r="N111" s="17" t="inlineStr">
        <is>
          <t>11:46 IST</t>
        </is>
      </c>
      <c r="O111" s="17" t="n">
        <v>57089.15</v>
      </c>
      <c r="P111" s="17" t="n">
        <v>56693.5</v>
      </c>
      <c r="Q111" s="17" t="inlineStr">
        <is>
          <t>57000 CE</t>
        </is>
      </c>
      <c r="R111" s="17" t="inlineStr">
        <is>
          <t>57200 CE</t>
        </is>
      </c>
      <c r="S111" s="17" t="n">
        <v>31</v>
      </c>
      <c r="T111" s="17" t="n">
        <v>30</v>
      </c>
      <c r="U111" s="17" t="n">
        <v>930</v>
      </c>
      <c r="V111" s="17" t="n">
        <v>51.96</v>
      </c>
      <c r="W111" s="17" t="n">
        <v>67.55</v>
      </c>
      <c r="X111" s="17" t="n">
        <v>48322.8</v>
      </c>
      <c r="Y111" s="17" t="n">
        <v>48377.6</v>
      </c>
      <c r="Z111" s="17" t="n">
        <v>137677.2</v>
      </c>
      <c r="AA111" s="17" t="n">
        <v>14496.84</v>
      </c>
      <c r="AB111" s="17" t="n">
        <v>14496.84</v>
      </c>
      <c r="AC111" s="17" t="n">
        <v>14498.7</v>
      </c>
      <c r="AD111" s="17" t="n">
        <v>30</v>
      </c>
      <c r="AE111" s="17" t="n">
        <v>40</v>
      </c>
      <c r="AF111" s="17" t="n">
        <v>6.04</v>
      </c>
      <c r="AG111" s="17" t="n">
        <v>0.1</v>
      </c>
      <c r="AH111" s="17" t="n">
        <v>1.45</v>
      </c>
      <c r="AI111" s="17" t="n">
        <v>7.22</v>
      </c>
      <c r="AJ111" s="17" t="n">
        <v>54.8</v>
      </c>
      <c r="AK111" s="17" t="n">
        <v>14443.9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BANKNIFTY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57288.3</v>
      </c>
      <c r="I112" s="17" t="n">
        <v>57529.7</v>
      </c>
      <c r="J112" s="17" t="inlineStr">
        <is>
          <t>2026-07-30</t>
        </is>
      </c>
      <c r="K112" s="17" t="inlineStr">
        <is>
          <t>MONTHLY</t>
        </is>
      </c>
      <c r="L112" s="17" t="n">
        <v>3</v>
      </c>
      <c r="M112" s="17" t="inlineStr">
        <is>
          <t>09:20 IST</t>
        </is>
      </c>
      <c r="N112" s="17" t="inlineStr">
        <is>
          <t>10:03 IST</t>
        </is>
      </c>
      <c r="O112" s="17" t="n">
        <v>57089.15</v>
      </c>
      <c r="P112" s="17" t="n">
        <v>56693.5</v>
      </c>
      <c r="Q112" s="17" t="inlineStr">
        <is>
          <t>57200 PE</t>
        </is>
      </c>
      <c r="R112" s="17" t="inlineStr">
        <is>
          <t>57000 PE</t>
        </is>
      </c>
      <c r="S112" s="17" t="n">
        <v>27</v>
      </c>
      <c r="T112" s="17" t="n">
        <v>30</v>
      </c>
      <c r="U112" s="17" t="n">
        <v>810</v>
      </c>
      <c r="V112" s="17" t="n">
        <v>58.26</v>
      </c>
      <c r="W112" s="17" t="n">
        <v>75.73999999999999</v>
      </c>
      <c r="X112" s="17" t="n">
        <v>47190.6</v>
      </c>
      <c r="Y112" s="17" t="n">
        <v>47245.23</v>
      </c>
      <c r="Z112" s="17" t="n">
        <v>114809.4</v>
      </c>
      <c r="AA112" s="17" t="n">
        <v>14157.18</v>
      </c>
      <c r="AB112" s="17" t="n">
        <v>14157.18</v>
      </c>
      <c r="AC112" s="17" t="n">
        <v>14158.8</v>
      </c>
      <c r="AD112" s="17" t="n">
        <v>30</v>
      </c>
      <c r="AE112" s="17" t="n">
        <v>40</v>
      </c>
      <c r="AF112" s="17" t="n">
        <v>5.9</v>
      </c>
      <c r="AG112" s="17" t="n">
        <v>0.09</v>
      </c>
      <c r="AH112" s="17" t="n">
        <v>1.42</v>
      </c>
      <c r="AI112" s="17" t="n">
        <v>7.22</v>
      </c>
      <c r="AJ112" s="17" t="n">
        <v>54.63</v>
      </c>
      <c r="AK112" s="17" t="n">
        <v>14104.17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BANKNIFTY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57287.91</v>
      </c>
      <c r="I113" s="17" t="n">
        <v>57529.52</v>
      </c>
      <c r="J113" s="17" t="inlineStr">
        <is>
          <t>2026-07-30</t>
        </is>
      </c>
      <c r="K113" s="17" t="inlineStr">
        <is>
          <t>MONTHLY</t>
        </is>
      </c>
      <c r="L113" s="17" t="n">
        <v>3</v>
      </c>
      <c r="M113" s="17" t="inlineStr">
        <is>
          <t>09:20 IST</t>
        </is>
      </c>
      <c r="N113" s="17" t="inlineStr">
        <is>
          <t>11:17 IST</t>
        </is>
      </c>
      <c r="O113" s="17" t="n">
        <v>57087.2</v>
      </c>
      <c r="P113" s="17" t="n">
        <v>56693.5</v>
      </c>
      <c r="Q113" s="17" t="inlineStr">
        <is>
          <t>57000 CE</t>
        </is>
      </c>
      <c r="R113" s="17" t="inlineStr">
        <is>
          <t>57200 CE</t>
        </is>
      </c>
      <c r="S113" s="17" t="n">
        <v>20</v>
      </c>
      <c r="T113" s="17" t="n">
        <v>30</v>
      </c>
      <c r="U113" s="17" t="n">
        <v>600</v>
      </c>
      <c r="V113" s="17" t="n">
        <v>78.51000000000001</v>
      </c>
      <c r="W113" s="17" t="n">
        <v>102.06</v>
      </c>
      <c r="X113" s="17" t="n">
        <v>47106</v>
      </c>
      <c r="Y113" s="17" t="n">
        <v>47160.61</v>
      </c>
      <c r="Z113" s="17" t="n">
        <v>72894</v>
      </c>
      <c r="AA113" s="17" t="n">
        <v>14131.8</v>
      </c>
      <c r="AB113" s="17" t="n">
        <v>14131.8</v>
      </c>
      <c r="AC113" s="17" t="n">
        <v>14130</v>
      </c>
      <c r="AD113" s="17" t="n">
        <v>30</v>
      </c>
      <c r="AE113" s="17" t="n">
        <v>40</v>
      </c>
      <c r="AF113" s="17" t="n">
        <v>5.89</v>
      </c>
      <c r="AG113" s="17" t="n">
        <v>0.09</v>
      </c>
      <c r="AH113" s="17" t="n">
        <v>1.41</v>
      </c>
      <c r="AI113" s="17" t="n">
        <v>7.22</v>
      </c>
      <c r="AJ113" s="17" t="n">
        <v>54.61</v>
      </c>
      <c r="AK113" s="17" t="n">
        <v>14075.39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5" t="inlineStr">
        <is>
          <t>2026-07-27</t>
        </is>
      </c>
      <c r="B114" s="15" t="inlineStr">
        <is>
          <t>BANKNIFTY</t>
        </is>
      </c>
      <c r="C114" s="15" t="inlineStr">
        <is>
          <t>Both Spreads</t>
        </is>
      </c>
      <c r="D114" s="15" t="inlineStr">
        <is>
          <t>Bear Put Spread</t>
        </is>
      </c>
      <c r="E114" s="15" t="inlineStr">
        <is>
          <t>SIMULATED</t>
        </is>
      </c>
      <c r="F114" s="15" t="inlineStr">
        <is>
          <t>SKIP</t>
        </is>
      </c>
      <c r="G114" s="15" t="inlineStr">
        <is>
          <t>Conflicting — Price:BULLISH EMA:BEARISH</t>
        </is>
      </c>
      <c r="H114" s="15" t="n">
        <v>57287.91</v>
      </c>
      <c r="I114" s="15" t="n">
        <v>57529.52</v>
      </c>
      <c r="J114" s="15" t="inlineStr">
        <is>
          <t>2026-07-30</t>
        </is>
      </c>
      <c r="K114" s="15" t="inlineStr">
        <is>
          <t>MONTHLY</t>
        </is>
      </c>
      <c r="L114" s="15" t="n">
        <v>3</v>
      </c>
      <c r="M114" s="15" t="inlineStr">
        <is>
          <t>09:20 IST</t>
        </is>
      </c>
      <c r="N114" s="15" t="inlineStr">
        <is>
          <t>10:53 IST</t>
        </is>
      </c>
      <c r="O114" s="15" t="n">
        <v>57087.2</v>
      </c>
      <c r="P114" s="15" t="n">
        <v>56693.5</v>
      </c>
      <c r="Q114" s="15" t="inlineStr">
        <is>
          <t>57200 PE</t>
        </is>
      </c>
      <c r="R114" s="15" t="inlineStr">
        <is>
          <t>57000 PE</t>
        </is>
      </c>
      <c r="S114" s="15" t="n">
        <v>24</v>
      </c>
      <c r="T114" s="15" t="n">
        <v>30</v>
      </c>
      <c r="U114" s="15" t="n">
        <v>720</v>
      </c>
      <c r="V114" s="15" t="n">
        <v>65.56</v>
      </c>
      <c r="W114" s="15" t="n">
        <v>45.89</v>
      </c>
      <c r="X114" s="15" t="n">
        <v>47203.2</v>
      </c>
      <c r="Y114" s="15" t="n">
        <v>47257.83</v>
      </c>
      <c r="Z114" s="15" t="n">
        <v>96796.8</v>
      </c>
      <c r="AA114" s="15" t="n">
        <v>14160.96</v>
      </c>
      <c r="AB114" s="15" t="n">
        <v>14160.96</v>
      </c>
      <c r="AC114" s="15" t="n">
        <v>-14162.4</v>
      </c>
      <c r="AD114" s="15" t="n">
        <v>-30</v>
      </c>
      <c r="AE114" s="15" t="n">
        <v>40</v>
      </c>
      <c r="AF114" s="15" t="n">
        <v>5.9</v>
      </c>
      <c r="AG114" s="15" t="n">
        <v>0.09</v>
      </c>
      <c r="AH114" s="15" t="n">
        <v>1.42</v>
      </c>
      <c r="AI114" s="15" t="n">
        <v>7.22</v>
      </c>
      <c r="AJ114" s="15" t="n">
        <v>54.63</v>
      </c>
      <c r="AK114" s="15" t="n">
        <v>-14217.03</v>
      </c>
      <c r="AL114" s="15" t="inlineStr">
        <is>
          <t>STOP LOSS</t>
        </is>
      </c>
      <c r="AM114" s="15" t="n">
        <v>50000</v>
      </c>
      <c r="AN114" s="15" t="inlineStr">
        <is>
          <t>PAPER TRADING</t>
        </is>
      </c>
    </row>
    <row r="115">
      <c r="A115" s="16" t="inlineStr">
        <is>
          <t>2026-07-28</t>
        </is>
      </c>
      <c r="B115" s="16" t="inlineStr">
        <is>
          <t>BANKNIFTY</t>
        </is>
      </c>
      <c r="C115" s="16" t="inlineStr">
        <is>
          <t>Both Spreads</t>
        </is>
      </c>
      <c r="D115" s="16" t="inlineStr">
        <is>
          <t>Bull Call Spread</t>
        </is>
      </c>
      <c r="E115" s="16" t="inlineStr">
        <is>
          <t>SIMULATED</t>
        </is>
      </c>
      <c r="F115" s="16" t="inlineStr">
        <is>
          <t>BEARISH</t>
        </is>
      </c>
      <c r="G115" s="16" t="inlineStr">
        <is>
          <t>Price↓(57016.0&lt;57087.2) &amp; EMA9↓(57337.64&lt;57571.24)</t>
        </is>
      </c>
      <c r="H115" s="16" t="n">
        <v>57337.64</v>
      </c>
      <c r="I115" s="16" t="n">
        <v>57571.24</v>
      </c>
      <c r="J115" s="16" t="inlineStr">
        <is>
          <t>2026-07-30</t>
        </is>
      </c>
      <c r="K115" s="16" t="inlineStr">
        <is>
          <t>MONTHLY</t>
        </is>
      </c>
      <c r="L115" s="16" t="n">
        <v>2</v>
      </c>
      <c r="M115" s="16" t="inlineStr">
        <is>
          <t>09:20 IST</t>
        </is>
      </c>
      <c r="N115" s="16" t="inlineStr">
        <is>
          <t>14:21 IST</t>
        </is>
      </c>
      <c r="O115" s="16" t="n">
        <v>57016</v>
      </c>
      <c r="P115" s="16" t="n">
        <v>57087.2</v>
      </c>
      <c r="Q115" s="16" t="inlineStr">
        <is>
          <t>57000 CE</t>
        </is>
      </c>
      <c r="R115" s="16" t="inlineStr">
        <is>
          <t>57200 CE</t>
        </is>
      </c>
      <c r="S115" s="16" t="n">
        <v>42</v>
      </c>
      <c r="T115" s="16" t="n">
        <v>30</v>
      </c>
      <c r="U115" s="16" t="n">
        <v>1260</v>
      </c>
      <c r="V115" s="16" t="n">
        <v>37.72</v>
      </c>
      <c r="W115" s="16" t="n">
        <v>38.24</v>
      </c>
      <c r="X115" s="16" t="n">
        <v>47527.2</v>
      </c>
      <c r="Y115" s="16" t="n">
        <v>47581.88</v>
      </c>
      <c r="Z115" s="16" t="n">
        <v>204472.8</v>
      </c>
      <c r="AA115" s="16" t="n">
        <v>14258.16</v>
      </c>
      <c r="AB115" s="16" t="n">
        <v>14258.16</v>
      </c>
      <c r="AC115" s="16" t="n">
        <v>655.2</v>
      </c>
      <c r="AD115" s="16" t="n">
        <v>1.4</v>
      </c>
      <c r="AE115" s="16" t="n">
        <v>40</v>
      </c>
      <c r="AF115" s="16" t="n">
        <v>5.94</v>
      </c>
      <c r="AG115" s="16" t="n">
        <v>0.1</v>
      </c>
      <c r="AH115" s="16" t="n">
        <v>1.43</v>
      </c>
      <c r="AI115" s="16" t="n">
        <v>7.22</v>
      </c>
      <c r="AJ115" s="16" t="n">
        <v>54.68</v>
      </c>
      <c r="AK115" s="16" t="n">
        <v>600.52</v>
      </c>
      <c r="AL115" s="16" t="inlineStr">
        <is>
          <t>FLAT</t>
        </is>
      </c>
      <c r="AM115" s="16" t="n">
        <v>50000</v>
      </c>
      <c r="AN115" s="16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BANKNIFTY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Price↓(57016.0&lt;57087.2) &amp; EMA9↓(57337.64&lt;57571.24)</t>
        </is>
      </c>
      <c r="H116" s="17" t="n">
        <v>57337.64</v>
      </c>
      <c r="I116" s="17" t="n">
        <v>57571.24</v>
      </c>
      <c r="J116" s="17" t="inlineStr">
        <is>
          <t>2026-07-30</t>
        </is>
      </c>
      <c r="K116" s="17" t="inlineStr">
        <is>
          <t>MONTHLY</t>
        </is>
      </c>
      <c r="L116" s="17" t="n">
        <v>2</v>
      </c>
      <c r="M116" s="17" t="inlineStr">
        <is>
          <t>09:20 IST</t>
        </is>
      </c>
      <c r="N116" s="17" t="inlineStr">
        <is>
          <t>09:50 IST</t>
        </is>
      </c>
      <c r="O116" s="17" t="n">
        <v>57016</v>
      </c>
      <c r="P116" s="17" t="n">
        <v>57087.2</v>
      </c>
      <c r="Q116" s="17" t="inlineStr">
        <is>
          <t>57200 PE</t>
        </is>
      </c>
      <c r="R116" s="17" t="inlineStr">
        <is>
          <t>57000 PE</t>
        </is>
      </c>
      <c r="S116" s="17" t="n">
        <v>36</v>
      </c>
      <c r="T116" s="17" t="n">
        <v>30</v>
      </c>
      <c r="U116" s="17" t="n">
        <v>1080</v>
      </c>
      <c r="V116" s="17" t="n">
        <v>43.92</v>
      </c>
      <c r="W116" s="17" t="n">
        <v>57.1</v>
      </c>
      <c r="X116" s="17" t="n">
        <v>47433.6</v>
      </c>
      <c r="Y116" s="17" t="n">
        <v>47488.26</v>
      </c>
      <c r="Z116" s="17" t="n">
        <v>168566.4</v>
      </c>
      <c r="AA116" s="17" t="n">
        <v>14230.08</v>
      </c>
      <c r="AB116" s="17" t="n">
        <v>14230.08</v>
      </c>
      <c r="AC116" s="17" t="n">
        <v>14234.4</v>
      </c>
      <c r="AD116" s="17" t="n">
        <v>30</v>
      </c>
      <c r="AE116" s="17" t="n">
        <v>40</v>
      </c>
      <c r="AF116" s="17" t="n">
        <v>5.93</v>
      </c>
      <c r="AG116" s="17" t="n">
        <v>0.09</v>
      </c>
      <c r="AH116" s="17" t="n">
        <v>1.42</v>
      </c>
      <c r="AI116" s="17" t="n">
        <v>7.22</v>
      </c>
      <c r="AJ116" s="17" t="n">
        <v>54.66</v>
      </c>
      <c r="AK116" s="17" t="n">
        <v>14179.74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7" t="inlineStr">
        <is>
          <t>2026-07-28</t>
        </is>
      </c>
      <c r="B117" s="17" t="inlineStr">
        <is>
          <t>BANKNIFTY</t>
        </is>
      </c>
      <c r="C117" s="17" t="inlineStr">
        <is>
          <t>Both Spreads</t>
        </is>
      </c>
      <c r="D117" s="17" t="inlineStr">
        <is>
          <t>Bull Call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Price↓(56755.6&lt;57087.2) &amp; EMA9↓(57182.23&lt;57473.39)</t>
        </is>
      </c>
      <c r="H117" s="17" t="n">
        <v>57182.23</v>
      </c>
      <c r="I117" s="17" t="n">
        <v>57473.39</v>
      </c>
      <c r="J117" s="17" t="inlineStr">
        <is>
          <t>2026-07-30</t>
        </is>
      </c>
      <c r="K117" s="17" t="inlineStr">
        <is>
          <t>MONTHLY</t>
        </is>
      </c>
      <c r="L117" s="17" t="n">
        <v>2</v>
      </c>
      <c r="M117" s="17" t="inlineStr">
        <is>
          <t>09:20 IST</t>
        </is>
      </c>
      <c r="N117" s="17" t="inlineStr">
        <is>
          <t>10:06 IST</t>
        </is>
      </c>
      <c r="O117" s="17" t="n">
        <v>56755.6</v>
      </c>
      <c r="P117" s="17" t="n">
        <v>57087.2</v>
      </c>
      <c r="Q117" s="17" t="inlineStr">
        <is>
          <t>56600 CE</t>
        </is>
      </c>
      <c r="R117" s="17" t="inlineStr">
        <is>
          <t>56800 CE</t>
        </is>
      </c>
      <c r="S117" s="17" t="n">
        <v>35</v>
      </c>
      <c r="T117" s="17" t="n">
        <v>30</v>
      </c>
      <c r="U117" s="17" t="n">
        <v>1050</v>
      </c>
      <c r="V117" s="17" t="n">
        <v>45.38</v>
      </c>
      <c r="W117" s="17" t="n">
        <v>58.99</v>
      </c>
      <c r="X117" s="17" t="n">
        <v>47649</v>
      </c>
      <c r="Y117" s="17" t="n">
        <v>47703.7</v>
      </c>
      <c r="Z117" s="17" t="n">
        <v>162351</v>
      </c>
      <c r="AA117" s="17" t="n">
        <v>14294.7</v>
      </c>
      <c r="AB117" s="17" t="n">
        <v>14294.7</v>
      </c>
      <c r="AC117" s="17" t="n">
        <v>14290.5</v>
      </c>
      <c r="AD117" s="17" t="n">
        <v>30</v>
      </c>
      <c r="AE117" s="17" t="n">
        <v>40</v>
      </c>
      <c r="AF117" s="17" t="n">
        <v>5.96</v>
      </c>
      <c r="AG117" s="17" t="n">
        <v>0.1</v>
      </c>
      <c r="AH117" s="17" t="n">
        <v>1.43</v>
      </c>
      <c r="AI117" s="17" t="n">
        <v>7.22</v>
      </c>
      <c r="AJ117" s="17" t="n">
        <v>54.7</v>
      </c>
      <c r="AK117" s="17" t="n">
        <v>14235.8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2026-07-28</t>
        </is>
      </c>
      <c r="B118" s="17" t="inlineStr">
        <is>
          <t>BANKNIFTY</t>
        </is>
      </c>
      <c r="C118" s="17" t="inlineStr">
        <is>
          <t>Both Spreads</t>
        </is>
      </c>
      <c r="D118" s="17" t="inlineStr">
        <is>
          <t>Bear Put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Price↓(56755.6&lt;57087.2) &amp; EMA9↓(57182.23&lt;57473.39)</t>
        </is>
      </c>
      <c r="H118" s="17" t="n">
        <v>57182.23</v>
      </c>
      <c r="I118" s="17" t="n">
        <v>57473.39</v>
      </c>
      <c r="J118" s="17" t="inlineStr">
        <is>
          <t>2026-07-30</t>
        </is>
      </c>
      <c r="K118" s="17" t="inlineStr">
        <is>
          <t>MONTHLY</t>
        </is>
      </c>
      <c r="L118" s="17" t="n">
        <v>2</v>
      </c>
      <c r="M118" s="17" t="inlineStr">
        <is>
          <t>09:20 IST</t>
        </is>
      </c>
      <c r="N118" s="17" t="inlineStr">
        <is>
          <t>10:11 IST</t>
        </is>
      </c>
      <c r="O118" s="17" t="n">
        <v>56755.6</v>
      </c>
      <c r="P118" s="17" t="n">
        <v>57087.2</v>
      </c>
      <c r="Q118" s="17" t="inlineStr">
        <is>
          <t>56800 PE</t>
        </is>
      </c>
      <c r="R118" s="17" t="inlineStr">
        <is>
          <t>56600 PE</t>
        </is>
      </c>
      <c r="S118" s="17" t="n">
        <v>48</v>
      </c>
      <c r="T118" s="17" t="n">
        <v>30</v>
      </c>
      <c r="U118" s="17" t="n">
        <v>1440</v>
      </c>
      <c r="V118" s="17" t="n">
        <v>33</v>
      </c>
      <c r="W118" s="17" t="n">
        <v>42.9</v>
      </c>
      <c r="X118" s="17" t="n">
        <v>47520</v>
      </c>
      <c r="Y118" s="17" t="n">
        <v>47574.68</v>
      </c>
      <c r="Z118" s="17" t="n">
        <v>240480</v>
      </c>
      <c r="AA118" s="17" t="n">
        <v>14256</v>
      </c>
      <c r="AB118" s="17" t="n">
        <v>14256</v>
      </c>
      <c r="AC118" s="17" t="n">
        <v>14256</v>
      </c>
      <c r="AD118" s="17" t="n">
        <v>30</v>
      </c>
      <c r="AE118" s="17" t="n">
        <v>40</v>
      </c>
      <c r="AF118" s="17" t="n">
        <v>5.94</v>
      </c>
      <c r="AG118" s="17" t="n">
        <v>0.1</v>
      </c>
      <c r="AH118" s="17" t="n">
        <v>1.43</v>
      </c>
      <c r="AI118" s="17" t="n">
        <v>7.22</v>
      </c>
      <c r="AJ118" s="17" t="n">
        <v>54.68</v>
      </c>
      <c r="AK118" s="17" t="n">
        <v>14201.32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BANKNIFTY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SKIP</t>
        </is>
      </c>
      <c r="G119" s="17" t="inlineStr">
        <is>
          <t>Conflicting — Price:BULLISH EMA:BEARISH</t>
        </is>
      </c>
      <c r="H119" s="17" t="n">
        <v>57177</v>
      </c>
      <c r="I119" s="17" t="n">
        <v>57434</v>
      </c>
      <c r="J119" s="17" t="inlineStr">
        <is>
          <t>2026-07-30</t>
        </is>
      </c>
      <c r="K119" s="17" t="inlineStr">
        <is>
          <t>MONTHLY</t>
        </is>
      </c>
      <c r="L119" s="17" t="n">
        <v>1</v>
      </c>
      <c r="M119" s="17" t="inlineStr">
        <is>
          <t>09:20 IST</t>
        </is>
      </c>
      <c r="N119" s="17" t="inlineStr">
        <is>
          <t>12:09 IST</t>
        </is>
      </c>
      <c r="O119" s="17" t="n">
        <v>57156.2</v>
      </c>
      <c r="P119" s="17" t="n">
        <v>56755.6</v>
      </c>
      <c r="Q119" s="17" t="inlineStr">
        <is>
          <t>57000 CE</t>
        </is>
      </c>
      <c r="R119" s="17" t="inlineStr">
        <is>
          <t>57200 CE</t>
        </is>
      </c>
      <c r="S119" s="17" t="n">
        <v>42</v>
      </c>
      <c r="T119" s="17" t="n">
        <v>30</v>
      </c>
      <c r="U119" s="17" t="n">
        <v>1260</v>
      </c>
      <c r="V119" s="17" t="n">
        <v>37.79</v>
      </c>
      <c r="W119" s="17" t="n">
        <v>49.13</v>
      </c>
      <c r="X119" s="17" t="n">
        <v>47615.4</v>
      </c>
      <c r="Y119" s="17" t="n">
        <v>47670.09</v>
      </c>
      <c r="Z119" s="17" t="n">
        <v>204384.6</v>
      </c>
      <c r="AA119" s="17" t="n">
        <v>14284.62</v>
      </c>
      <c r="AB119" s="17" t="n">
        <v>14284.62</v>
      </c>
      <c r="AC119" s="17" t="n">
        <v>14288.4</v>
      </c>
      <c r="AD119" s="17" t="n">
        <v>30</v>
      </c>
      <c r="AE119" s="17" t="n">
        <v>40</v>
      </c>
      <c r="AF119" s="17" t="n">
        <v>5.95</v>
      </c>
      <c r="AG119" s="17" t="n">
        <v>0.1</v>
      </c>
      <c r="AH119" s="17" t="n">
        <v>1.43</v>
      </c>
      <c r="AI119" s="17" t="n">
        <v>7.22</v>
      </c>
      <c r="AJ119" s="17" t="n">
        <v>54.69</v>
      </c>
      <c r="AK119" s="17" t="n">
        <v>14233.71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6" t="inlineStr">
        <is>
          <t>2026-07-29</t>
        </is>
      </c>
      <c r="B120" s="16" t="inlineStr">
        <is>
          <t>BANKNIFTY</t>
        </is>
      </c>
      <c r="C120" s="16" t="inlineStr">
        <is>
          <t>Both Spreads</t>
        </is>
      </c>
      <c r="D120" s="16" t="inlineStr">
        <is>
          <t>Bear Put Spread</t>
        </is>
      </c>
      <c r="E120" s="16" t="inlineStr">
        <is>
          <t>SIMULATED</t>
        </is>
      </c>
      <c r="F120" s="16" t="inlineStr">
        <is>
          <t>SKIP</t>
        </is>
      </c>
      <c r="G120" s="16" t="inlineStr">
        <is>
          <t>Conflicting — Price:BULLISH EMA:BEARISH</t>
        </is>
      </c>
      <c r="H120" s="16" t="n">
        <v>57177</v>
      </c>
      <c r="I120" s="16" t="n">
        <v>57434</v>
      </c>
      <c r="J120" s="16" t="inlineStr">
        <is>
          <t>2026-07-30</t>
        </is>
      </c>
      <c r="K120" s="16" t="inlineStr">
        <is>
          <t>MONTHLY</t>
        </is>
      </c>
      <c r="L120" s="16" t="n">
        <v>1</v>
      </c>
      <c r="M120" s="16" t="inlineStr">
        <is>
          <t>09:20 IST</t>
        </is>
      </c>
      <c r="N120" s="16" t="inlineStr">
        <is>
          <t>13:45 IST</t>
        </is>
      </c>
      <c r="O120" s="16" t="n">
        <v>57156.2</v>
      </c>
      <c r="P120" s="16" t="n">
        <v>56755.6</v>
      </c>
      <c r="Q120" s="16" t="inlineStr">
        <is>
          <t>57200 PE</t>
        </is>
      </c>
      <c r="R120" s="16" t="inlineStr">
        <is>
          <t>57000 PE</t>
        </is>
      </c>
      <c r="S120" s="16" t="n">
        <v>35</v>
      </c>
      <c r="T120" s="16" t="n">
        <v>30</v>
      </c>
      <c r="U120" s="16" t="n">
        <v>1050</v>
      </c>
      <c r="V120" s="16" t="n">
        <v>45.97</v>
      </c>
      <c r="W120" s="16" t="n">
        <v>44.54</v>
      </c>
      <c r="X120" s="16" t="n">
        <v>48268.5</v>
      </c>
      <c r="Y120" s="16" t="n">
        <v>48323.3</v>
      </c>
      <c r="Z120" s="16" t="n">
        <v>161731.5</v>
      </c>
      <c r="AA120" s="16" t="n">
        <v>14480.55</v>
      </c>
      <c r="AB120" s="16" t="n">
        <v>14480.55</v>
      </c>
      <c r="AC120" s="16" t="n">
        <v>-1501.5</v>
      </c>
      <c r="AD120" s="16" t="n">
        <v>-3.1</v>
      </c>
      <c r="AE120" s="16" t="n">
        <v>40</v>
      </c>
      <c r="AF120" s="16" t="n">
        <v>6.03</v>
      </c>
      <c r="AG120" s="16" t="n">
        <v>0.1</v>
      </c>
      <c r="AH120" s="16" t="n">
        <v>1.45</v>
      </c>
      <c r="AI120" s="16" t="n">
        <v>7.22</v>
      </c>
      <c r="AJ120" s="16" t="n">
        <v>54.8</v>
      </c>
      <c r="AK120" s="16" t="n">
        <v>-1556.3</v>
      </c>
      <c r="AL120" s="16" t="inlineStr">
        <is>
          <t>FLAT</t>
        </is>
      </c>
      <c r="AM120" s="16" t="n">
        <v>50000</v>
      </c>
      <c r="AN120" s="16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BANKNIFTY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57186.94</v>
      </c>
      <c r="I121" s="16" t="n">
        <v>57438.52</v>
      </c>
      <c r="J121" s="16" t="inlineStr">
        <is>
          <t>2026-07-30</t>
        </is>
      </c>
      <c r="K121" s="16" t="inlineStr">
        <is>
          <t>MONTHLY</t>
        </is>
      </c>
      <c r="L121" s="16" t="n">
        <v>1</v>
      </c>
      <c r="M121" s="16" t="inlineStr">
        <is>
          <t>09:20 IST</t>
        </is>
      </c>
      <c r="N121" s="16" t="inlineStr">
        <is>
          <t>13:35 IST</t>
        </is>
      </c>
      <c r="O121" s="16" t="n">
        <v>57205.9</v>
      </c>
      <c r="P121" s="16" t="n">
        <v>56755.6</v>
      </c>
      <c r="Q121" s="16" t="inlineStr">
        <is>
          <t>57200 CE</t>
        </is>
      </c>
      <c r="R121" s="16" t="inlineStr">
        <is>
          <t>57400 CE</t>
        </is>
      </c>
      <c r="S121" s="16" t="n">
        <v>35</v>
      </c>
      <c r="T121" s="16" t="n">
        <v>30</v>
      </c>
      <c r="U121" s="16" t="n">
        <v>1050</v>
      </c>
      <c r="V121" s="16" t="n">
        <v>46.04</v>
      </c>
      <c r="W121" s="16" t="n">
        <v>44.83</v>
      </c>
      <c r="X121" s="16" t="n">
        <v>48342</v>
      </c>
      <c r="Y121" s="16" t="n">
        <v>48396.81</v>
      </c>
      <c r="Z121" s="16" t="n">
        <v>161658</v>
      </c>
      <c r="AA121" s="16" t="n">
        <v>14502.6</v>
      </c>
      <c r="AB121" s="16" t="n">
        <v>14502.6</v>
      </c>
      <c r="AC121" s="16" t="n">
        <v>-1270.5</v>
      </c>
      <c r="AD121" s="16" t="n">
        <v>-2.6</v>
      </c>
      <c r="AE121" s="16" t="n">
        <v>40</v>
      </c>
      <c r="AF121" s="16" t="n">
        <v>6.04</v>
      </c>
      <c r="AG121" s="16" t="n">
        <v>0.1</v>
      </c>
      <c r="AH121" s="16" t="n">
        <v>1.45</v>
      </c>
      <c r="AI121" s="16" t="n">
        <v>7.22</v>
      </c>
      <c r="AJ121" s="16" t="n">
        <v>54.81</v>
      </c>
      <c r="AK121" s="16" t="n">
        <v>-1325.31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BANKNIFTY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57186.94</v>
      </c>
      <c r="I122" s="17" t="n">
        <v>57438.52</v>
      </c>
      <c r="J122" s="17" t="inlineStr">
        <is>
          <t>2026-07-30</t>
        </is>
      </c>
      <c r="K122" s="17" t="inlineStr">
        <is>
          <t>MONTHLY</t>
        </is>
      </c>
      <c r="L122" s="17" t="n">
        <v>1</v>
      </c>
      <c r="M122" s="17" t="inlineStr">
        <is>
          <t>09:20 IST</t>
        </is>
      </c>
      <c r="N122" s="17" t="inlineStr">
        <is>
          <t>11:26 IST</t>
        </is>
      </c>
      <c r="O122" s="17" t="n">
        <v>57205.9</v>
      </c>
      <c r="P122" s="17" t="n">
        <v>56755.6</v>
      </c>
      <c r="Q122" s="17" t="inlineStr">
        <is>
          <t>57400 PE</t>
        </is>
      </c>
      <c r="R122" s="17" t="inlineStr">
        <is>
          <t>57200 PE</t>
        </is>
      </c>
      <c r="S122" s="17" t="n">
        <v>42</v>
      </c>
      <c r="T122" s="17" t="n">
        <v>30</v>
      </c>
      <c r="U122" s="17" t="n">
        <v>1260</v>
      </c>
      <c r="V122" s="17" t="n">
        <v>37.89</v>
      </c>
      <c r="W122" s="17" t="n">
        <v>49.26</v>
      </c>
      <c r="X122" s="17" t="n">
        <v>47741.4</v>
      </c>
      <c r="Y122" s="17" t="n">
        <v>47796.11</v>
      </c>
      <c r="Z122" s="17" t="n">
        <v>204258.6</v>
      </c>
      <c r="AA122" s="17" t="n">
        <v>14322.42</v>
      </c>
      <c r="AB122" s="17" t="n">
        <v>14322.42</v>
      </c>
      <c r="AC122" s="17" t="n">
        <v>14326.2</v>
      </c>
      <c r="AD122" s="17" t="n">
        <v>30</v>
      </c>
      <c r="AE122" s="17" t="n">
        <v>40</v>
      </c>
      <c r="AF122" s="17" t="n">
        <v>5.97</v>
      </c>
      <c r="AG122" s="17" t="n">
        <v>0.1</v>
      </c>
      <c r="AH122" s="17" t="n">
        <v>1.43</v>
      </c>
      <c r="AI122" s="17" t="n">
        <v>7.22</v>
      </c>
      <c r="AJ122" s="17" t="n">
        <v>54.71</v>
      </c>
      <c r="AK122" s="17" t="n">
        <v>14271.49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5" t="inlineStr">
        <is>
          <t>2026-07-30</t>
        </is>
      </c>
      <c r="B123" s="15" t="inlineStr">
        <is>
          <t>BANKNIFTY</t>
        </is>
      </c>
      <c r="C123" s="15" t="inlineStr">
        <is>
          <t>Both Spreads</t>
        </is>
      </c>
      <c r="D123" s="15" t="inlineStr">
        <is>
          <t>Bull Call Spread</t>
        </is>
      </c>
      <c r="E123" s="15" t="inlineStr">
        <is>
          <t>SIMULATED</t>
        </is>
      </c>
      <c r="F123" s="15" t="inlineStr">
        <is>
          <t>BEARISH</t>
        </is>
      </c>
      <c r="G123" s="15" t="inlineStr">
        <is>
          <t>Price↓(56904.45&lt;57205.9) &amp; EMA9↓(57130.04&lt;57384.53)</t>
        </is>
      </c>
      <c r="H123" s="15" t="n">
        <v>57130.04</v>
      </c>
      <c r="I123" s="15" t="n">
        <v>57384.53</v>
      </c>
      <c r="J123" s="15" t="inlineStr">
        <is>
          <t>2026-07-30</t>
        </is>
      </c>
      <c r="K123" s="15" t="inlineStr">
        <is>
          <t>MONTHLY</t>
        </is>
      </c>
      <c r="L123" s="15" t="n">
        <v>0</v>
      </c>
      <c r="M123" s="15" t="inlineStr">
        <is>
          <t>09:20 IST</t>
        </is>
      </c>
      <c r="N123" s="15" t="inlineStr">
        <is>
          <t>10:04 IST</t>
        </is>
      </c>
      <c r="O123" s="15" t="n">
        <v>56904.45</v>
      </c>
      <c r="P123" s="15" t="n">
        <v>57205.9</v>
      </c>
      <c r="Q123" s="15" t="inlineStr">
        <is>
          <t>56800 CE</t>
        </is>
      </c>
      <c r="R123" s="15" t="inlineStr">
        <is>
          <t>57000 CE</t>
        </is>
      </c>
      <c r="S123" s="15" t="n">
        <v>34</v>
      </c>
      <c r="T123" s="15" t="n">
        <v>30</v>
      </c>
      <c r="U123" s="15" t="n">
        <v>1020</v>
      </c>
      <c r="V123" s="15" t="n">
        <v>46.4</v>
      </c>
      <c r="W123" s="15" t="n">
        <v>32.48</v>
      </c>
      <c r="X123" s="15" t="n">
        <v>47328</v>
      </c>
      <c r="Y123" s="15" t="n">
        <v>47382.65</v>
      </c>
      <c r="Z123" s="15" t="n">
        <v>156672</v>
      </c>
      <c r="AA123" s="15" t="n">
        <v>14198.4</v>
      </c>
      <c r="AB123" s="15" t="n">
        <v>14198.4</v>
      </c>
      <c r="AC123" s="15" t="n">
        <v>-14198.4</v>
      </c>
      <c r="AD123" s="15" t="n">
        <v>-30</v>
      </c>
      <c r="AE123" s="15" t="n">
        <v>40</v>
      </c>
      <c r="AF123" s="15" t="n">
        <v>5.92</v>
      </c>
      <c r="AG123" s="15" t="n">
        <v>0.09</v>
      </c>
      <c r="AH123" s="15" t="n">
        <v>1.42</v>
      </c>
      <c r="AI123" s="15" t="n">
        <v>7.22</v>
      </c>
      <c r="AJ123" s="15" t="n">
        <v>54.65</v>
      </c>
      <c r="AK123" s="15" t="n">
        <v>-14253.05</v>
      </c>
      <c r="AL123" s="15" t="inlineStr">
        <is>
          <t>STOP LOSS</t>
        </is>
      </c>
      <c r="AM123" s="15" t="n">
        <v>50000</v>
      </c>
      <c r="AN123" s="15" t="inlineStr">
        <is>
          <t>PAPER TRADING</t>
        </is>
      </c>
    </row>
    <row r="124">
      <c r="A124" s="16" t="inlineStr">
        <is>
          <t>2026-07-30</t>
        </is>
      </c>
      <c r="B124" s="16" t="inlineStr">
        <is>
          <t>BANKNIFTY</t>
        </is>
      </c>
      <c r="C124" s="16" t="inlineStr">
        <is>
          <t>Both Spreads</t>
        </is>
      </c>
      <c r="D124" s="16" t="inlineStr">
        <is>
          <t>Bear Put Spread</t>
        </is>
      </c>
      <c r="E124" s="16" t="inlineStr">
        <is>
          <t>SIMULATED</t>
        </is>
      </c>
      <c r="F124" s="16" t="inlineStr">
        <is>
          <t>BEARISH</t>
        </is>
      </c>
      <c r="G124" s="16" t="inlineStr">
        <is>
          <t>Price↓(56904.45&lt;57205.9) &amp; EMA9↓(57130.04&lt;57384.53)</t>
        </is>
      </c>
      <c r="H124" s="16" t="n">
        <v>57130.04</v>
      </c>
      <c r="I124" s="16" t="n">
        <v>57384.53</v>
      </c>
      <c r="J124" s="16" t="inlineStr">
        <is>
          <t>2026-07-30</t>
        </is>
      </c>
      <c r="K124" s="16" t="inlineStr">
        <is>
          <t>MONTHLY</t>
        </is>
      </c>
      <c r="L124" s="16" t="n">
        <v>0</v>
      </c>
      <c r="M124" s="16" t="inlineStr">
        <is>
          <t>09:20 IST</t>
        </is>
      </c>
      <c r="N124" s="16" t="inlineStr">
        <is>
          <t>13:35 IST</t>
        </is>
      </c>
      <c r="O124" s="16" t="n">
        <v>56904.45</v>
      </c>
      <c r="P124" s="16" t="n">
        <v>57205.9</v>
      </c>
      <c r="Q124" s="16" t="inlineStr">
        <is>
          <t>57000 PE</t>
        </is>
      </c>
      <c r="R124" s="16" t="inlineStr">
        <is>
          <t>56800 PE</t>
        </is>
      </c>
      <c r="S124" s="16" t="n">
        <v>35</v>
      </c>
      <c r="T124" s="16" t="n">
        <v>30</v>
      </c>
      <c r="U124" s="16" t="n">
        <v>1050</v>
      </c>
      <c r="V124" s="16" t="n">
        <v>45.29</v>
      </c>
      <c r="W124" s="16" t="n">
        <v>47.25</v>
      </c>
      <c r="X124" s="16" t="n">
        <v>47554.5</v>
      </c>
      <c r="Y124" s="16" t="n">
        <v>47609.18</v>
      </c>
      <c r="Z124" s="16" t="n">
        <v>162445.5</v>
      </c>
      <c r="AA124" s="16" t="n">
        <v>14266.35</v>
      </c>
      <c r="AB124" s="16" t="n">
        <v>14266.35</v>
      </c>
      <c r="AC124" s="16" t="n">
        <v>2058</v>
      </c>
      <c r="AD124" s="16" t="n">
        <v>4.3</v>
      </c>
      <c r="AE124" s="16" t="n">
        <v>40</v>
      </c>
      <c r="AF124" s="16" t="n">
        <v>5.94</v>
      </c>
      <c r="AG124" s="16" t="n">
        <v>0.1</v>
      </c>
      <c r="AH124" s="16" t="n">
        <v>1.43</v>
      </c>
      <c r="AI124" s="16" t="n">
        <v>7.22</v>
      </c>
      <c r="AJ124" s="16" t="n">
        <v>54.68</v>
      </c>
      <c r="AK124" s="16" t="n">
        <v>2003.32</v>
      </c>
      <c r="AL124" s="16" t="inlineStr">
        <is>
          <t>FLAT</t>
        </is>
      </c>
      <c r="AM124" s="16" t="n">
        <v>50000</v>
      </c>
      <c r="AN124" s="16" t="inlineStr">
        <is>
          <t>PAPER TRADING</t>
        </is>
      </c>
    </row>
    <row r="125">
      <c r="A125" s="15" t="inlineStr">
        <is>
          <t>2026-07-30</t>
        </is>
      </c>
      <c r="B125" s="15" t="inlineStr">
        <is>
          <t>BANKNIFTY</t>
        </is>
      </c>
      <c r="C125" s="15" t="inlineStr">
        <is>
          <t>Both Spreads</t>
        </is>
      </c>
      <c r="D125" s="15" t="inlineStr">
        <is>
          <t>Bull Call Spread</t>
        </is>
      </c>
      <c r="E125" s="15" t="inlineStr">
        <is>
          <t>SIMULATED</t>
        </is>
      </c>
      <c r="F125" s="15" t="inlineStr">
        <is>
          <t>BEARISH</t>
        </is>
      </c>
      <c r="G125" s="15" t="inlineStr">
        <is>
          <t>Price↓(57147.5&lt;57205.9) &amp; EMA9↓(57178.65&lt;57406.62)</t>
        </is>
      </c>
      <c r="H125" s="15" t="n">
        <v>57178.65</v>
      </c>
      <c r="I125" s="15" t="n">
        <v>57406.62</v>
      </c>
      <c r="J125" s="15" t="inlineStr">
        <is>
          <t>2026-07-30</t>
        </is>
      </c>
      <c r="K125" s="15" t="inlineStr">
        <is>
          <t>MONTHLY</t>
        </is>
      </c>
      <c r="L125" s="15" t="n">
        <v>0</v>
      </c>
      <c r="M125" s="15" t="inlineStr">
        <is>
          <t>09:20 IST</t>
        </is>
      </c>
      <c r="N125" s="15" t="inlineStr">
        <is>
          <t>11:13 IST</t>
        </is>
      </c>
      <c r="O125" s="15" t="n">
        <v>57147.5</v>
      </c>
      <c r="P125" s="15" t="n">
        <v>57205.9</v>
      </c>
      <c r="Q125" s="15" t="inlineStr">
        <is>
          <t>57000 CE</t>
        </is>
      </c>
      <c r="R125" s="15" t="inlineStr">
        <is>
          <t>57200 CE</t>
        </is>
      </c>
      <c r="S125" s="15" t="n">
        <v>41</v>
      </c>
      <c r="T125" s="15" t="n">
        <v>30</v>
      </c>
      <c r="U125" s="15" t="n">
        <v>1230</v>
      </c>
      <c r="V125" s="15" t="n">
        <v>38.97</v>
      </c>
      <c r="W125" s="15" t="n">
        <v>27.28</v>
      </c>
      <c r="X125" s="15" t="n">
        <v>47933.1</v>
      </c>
      <c r="Y125" s="15" t="n">
        <v>47987.84</v>
      </c>
      <c r="Z125" s="15" t="n">
        <v>198066.9</v>
      </c>
      <c r="AA125" s="15" t="n">
        <v>14379.93</v>
      </c>
      <c r="AB125" s="15" t="n">
        <v>14379.93</v>
      </c>
      <c r="AC125" s="15" t="n">
        <v>-14378.7</v>
      </c>
      <c r="AD125" s="15" t="n">
        <v>-30</v>
      </c>
      <c r="AE125" s="15" t="n">
        <v>40</v>
      </c>
      <c r="AF125" s="15" t="n">
        <v>5.99</v>
      </c>
      <c r="AG125" s="15" t="n">
        <v>0.1</v>
      </c>
      <c r="AH125" s="15" t="n">
        <v>1.44</v>
      </c>
      <c r="AI125" s="15" t="n">
        <v>7.22</v>
      </c>
      <c r="AJ125" s="15" t="n">
        <v>54.74</v>
      </c>
      <c r="AK125" s="15" t="n">
        <v>-14433.44</v>
      </c>
      <c r="AL125" s="15" t="inlineStr">
        <is>
          <t>STOP LOSS</t>
        </is>
      </c>
      <c r="AM125" s="15" t="n">
        <v>50000</v>
      </c>
      <c r="AN125" s="15" t="inlineStr">
        <is>
          <t>PAPER TRADING</t>
        </is>
      </c>
    </row>
    <row r="126">
      <c r="A126" s="16" t="inlineStr">
        <is>
          <t>2026-07-30</t>
        </is>
      </c>
      <c r="B126" s="16" t="inlineStr">
        <is>
          <t>BANKNIFTY</t>
        </is>
      </c>
      <c r="C126" s="16" t="inlineStr">
        <is>
          <t>Both Spreads</t>
        </is>
      </c>
      <c r="D126" s="16" t="inlineStr">
        <is>
          <t>Bear Put Spread</t>
        </is>
      </c>
      <c r="E126" s="16" t="inlineStr">
        <is>
          <t>SIMULATED</t>
        </is>
      </c>
      <c r="F126" s="16" t="inlineStr">
        <is>
          <t>BEARISH</t>
        </is>
      </c>
      <c r="G126" s="16" t="inlineStr">
        <is>
          <t>Price↓(57147.5&lt;57205.9) &amp; EMA9↓(57178.65&lt;57406.62)</t>
        </is>
      </c>
      <c r="H126" s="16" t="n">
        <v>57178.65</v>
      </c>
      <c r="I126" s="16" t="n">
        <v>57406.62</v>
      </c>
      <c r="J126" s="16" t="inlineStr">
        <is>
          <t>2026-07-30</t>
        </is>
      </c>
      <c r="K126" s="16" t="inlineStr">
        <is>
          <t>MONTHLY</t>
        </is>
      </c>
      <c r="L126" s="16" t="n">
        <v>0</v>
      </c>
      <c r="M126" s="16" t="inlineStr">
        <is>
          <t>09:20 IST</t>
        </is>
      </c>
      <c r="N126" s="16" t="inlineStr">
        <is>
          <t>14:05 IST</t>
        </is>
      </c>
      <c r="O126" s="16" t="n">
        <v>57147.5</v>
      </c>
      <c r="P126" s="16" t="n">
        <v>57205.9</v>
      </c>
      <c r="Q126" s="16" t="inlineStr">
        <is>
          <t>57200 PE</t>
        </is>
      </c>
      <c r="R126" s="16" t="inlineStr">
        <is>
          <t>57000 PE</t>
        </is>
      </c>
      <c r="S126" s="16" t="n">
        <v>39</v>
      </c>
      <c r="T126" s="16" t="n">
        <v>30</v>
      </c>
      <c r="U126" s="16" t="n">
        <v>1170</v>
      </c>
      <c r="V126" s="16" t="n">
        <v>40.54</v>
      </c>
      <c r="W126" s="16" t="n">
        <v>40.27</v>
      </c>
      <c r="X126" s="16" t="n">
        <v>47431.8</v>
      </c>
      <c r="Y126" s="16" t="n">
        <v>47486.46</v>
      </c>
      <c r="Z126" s="16" t="n">
        <v>186568.2</v>
      </c>
      <c r="AA126" s="16" t="n">
        <v>14229.54</v>
      </c>
      <c r="AB126" s="16" t="n">
        <v>14229.54</v>
      </c>
      <c r="AC126" s="16" t="n">
        <v>-315.9</v>
      </c>
      <c r="AD126" s="16" t="n">
        <v>-0.7</v>
      </c>
      <c r="AE126" s="16" t="n">
        <v>40</v>
      </c>
      <c r="AF126" s="16" t="n">
        <v>5.93</v>
      </c>
      <c r="AG126" s="16" t="n">
        <v>0.09</v>
      </c>
      <c r="AH126" s="16" t="n">
        <v>1.42</v>
      </c>
      <c r="AI126" s="16" t="n">
        <v>7.22</v>
      </c>
      <c r="AJ126" s="16" t="n">
        <v>54.66</v>
      </c>
      <c r="AK126" s="16" t="n">
        <v>-370.56</v>
      </c>
      <c r="AL126" s="16" t="inlineStr">
        <is>
          <t>FLAT</t>
        </is>
      </c>
      <c r="AM126" s="16" t="n">
        <v>50000</v>
      </c>
      <c r="AN126" s="16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BANKNIFTY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SKIP</t>
        </is>
      </c>
      <c r="G127" s="17" t="inlineStr">
        <is>
          <t>Conflicting — Price:BULLISH EMA:BEARISH</t>
        </is>
      </c>
      <c r="H127" s="17" t="n">
        <v>57179.29</v>
      </c>
      <c r="I127" s="17" t="n">
        <v>57389.06</v>
      </c>
      <c r="J127" s="17" t="inlineStr">
        <is>
          <t>2026-08-27</t>
        </is>
      </c>
      <c r="K127" s="17" t="inlineStr">
        <is>
          <t>MONTHLY</t>
        </is>
      </c>
      <c r="L127" s="17" t="n">
        <v>27</v>
      </c>
      <c r="M127" s="17" t="inlineStr">
        <is>
          <t>09:20 IST</t>
        </is>
      </c>
      <c r="N127" s="17" t="inlineStr">
        <is>
          <t>11:33 IST</t>
        </is>
      </c>
      <c r="O127" s="17" t="n">
        <v>57181.45</v>
      </c>
      <c r="P127" s="17" t="n">
        <v>57147.5</v>
      </c>
      <c r="Q127" s="17" t="inlineStr">
        <is>
          <t>57000 CE</t>
        </is>
      </c>
      <c r="R127" s="17" t="inlineStr">
        <is>
          <t>57200 CE</t>
        </is>
      </c>
      <c r="S127" s="17" t="n">
        <v>17</v>
      </c>
      <c r="T127" s="17" t="n">
        <v>30</v>
      </c>
      <c r="U127" s="17" t="n">
        <v>510</v>
      </c>
      <c r="V127" s="17" t="n">
        <v>91.27</v>
      </c>
      <c r="W127" s="17" t="n">
        <v>118.65</v>
      </c>
      <c r="X127" s="17" t="n">
        <v>46547.7</v>
      </c>
      <c r="Y127" s="17" t="n">
        <v>46602.22</v>
      </c>
      <c r="Z127" s="17" t="n">
        <v>55452.3</v>
      </c>
      <c r="AA127" s="17" t="n">
        <v>13964.31</v>
      </c>
      <c r="AB127" s="17" t="n">
        <v>13964.31</v>
      </c>
      <c r="AC127" s="17" t="n">
        <v>13963.8</v>
      </c>
      <c r="AD127" s="17" t="n">
        <v>30</v>
      </c>
      <c r="AE127" s="17" t="n">
        <v>40</v>
      </c>
      <c r="AF127" s="17" t="n">
        <v>5.82</v>
      </c>
      <c r="AG127" s="17" t="n">
        <v>0.09</v>
      </c>
      <c r="AH127" s="17" t="n">
        <v>1.4</v>
      </c>
      <c r="AI127" s="17" t="n">
        <v>7.22</v>
      </c>
      <c r="AJ127" s="17" t="n">
        <v>54.52</v>
      </c>
      <c r="AK127" s="17" t="n">
        <v>13909.28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5" t="inlineStr">
        <is>
          <t>2026-07-31</t>
        </is>
      </c>
      <c r="B128" s="15" t="inlineStr">
        <is>
          <t>BANKNIFTY</t>
        </is>
      </c>
      <c r="C128" s="15" t="inlineStr">
        <is>
          <t>Both Spreads</t>
        </is>
      </c>
      <c r="D128" s="15" t="inlineStr">
        <is>
          <t>Bear Put Spread</t>
        </is>
      </c>
      <c r="E128" s="15" t="inlineStr">
        <is>
          <t>SIMULATED</t>
        </is>
      </c>
      <c r="F128" s="15" t="inlineStr">
        <is>
          <t>SKIP</t>
        </is>
      </c>
      <c r="G128" s="15" t="inlineStr">
        <is>
          <t>Conflicting — Price:BULLISH EMA:BEARISH</t>
        </is>
      </c>
      <c r="H128" s="15" t="n">
        <v>57179.29</v>
      </c>
      <c r="I128" s="15" t="n">
        <v>57389.06</v>
      </c>
      <c r="J128" s="15" t="inlineStr">
        <is>
          <t>2026-08-27</t>
        </is>
      </c>
      <c r="K128" s="15" t="inlineStr">
        <is>
          <t>MONTHLY</t>
        </is>
      </c>
      <c r="L128" s="15" t="n">
        <v>27</v>
      </c>
      <c r="M128" s="15" t="inlineStr">
        <is>
          <t>09:20 IST</t>
        </is>
      </c>
      <c r="N128" s="15" t="inlineStr">
        <is>
          <t>10:25 IST</t>
        </is>
      </c>
      <c r="O128" s="15" t="n">
        <v>57181.45</v>
      </c>
      <c r="P128" s="15" t="n">
        <v>57147.5</v>
      </c>
      <c r="Q128" s="15" t="inlineStr">
        <is>
          <t>57200 PE</t>
        </is>
      </c>
      <c r="R128" s="15" t="inlineStr">
        <is>
          <t>57000 PE</t>
        </is>
      </c>
      <c r="S128" s="15" t="n">
        <v>19</v>
      </c>
      <c r="T128" s="15" t="n">
        <v>30</v>
      </c>
      <c r="U128" s="15" t="n">
        <v>570</v>
      </c>
      <c r="V128" s="15" t="n">
        <v>84.66</v>
      </c>
      <c r="W128" s="15" t="n">
        <v>59.26</v>
      </c>
      <c r="X128" s="15" t="n">
        <v>48256.2</v>
      </c>
      <c r="Y128" s="15" t="n">
        <v>48310.99</v>
      </c>
      <c r="Z128" s="15" t="n">
        <v>65743.8</v>
      </c>
      <c r="AA128" s="15" t="n">
        <v>14476.86</v>
      </c>
      <c r="AB128" s="15" t="n">
        <v>14476.86</v>
      </c>
      <c r="AC128" s="15" t="n">
        <v>-14478</v>
      </c>
      <c r="AD128" s="15" t="n">
        <v>-30</v>
      </c>
      <c r="AE128" s="15" t="n">
        <v>40</v>
      </c>
      <c r="AF128" s="15" t="n">
        <v>6.03</v>
      </c>
      <c r="AG128" s="15" t="n">
        <v>0.1</v>
      </c>
      <c r="AH128" s="15" t="n">
        <v>1.45</v>
      </c>
      <c r="AI128" s="15" t="n">
        <v>7.22</v>
      </c>
      <c r="AJ128" s="15" t="n">
        <v>54.79</v>
      </c>
      <c r="AK128" s="15" t="n">
        <v>-14532.79</v>
      </c>
      <c r="AL128" s="15" t="inlineStr">
        <is>
          <t>STOP LOSS</t>
        </is>
      </c>
      <c r="AM128" s="15" t="n">
        <v>50000</v>
      </c>
      <c r="AN128" s="15" t="inlineStr">
        <is>
          <t>PAPER TRADING</t>
        </is>
      </c>
    </row>
    <row r="129">
      <c r="A129" s="17" t="inlineStr">
        <is>
          <t>2026-07-31</t>
        </is>
      </c>
      <c r="B129" s="17" t="inlineStr">
        <is>
          <t>BANKNIFTY</t>
        </is>
      </c>
      <c r="C129" s="17" t="inlineStr">
        <is>
          <t>Both Spreads</t>
        </is>
      </c>
      <c r="D129" s="17" t="inlineStr">
        <is>
          <t>Bull Call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57195.97</v>
      </c>
      <c r="I129" s="17" t="n">
        <v>57396.65</v>
      </c>
      <c r="J129" s="17" t="inlineStr">
        <is>
          <t>2026-08-27</t>
        </is>
      </c>
      <c r="K129" s="17" t="inlineStr">
        <is>
          <t>MONTHLY</t>
        </is>
      </c>
      <c r="L129" s="17" t="n">
        <v>27</v>
      </c>
      <c r="M129" s="17" t="inlineStr">
        <is>
          <t>09:20 IST</t>
        </is>
      </c>
      <c r="N129" s="17" t="inlineStr">
        <is>
          <t>11:01 IST</t>
        </is>
      </c>
      <c r="O129" s="17" t="n">
        <v>57264.85</v>
      </c>
      <c r="P129" s="17" t="n">
        <v>57147.5</v>
      </c>
      <c r="Q129" s="17" t="inlineStr">
        <is>
          <t>57200 CE</t>
        </is>
      </c>
      <c r="R129" s="17" t="inlineStr">
        <is>
          <t>57400 CE</t>
        </is>
      </c>
      <c r="S129" s="17" t="n">
        <v>17</v>
      </c>
      <c r="T129" s="17" t="n">
        <v>30</v>
      </c>
      <c r="U129" s="17" t="n">
        <v>510</v>
      </c>
      <c r="V129" s="17" t="n">
        <v>95.93000000000001</v>
      </c>
      <c r="W129" s="17" t="n">
        <v>124.71</v>
      </c>
      <c r="X129" s="17" t="n">
        <v>48924.3</v>
      </c>
      <c r="Y129" s="17" t="n">
        <v>48979.2</v>
      </c>
      <c r="Z129" s="17" t="n">
        <v>53075.7</v>
      </c>
      <c r="AA129" s="17" t="n">
        <v>14677.29</v>
      </c>
      <c r="AB129" s="17" t="n">
        <v>14677.29</v>
      </c>
      <c r="AC129" s="17" t="n">
        <v>14677.8</v>
      </c>
      <c r="AD129" s="17" t="n">
        <v>30</v>
      </c>
      <c r="AE129" s="17" t="n">
        <v>40</v>
      </c>
      <c r="AF129" s="17" t="n">
        <v>6.12</v>
      </c>
      <c r="AG129" s="17" t="n">
        <v>0.1</v>
      </c>
      <c r="AH129" s="17" t="n">
        <v>1.47</v>
      </c>
      <c r="AI129" s="17" t="n">
        <v>7.22</v>
      </c>
      <c r="AJ129" s="17" t="n">
        <v>54.9</v>
      </c>
      <c r="AK129" s="17" t="n">
        <v>14622.9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BANKNIFTY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SKIP</t>
        </is>
      </c>
      <c r="G130" s="15" t="inlineStr">
        <is>
          <t>Conflicting — Price:BULLISH EMA:BEARISH</t>
        </is>
      </c>
      <c r="H130" s="15" t="n">
        <v>57195.97</v>
      </c>
      <c r="I130" s="15" t="n">
        <v>57396.65</v>
      </c>
      <c r="J130" s="15" t="inlineStr">
        <is>
          <t>2026-08-27</t>
        </is>
      </c>
      <c r="K130" s="15" t="inlineStr">
        <is>
          <t>MONTHLY</t>
        </is>
      </c>
      <c r="L130" s="15" t="n">
        <v>27</v>
      </c>
      <c r="M130" s="15" t="inlineStr">
        <is>
          <t>09:20 IST</t>
        </is>
      </c>
      <c r="N130" s="15" t="inlineStr">
        <is>
          <t>10:47 IST</t>
        </is>
      </c>
      <c r="O130" s="15" t="n">
        <v>57264.85</v>
      </c>
      <c r="P130" s="15" t="n">
        <v>57147.5</v>
      </c>
      <c r="Q130" s="15" t="inlineStr">
        <is>
          <t>57400 PE</t>
        </is>
      </c>
      <c r="R130" s="15" t="inlineStr">
        <is>
          <t>57200 PE</t>
        </is>
      </c>
      <c r="S130" s="15" t="n">
        <v>15</v>
      </c>
      <c r="T130" s="15" t="n">
        <v>30</v>
      </c>
      <c r="U130" s="15" t="n">
        <v>450</v>
      </c>
      <c r="V130" s="15" t="n">
        <v>109.39</v>
      </c>
      <c r="W130" s="15" t="n">
        <v>76.56999999999999</v>
      </c>
      <c r="X130" s="15" t="n">
        <v>49225.5</v>
      </c>
      <c r="Y130" s="15" t="n">
        <v>49280.45</v>
      </c>
      <c r="Z130" s="15" t="n">
        <v>40774.5</v>
      </c>
      <c r="AA130" s="15" t="n">
        <v>14767.65</v>
      </c>
      <c r="AB130" s="15" t="n">
        <v>14767.65</v>
      </c>
      <c r="AC130" s="15" t="n">
        <v>-14769</v>
      </c>
      <c r="AD130" s="15" t="n">
        <v>-30</v>
      </c>
      <c r="AE130" s="15" t="n">
        <v>40</v>
      </c>
      <c r="AF130" s="15" t="n">
        <v>6.15</v>
      </c>
      <c r="AG130" s="15" t="n">
        <v>0.1</v>
      </c>
      <c r="AH130" s="15" t="n">
        <v>1.48</v>
      </c>
      <c r="AI130" s="15" t="n">
        <v>7.22</v>
      </c>
      <c r="AJ130" s="15" t="n">
        <v>54.95</v>
      </c>
      <c r="AK130" s="15" t="n">
        <v>-14823.95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BANKNIFTY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SKIP</t>
        </is>
      </c>
      <c r="G131" s="17" t="inlineStr">
        <is>
          <t>Conflicting — Price:BULLISH EMA:BEARISH</t>
        </is>
      </c>
      <c r="H131" s="17" t="n">
        <v>57316.56</v>
      </c>
      <c r="I131" s="17" t="n">
        <v>57445.44</v>
      </c>
      <c r="J131" s="17" t="inlineStr">
        <is>
          <t>2026-08-27</t>
        </is>
      </c>
      <c r="K131" s="17" t="inlineStr">
        <is>
          <t>MONTHLY</t>
        </is>
      </c>
      <c r="L131" s="17" t="n">
        <v>24</v>
      </c>
      <c r="M131" s="17" t="inlineStr">
        <is>
          <t>09:20 IST</t>
        </is>
      </c>
      <c r="N131" s="17" t="inlineStr">
        <is>
          <t>10:17 IST</t>
        </is>
      </c>
      <c r="O131" s="17" t="n">
        <v>57801.65</v>
      </c>
      <c r="P131" s="17" t="n">
        <v>57264.85</v>
      </c>
      <c r="Q131" s="17" t="inlineStr">
        <is>
          <t>57800 CE</t>
        </is>
      </c>
      <c r="R131" s="17" t="inlineStr">
        <is>
          <t>58000 CE</t>
        </is>
      </c>
      <c r="S131" s="17" t="n">
        <v>17</v>
      </c>
      <c r="T131" s="17" t="n">
        <v>30</v>
      </c>
      <c r="U131" s="17" t="n">
        <v>510</v>
      </c>
      <c r="V131" s="17" t="n">
        <v>94.63</v>
      </c>
      <c r="W131" s="17" t="n">
        <v>123.02</v>
      </c>
      <c r="X131" s="17" t="n">
        <v>48261.3</v>
      </c>
      <c r="Y131" s="17" t="n">
        <v>48316.09</v>
      </c>
      <c r="Z131" s="17" t="n">
        <v>53738.7</v>
      </c>
      <c r="AA131" s="17" t="n">
        <v>14478.39</v>
      </c>
      <c r="AB131" s="17" t="n">
        <v>14478.39</v>
      </c>
      <c r="AC131" s="17" t="n">
        <v>14478.9</v>
      </c>
      <c r="AD131" s="17" t="n">
        <v>30</v>
      </c>
      <c r="AE131" s="17" t="n">
        <v>40</v>
      </c>
      <c r="AF131" s="17" t="n">
        <v>6.03</v>
      </c>
      <c r="AG131" s="17" t="n">
        <v>0.1</v>
      </c>
      <c r="AH131" s="17" t="n">
        <v>1.45</v>
      </c>
      <c r="AI131" s="17" t="n">
        <v>7.22</v>
      </c>
      <c r="AJ131" s="17" t="n">
        <v>54.79</v>
      </c>
      <c r="AK131" s="17" t="n">
        <v>14424.11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5" t="inlineStr">
        <is>
          <t>2026-08-03</t>
        </is>
      </c>
      <c r="B132" s="15" t="inlineStr">
        <is>
          <t>BANKNIFTY</t>
        </is>
      </c>
      <c r="C132" s="15" t="inlineStr">
        <is>
          <t>Both Spreads</t>
        </is>
      </c>
      <c r="D132" s="15" t="inlineStr">
        <is>
          <t>Bear Put Spread</t>
        </is>
      </c>
      <c r="E132" s="15" t="inlineStr">
        <is>
          <t>SIMULATED</t>
        </is>
      </c>
      <c r="F132" s="15" t="inlineStr">
        <is>
          <t>SKIP</t>
        </is>
      </c>
      <c r="G132" s="15" t="inlineStr">
        <is>
          <t>Conflicting — Price:BULLISH EMA:BEARISH</t>
        </is>
      </c>
      <c r="H132" s="15" t="n">
        <v>57316.56</v>
      </c>
      <c r="I132" s="15" t="n">
        <v>57445.44</v>
      </c>
      <c r="J132" s="15" t="inlineStr">
        <is>
          <t>2026-08-27</t>
        </is>
      </c>
      <c r="K132" s="15" t="inlineStr">
        <is>
          <t>MONTHLY</t>
        </is>
      </c>
      <c r="L132" s="15" t="n">
        <v>24</v>
      </c>
      <c r="M132" s="15" t="inlineStr">
        <is>
          <t>09:20 IST</t>
        </is>
      </c>
      <c r="N132" s="15" t="inlineStr">
        <is>
          <t>09:48 IST</t>
        </is>
      </c>
      <c r="O132" s="15" t="n">
        <v>57801.65</v>
      </c>
      <c r="P132" s="15" t="n">
        <v>57264.85</v>
      </c>
      <c r="Q132" s="15" t="inlineStr">
        <is>
          <t>58000 PE</t>
        </is>
      </c>
      <c r="R132" s="15" t="inlineStr">
        <is>
          <t>57800 PE</t>
        </is>
      </c>
      <c r="S132" s="15" t="n">
        <v>19</v>
      </c>
      <c r="T132" s="15" t="n">
        <v>30</v>
      </c>
      <c r="U132" s="15" t="n">
        <v>570</v>
      </c>
      <c r="V132" s="15" t="n">
        <v>83.48</v>
      </c>
      <c r="W132" s="15" t="n">
        <v>58.44</v>
      </c>
      <c r="X132" s="15" t="n">
        <v>47583.6</v>
      </c>
      <c r="Y132" s="15" t="n">
        <v>47638.29</v>
      </c>
      <c r="Z132" s="15" t="n">
        <v>66416.39999999999</v>
      </c>
      <c r="AA132" s="15" t="n">
        <v>14275.08</v>
      </c>
      <c r="AB132" s="15" t="n">
        <v>14275.08</v>
      </c>
      <c r="AC132" s="15" t="n">
        <v>-14272.8</v>
      </c>
      <c r="AD132" s="15" t="n">
        <v>-30</v>
      </c>
      <c r="AE132" s="15" t="n">
        <v>40</v>
      </c>
      <c r="AF132" s="15" t="n">
        <v>5.95</v>
      </c>
      <c r="AG132" s="15" t="n">
        <v>0.1</v>
      </c>
      <c r="AH132" s="15" t="n">
        <v>1.43</v>
      </c>
      <c r="AI132" s="15" t="n">
        <v>7.22</v>
      </c>
      <c r="AJ132" s="15" t="n">
        <v>54.69</v>
      </c>
      <c r="AK132" s="15" t="n">
        <v>-14327.49</v>
      </c>
      <c r="AL132" s="15" t="inlineStr">
        <is>
          <t>STOP LOSS</t>
        </is>
      </c>
      <c r="AM132" s="15" t="n">
        <v>50000</v>
      </c>
      <c r="AN132" s="15" t="inlineStr">
        <is>
          <t>PAPER TRADING</t>
        </is>
      </c>
    </row>
    <row r="133">
      <c r="A133" s="16" t="inlineStr">
        <is>
          <t>2026-08-03</t>
        </is>
      </c>
      <c r="B133" s="16" t="inlineStr">
        <is>
          <t>BANKNIFTY</t>
        </is>
      </c>
      <c r="C133" s="16" t="inlineStr">
        <is>
          <t>Both Spreads</t>
        </is>
      </c>
      <c r="D133" s="16" t="inlineStr">
        <is>
          <t>Bull Call Spread</t>
        </is>
      </c>
      <c r="E133" s="16" t="inlineStr">
        <is>
          <t>SIMULATED</t>
        </is>
      </c>
      <c r="F133" s="16" t="inlineStr">
        <is>
          <t>SKIP</t>
        </is>
      </c>
      <c r="G133" s="16" t="inlineStr">
        <is>
          <t>Conflicting — Price:BULLISH EMA:BEARISH</t>
        </is>
      </c>
      <c r="H133" s="16" t="n">
        <v>57405.82</v>
      </c>
      <c r="I133" s="16" t="n">
        <v>57486.01</v>
      </c>
      <c r="J133" s="16" t="inlineStr">
        <is>
          <t>2026-08-27</t>
        </is>
      </c>
      <c r="K133" s="16" t="inlineStr">
        <is>
          <t>MONTHLY</t>
        </is>
      </c>
      <c r="L133" s="16" t="n">
        <v>24</v>
      </c>
      <c r="M133" s="16" t="inlineStr">
        <is>
          <t>09:20 IST</t>
        </is>
      </c>
      <c r="N133" s="16" t="inlineStr">
        <is>
          <t>13:30 IST</t>
        </is>
      </c>
      <c r="O133" s="16" t="n">
        <v>58247.95</v>
      </c>
      <c r="P133" s="16" t="n">
        <v>57264.85</v>
      </c>
      <c r="Q133" s="16" t="inlineStr">
        <is>
          <t>58200 CE</t>
        </is>
      </c>
      <c r="R133" s="16" t="inlineStr">
        <is>
          <t>58400 CE</t>
        </is>
      </c>
      <c r="S133" s="16" t="n">
        <v>15</v>
      </c>
      <c r="T133" s="16" t="n">
        <v>30</v>
      </c>
      <c r="U133" s="16" t="n">
        <v>450</v>
      </c>
      <c r="V133" s="16" t="n">
        <v>108.11</v>
      </c>
      <c r="W133" s="16" t="n">
        <v>103.96</v>
      </c>
      <c r="X133" s="16" t="n">
        <v>48649.5</v>
      </c>
      <c r="Y133" s="16" t="n">
        <v>48704.36</v>
      </c>
      <c r="Z133" s="16" t="n">
        <v>41350.5</v>
      </c>
      <c r="AA133" s="16" t="n">
        <v>14594.85</v>
      </c>
      <c r="AB133" s="16" t="n">
        <v>14594.85</v>
      </c>
      <c r="AC133" s="16" t="n">
        <v>-1867.5</v>
      </c>
      <c r="AD133" s="16" t="n">
        <v>-3.8</v>
      </c>
      <c r="AE133" s="16" t="n">
        <v>40</v>
      </c>
      <c r="AF133" s="16" t="n">
        <v>6.08</v>
      </c>
      <c r="AG133" s="16" t="n">
        <v>0.1</v>
      </c>
      <c r="AH133" s="16" t="n">
        <v>1.46</v>
      </c>
      <c r="AI133" s="16" t="n">
        <v>7.22</v>
      </c>
      <c r="AJ133" s="16" t="n">
        <v>54.86</v>
      </c>
      <c r="AK133" s="16" t="n">
        <v>-1922.36</v>
      </c>
      <c r="AL133" s="16" t="inlineStr">
        <is>
          <t>FLAT</t>
        </is>
      </c>
      <c r="AM133" s="16" t="n">
        <v>50000</v>
      </c>
      <c r="AN133" s="16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BANKNIFTY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57405.82</v>
      </c>
      <c r="I134" s="17" t="n">
        <v>57486.01</v>
      </c>
      <c r="J134" s="17" t="inlineStr">
        <is>
          <t>2026-08-27</t>
        </is>
      </c>
      <c r="K134" s="17" t="inlineStr">
        <is>
          <t>MONTHLY</t>
        </is>
      </c>
      <c r="L134" s="17" t="n">
        <v>24</v>
      </c>
      <c r="M134" s="17" t="inlineStr">
        <is>
          <t>09:20 IST</t>
        </is>
      </c>
      <c r="N134" s="17" t="inlineStr">
        <is>
          <t>12:04 IST</t>
        </is>
      </c>
      <c r="O134" s="17" t="n">
        <v>58247.95</v>
      </c>
      <c r="P134" s="17" t="n">
        <v>57264.85</v>
      </c>
      <c r="Q134" s="17" t="inlineStr">
        <is>
          <t>58400 PE</t>
        </is>
      </c>
      <c r="R134" s="17" t="inlineStr">
        <is>
          <t>58200 PE</t>
        </is>
      </c>
      <c r="S134" s="17" t="n">
        <v>17</v>
      </c>
      <c r="T134" s="17" t="n">
        <v>30</v>
      </c>
      <c r="U134" s="17" t="n">
        <v>510</v>
      </c>
      <c r="V134" s="17" t="n">
        <v>96.43000000000001</v>
      </c>
      <c r="W134" s="17" t="n">
        <v>125.36</v>
      </c>
      <c r="X134" s="17" t="n">
        <v>49179.3</v>
      </c>
      <c r="Y134" s="17" t="n">
        <v>49234.24</v>
      </c>
      <c r="Z134" s="17" t="n">
        <v>52820.7</v>
      </c>
      <c r="AA134" s="17" t="n">
        <v>14753.79</v>
      </c>
      <c r="AB134" s="17" t="n">
        <v>14753.79</v>
      </c>
      <c r="AC134" s="17" t="n">
        <v>14754.3</v>
      </c>
      <c r="AD134" s="17" t="n">
        <v>30</v>
      </c>
      <c r="AE134" s="17" t="n">
        <v>40</v>
      </c>
      <c r="AF134" s="17" t="n">
        <v>6.15</v>
      </c>
      <c r="AG134" s="17" t="n">
        <v>0.1</v>
      </c>
      <c r="AH134" s="17" t="n">
        <v>1.48</v>
      </c>
      <c r="AI134" s="17" t="n">
        <v>7.22</v>
      </c>
      <c r="AJ134" s="17" t="n">
        <v>54.94</v>
      </c>
      <c r="AK134" s="17" t="n">
        <v>14699.36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BANKNIFTY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SKIP</t>
        </is>
      </c>
      <c r="G135" s="15" t="inlineStr">
        <is>
          <t>Conflicting — Price:BULLISH EMA:BEARISH</t>
        </is>
      </c>
      <c r="H135" s="15" t="n">
        <v>57270.75</v>
      </c>
      <c r="I135" s="15" t="n">
        <v>57465.9</v>
      </c>
      <c r="J135" s="15" t="inlineStr">
        <is>
          <t>2026-08-27</t>
        </is>
      </c>
      <c r="K135" s="15" t="inlineStr">
        <is>
          <t>MONTHLY</t>
        </is>
      </c>
      <c r="L135" s="15" t="n">
        <v>23</v>
      </c>
      <c r="M135" s="15" t="inlineStr">
        <is>
          <t>09:20 IST</t>
        </is>
      </c>
      <c r="N135" s="15" t="inlineStr">
        <is>
          <t>10:09 IST</t>
        </is>
      </c>
      <c r="O135" s="15" t="n">
        <v>57568.85</v>
      </c>
      <c r="P135" s="15" t="n">
        <v>57264.85</v>
      </c>
      <c r="Q135" s="15" t="inlineStr">
        <is>
          <t>57400 CE</t>
        </is>
      </c>
      <c r="R135" s="15" t="inlineStr">
        <is>
          <t>57600 CE</t>
        </is>
      </c>
      <c r="S135" s="15" t="n">
        <v>19</v>
      </c>
      <c r="T135" s="15" t="n">
        <v>30</v>
      </c>
      <c r="U135" s="15" t="n">
        <v>570</v>
      </c>
      <c r="V135" s="15" t="n">
        <v>84.28</v>
      </c>
      <c r="W135" s="15" t="n">
        <v>59</v>
      </c>
      <c r="X135" s="15" t="n">
        <v>48039.6</v>
      </c>
      <c r="Y135" s="15" t="n">
        <v>48094.36</v>
      </c>
      <c r="Z135" s="15" t="n">
        <v>65960.39999999999</v>
      </c>
      <c r="AA135" s="15" t="n">
        <v>14411.88</v>
      </c>
      <c r="AB135" s="15" t="n">
        <v>14411.88</v>
      </c>
      <c r="AC135" s="15" t="n">
        <v>-14409.6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54.76</v>
      </c>
      <c r="AK135" s="15" t="n">
        <v>-14464.36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7" t="inlineStr">
        <is>
          <t>2026-08-04</t>
        </is>
      </c>
      <c r="B136" s="17" t="inlineStr">
        <is>
          <t>BANKNIFTY</t>
        </is>
      </c>
      <c r="C136" s="17" t="inlineStr">
        <is>
          <t>Both Spreads</t>
        </is>
      </c>
      <c r="D136" s="17" t="inlineStr">
        <is>
          <t>Bear Put Spread</t>
        </is>
      </c>
      <c r="E136" s="17" t="inlineStr">
        <is>
          <t>SIMULATED</t>
        </is>
      </c>
      <c r="F136" s="17" t="inlineStr">
        <is>
          <t>SKIP</t>
        </is>
      </c>
      <c r="G136" s="17" t="inlineStr">
        <is>
          <t>Conflicting — Price:BULLISH EMA:BEARISH</t>
        </is>
      </c>
      <c r="H136" s="17" t="n">
        <v>57270.75</v>
      </c>
      <c r="I136" s="17" t="n">
        <v>57465.9</v>
      </c>
      <c r="J136" s="17" t="inlineStr">
        <is>
          <t>2026-08-27</t>
        </is>
      </c>
      <c r="K136" s="17" t="inlineStr">
        <is>
          <t>MONTHLY</t>
        </is>
      </c>
      <c r="L136" s="17" t="n">
        <v>23</v>
      </c>
      <c r="M136" s="17" t="inlineStr">
        <is>
          <t>09:20 IST</t>
        </is>
      </c>
      <c r="N136" s="17" t="inlineStr">
        <is>
          <t>11:18 IST</t>
        </is>
      </c>
      <c r="O136" s="17" t="n">
        <v>57568.85</v>
      </c>
      <c r="P136" s="17" t="n">
        <v>57264.85</v>
      </c>
      <c r="Q136" s="17" t="inlineStr">
        <is>
          <t>57600 PE</t>
        </is>
      </c>
      <c r="R136" s="17" t="inlineStr">
        <is>
          <t>57400 PE</t>
        </is>
      </c>
      <c r="S136" s="17" t="n">
        <v>15</v>
      </c>
      <c r="T136" s="17" t="n">
        <v>30</v>
      </c>
      <c r="U136" s="17" t="n">
        <v>450</v>
      </c>
      <c r="V136" s="17" t="n">
        <v>109.06</v>
      </c>
      <c r="W136" s="17" t="n">
        <v>141.78</v>
      </c>
      <c r="X136" s="17" t="n">
        <v>49077</v>
      </c>
      <c r="Y136" s="17" t="n">
        <v>49131.92</v>
      </c>
      <c r="Z136" s="17" t="n">
        <v>40923</v>
      </c>
      <c r="AA136" s="17" t="n">
        <v>14723.1</v>
      </c>
      <c r="AB136" s="17" t="n">
        <v>14723.1</v>
      </c>
      <c r="AC136" s="17" t="n">
        <v>14724</v>
      </c>
      <c r="AD136" s="17" t="n">
        <v>30</v>
      </c>
      <c r="AE136" s="17" t="n">
        <v>40</v>
      </c>
      <c r="AF136" s="17" t="n">
        <v>6.13</v>
      </c>
      <c r="AG136" s="17" t="n">
        <v>0.1</v>
      </c>
      <c r="AH136" s="17" t="n">
        <v>1.47</v>
      </c>
      <c r="AI136" s="17" t="n">
        <v>7.22</v>
      </c>
      <c r="AJ136" s="17" t="n">
        <v>54.92</v>
      </c>
      <c r="AK136" s="17" t="n">
        <v>14669.08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7" t="inlineStr">
        <is>
          <t>2026-08-04</t>
        </is>
      </c>
      <c r="B137" s="17" t="inlineStr">
        <is>
          <t>BANKNIFTY</t>
        </is>
      </c>
      <c r="C137" s="17" t="inlineStr">
        <is>
          <t>Both Spreads</t>
        </is>
      </c>
      <c r="D137" s="17" t="inlineStr">
        <is>
          <t>Bull Call Spread</t>
        </is>
      </c>
      <c r="E137" s="17" t="inlineStr">
        <is>
          <t>SIMULATED</t>
        </is>
      </c>
      <c r="F137" s="17" t="inlineStr">
        <is>
          <t>BEARISH</t>
        </is>
      </c>
      <c r="G137" s="17" t="inlineStr">
        <is>
          <t>Price↓(57907.2&lt;58247.95) &amp; EMA9↓(57506.7&lt;57562.15)</t>
        </is>
      </c>
      <c r="H137" s="17" t="n">
        <v>57506.7</v>
      </c>
      <c r="I137" s="17" t="n">
        <v>57562.15</v>
      </c>
      <c r="J137" s="17" t="inlineStr">
        <is>
          <t>2026-08-27</t>
        </is>
      </c>
      <c r="K137" s="17" t="inlineStr">
        <is>
          <t>MONTHLY</t>
        </is>
      </c>
      <c r="L137" s="17" t="n">
        <v>23</v>
      </c>
      <c r="M137" s="17" t="inlineStr">
        <is>
          <t>09:20 IST</t>
        </is>
      </c>
      <c r="N137" s="17" t="inlineStr">
        <is>
          <t>11:58 IST</t>
        </is>
      </c>
      <c r="O137" s="17" t="n">
        <v>57907.2</v>
      </c>
      <c r="P137" s="17" t="n">
        <v>58247.95</v>
      </c>
      <c r="Q137" s="17" t="inlineStr">
        <is>
          <t>57800 CE</t>
        </is>
      </c>
      <c r="R137" s="17" t="inlineStr">
        <is>
          <t>58000 CE</t>
        </is>
      </c>
      <c r="S137" s="17" t="n">
        <v>18</v>
      </c>
      <c r="T137" s="17" t="n">
        <v>30</v>
      </c>
      <c r="U137" s="17" t="n">
        <v>540</v>
      </c>
      <c r="V137" s="17" t="n">
        <v>88.13</v>
      </c>
      <c r="W137" s="17" t="n">
        <v>114.57</v>
      </c>
      <c r="X137" s="17" t="n">
        <v>47590.2</v>
      </c>
      <c r="Y137" s="17" t="n">
        <v>47644.89</v>
      </c>
      <c r="Z137" s="17" t="n">
        <v>60409.8</v>
      </c>
      <c r="AA137" s="17" t="n">
        <v>14277.06</v>
      </c>
      <c r="AB137" s="17" t="n">
        <v>14277.06</v>
      </c>
      <c r="AC137" s="17" t="n">
        <v>14277.6</v>
      </c>
      <c r="AD137" s="17" t="n">
        <v>30</v>
      </c>
      <c r="AE137" s="17" t="n">
        <v>40</v>
      </c>
      <c r="AF137" s="17" t="n">
        <v>5.95</v>
      </c>
      <c r="AG137" s="17" t="n">
        <v>0.1</v>
      </c>
      <c r="AH137" s="17" t="n">
        <v>1.43</v>
      </c>
      <c r="AI137" s="17" t="n">
        <v>7.22</v>
      </c>
      <c r="AJ137" s="17" t="n">
        <v>54.69</v>
      </c>
      <c r="AK137" s="17" t="n">
        <v>14222.91</v>
      </c>
      <c r="AL137" s="17" t="inlineStr">
        <is>
          <t>PROFIT</t>
        </is>
      </c>
      <c r="AM137" s="17" t="n">
        <v>50000</v>
      </c>
      <c r="AN137" s="17" t="inlineStr">
        <is>
          <t>PAPER TRADING</t>
        </is>
      </c>
    </row>
    <row r="138">
      <c r="A138" s="17" t="inlineStr">
        <is>
          <t>2026-08-04</t>
        </is>
      </c>
      <c r="B138" s="17" t="inlineStr">
        <is>
          <t>BANKNIFTY</t>
        </is>
      </c>
      <c r="C138" s="17" t="inlineStr">
        <is>
          <t>Both Spreads</t>
        </is>
      </c>
      <c r="D138" s="17" t="inlineStr">
        <is>
          <t>Bear Put Spread</t>
        </is>
      </c>
      <c r="E138" s="17" t="inlineStr">
        <is>
          <t>SIMULATED</t>
        </is>
      </c>
      <c r="F138" s="17" t="inlineStr">
        <is>
          <t>BEARISH</t>
        </is>
      </c>
      <c r="G138" s="17" t="inlineStr">
        <is>
          <t>Price↓(57907.2&lt;58247.95) &amp; EMA9↓(57506.7&lt;57562.15)</t>
        </is>
      </c>
      <c r="H138" s="17" t="n">
        <v>57506.7</v>
      </c>
      <c r="I138" s="17" t="n">
        <v>57562.15</v>
      </c>
      <c r="J138" s="17" t="inlineStr">
        <is>
          <t>2026-08-27</t>
        </is>
      </c>
      <c r="K138" s="17" t="inlineStr">
        <is>
          <t>MONTHLY</t>
        </is>
      </c>
      <c r="L138" s="17" t="n">
        <v>23</v>
      </c>
      <c r="M138" s="17" t="inlineStr">
        <is>
          <t>09:20 IST</t>
        </is>
      </c>
      <c r="N138" s="17" t="inlineStr">
        <is>
          <t>10:27 IST</t>
        </is>
      </c>
      <c r="O138" s="17" t="n">
        <v>57907.2</v>
      </c>
      <c r="P138" s="17" t="n">
        <v>58247.95</v>
      </c>
      <c r="Q138" s="17" t="inlineStr">
        <is>
          <t>58000 PE</t>
        </is>
      </c>
      <c r="R138" s="17" t="inlineStr">
        <is>
          <t>57800 PE</t>
        </is>
      </c>
      <c r="S138" s="17" t="n">
        <v>18</v>
      </c>
      <c r="T138" s="17" t="n">
        <v>30</v>
      </c>
      <c r="U138" s="17" t="n">
        <v>540</v>
      </c>
      <c r="V138" s="17" t="n">
        <v>88.08</v>
      </c>
      <c r="W138" s="17" t="n">
        <v>114.5</v>
      </c>
      <c r="X138" s="17" t="n">
        <v>47563.2</v>
      </c>
      <c r="Y138" s="17" t="n">
        <v>47617.88</v>
      </c>
      <c r="Z138" s="17" t="n">
        <v>60436.8</v>
      </c>
      <c r="AA138" s="17" t="n">
        <v>14268.96</v>
      </c>
      <c r="AB138" s="17" t="n">
        <v>14268.96</v>
      </c>
      <c r="AC138" s="17" t="n">
        <v>14266.8</v>
      </c>
      <c r="AD138" s="17" t="n">
        <v>30</v>
      </c>
      <c r="AE138" s="17" t="n">
        <v>40</v>
      </c>
      <c r="AF138" s="17" t="n">
        <v>5.95</v>
      </c>
      <c r="AG138" s="17" t="n">
        <v>0.1</v>
      </c>
      <c r="AH138" s="17" t="n">
        <v>1.43</v>
      </c>
      <c r="AI138" s="17" t="n">
        <v>7.22</v>
      </c>
      <c r="AJ138" s="17" t="n">
        <v>54.68</v>
      </c>
      <c r="AK138" s="17" t="n">
        <v>14212.12</v>
      </c>
      <c r="AL138" s="17" t="inlineStr">
        <is>
          <t>PROFIT</t>
        </is>
      </c>
      <c r="AM138" s="17" t="n">
        <v>50000</v>
      </c>
      <c r="AN138" s="17" t="inlineStr">
        <is>
          <t>PAPER TRADING</t>
        </is>
      </c>
    </row>
    <row r="139">
      <c r="A139" s="16" t="inlineStr">
        <is>
          <t>2026-08-05</t>
        </is>
      </c>
      <c r="B139" s="16" t="inlineStr">
        <is>
          <t>BANKNIFTY</t>
        </is>
      </c>
      <c r="C139" s="16" t="inlineStr">
        <is>
          <t>Both Spreads</t>
        </is>
      </c>
      <c r="D139" s="16" t="inlineStr">
        <is>
          <t>Bull Call Spread</t>
        </is>
      </c>
      <c r="E139" s="16" t="inlineStr">
        <is>
          <t>SIMULATED</t>
        </is>
      </c>
      <c r="F139" s="16" t="inlineStr">
        <is>
          <t>BEARISH</t>
        </is>
      </c>
      <c r="G139" s="16" t="inlineStr">
        <is>
          <t>Price↓(57716.45&lt;57907.2) &amp; EMA9↓(57549.77&lt;57589.3)</t>
        </is>
      </c>
      <c r="H139" s="16" t="n">
        <v>57549.77</v>
      </c>
      <c r="I139" s="16" t="n">
        <v>57589.3</v>
      </c>
      <c r="J139" s="16" t="inlineStr">
        <is>
          <t>2026-08-27</t>
        </is>
      </c>
      <c r="K139" s="16" t="inlineStr">
        <is>
          <t>MONTHLY</t>
        </is>
      </c>
      <c r="L139" s="16" t="n">
        <v>22</v>
      </c>
      <c r="M139" s="16" t="inlineStr">
        <is>
          <t>09:20 IST</t>
        </is>
      </c>
      <c r="N139" s="16" t="inlineStr">
        <is>
          <t>15:06 IST</t>
        </is>
      </c>
      <c r="O139" s="16" t="n">
        <v>57716.45</v>
      </c>
      <c r="P139" s="16" t="n">
        <v>57907.2</v>
      </c>
      <c r="Q139" s="16" t="inlineStr">
        <is>
          <t>57600 CE</t>
        </is>
      </c>
      <c r="R139" s="16" t="inlineStr">
        <is>
          <t>57800 CE</t>
        </is>
      </c>
      <c r="S139" s="16" t="n">
        <v>17</v>
      </c>
      <c r="T139" s="16" t="n">
        <v>30</v>
      </c>
      <c r="U139" s="16" t="n">
        <v>510</v>
      </c>
      <c r="V139" s="16" t="n">
        <v>92.56</v>
      </c>
      <c r="W139" s="16" t="n">
        <v>88.39</v>
      </c>
      <c r="X139" s="16" t="n">
        <v>47205.6</v>
      </c>
      <c r="Y139" s="16" t="n">
        <v>47260.23</v>
      </c>
      <c r="Z139" s="16" t="n">
        <v>54794.4</v>
      </c>
      <c r="AA139" s="16" t="n">
        <v>14161.68</v>
      </c>
      <c r="AB139" s="16" t="n">
        <v>14161.68</v>
      </c>
      <c r="AC139" s="16" t="n">
        <v>-2126.7</v>
      </c>
      <c r="AD139" s="16" t="n">
        <v>-4.5</v>
      </c>
      <c r="AE139" s="16" t="n">
        <v>40</v>
      </c>
      <c r="AF139" s="16" t="n">
        <v>5.9</v>
      </c>
      <c r="AG139" s="16" t="n">
        <v>0.09</v>
      </c>
      <c r="AH139" s="16" t="n">
        <v>1.42</v>
      </c>
      <c r="AI139" s="16" t="n">
        <v>7.22</v>
      </c>
      <c r="AJ139" s="16" t="n">
        <v>54.63</v>
      </c>
      <c r="AK139" s="16" t="n">
        <v>-2181.33</v>
      </c>
      <c r="AL139" s="16" t="inlineStr">
        <is>
          <t>FLAT</t>
        </is>
      </c>
      <c r="AM139" s="16" t="n">
        <v>50000</v>
      </c>
      <c r="AN139" s="16" t="inlineStr">
        <is>
          <t>PAPER TRADING</t>
        </is>
      </c>
    </row>
    <row r="140">
      <c r="A140" s="15" t="inlineStr">
        <is>
          <t>2026-08-05</t>
        </is>
      </c>
      <c r="B140" s="15" t="inlineStr">
        <is>
          <t>BANKNIFTY</t>
        </is>
      </c>
      <c r="C140" s="15" t="inlineStr">
        <is>
          <t>Both Spreads</t>
        </is>
      </c>
      <c r="D140" s="15" t="inlineStr">
        <is>
          <t>Bear Put Spread</t>
        </is>
      </c>
      <c r="E140" s="15" t="inlineStr">
        <is>
          <t>SIMULATED</t>
        </is>
      </c>
      <c r="F140" s="15" t="inlineStr">
        <is>
          <t>BEARISH</t>
        </is>
      </c>
      <c r="G140" s="15" t="inlineStr">
        <is>
          <t>Price↓(57716.45&lt;57907.2) &amp; EMA9↓(57549.77&lt;57589.3)</t>
        </is>
      </c>
      <c r="H140" s="15" t="n">
        <v>57549.77</v>
      </c>
      <c r="I140" s="15" t="n">
        <v>57589.3</v>
      </c>
      <c r="J140" s="15" t="inlineStr">
        <is>
          <t>2026-08-27</t>
        </is>
      </c>
      <c r="K140" s="15" t="inlineStr">
        <is>
          <t>MONTHLY</t>
        </is>
      </c>
      <c r="L140" s="15" t="n">
        <v>22</v>
      </c>
      <c r="M140" s="15" t="inlineStr">
        <is>
          <t>09:20 IST</t>
        </is>
      </c>
      <c r="N140" s="15" t="inlineStr">
        <is>
          <t>09:55 IST</t>
        </is>
      </c>
      <c r="O140" s="15" t="n">
        <v>57716.45</v>
      </c>
      <c r="P140" s="15" t="n">
        <v>57907.2</v>
      </c>
      <c r="Q140" s="15" t="inlineStr">
        <is>
          <t>57800 PE</t>
        </is>
      </c>
      <c r="R140" s="15" t="inlineStr">
        <is>
          <t>57600 PE</t>
        </is>
      </c>
      <c r="S140" s="15" t="n">
        <v>17</v>
      </c>
      <c r="T140" s="15" t="n">
        <v>30</v>
      </c>
      <c r="U140" s="15" t="n">
        <v>510</v>
      </c>
      <c r="V140" s="15" t="n">
        <v>94.13</v>
      </c>
      <c r="W140" s="15" t="n">
        <v>65.89</v>
      </c>
      <c r="X140" s="15" t="n">
        <v>48006.3</v>
      </c>
      <c r="Y140" s="15" t="n">
        <v>48061.05</v>
      </c>
      <c r="Z140" s="15" t="n">
        <v>53993.7</v>
      </c>
      <c r="AA140" s="15" t="n">
        <v>14401.89</v>
      </c>
      <c r="AB140" s="15" t="n">
        <v>14401.89</v>
      </c>
      <c r="AC140" s="15" t="n">
        <v>-14402.4</v>
      </c>
      <c r="AD140" s="15" t="n">
        <v>-30</v>
      </c>
      <c r="AE140" s="15" t="n">
        <v>40</v>
      </c>
      <c r="AF140" s="15" t="n">
        <v>6</v>
      </c>
      <c r="AG140" s="15" t="n">
        <v>0.1</v>
      </c>
      <c r="AH140" s="15" t="n">
        <v>1.44</v>
      </c>
      <c r="AI140" s="15" t="n">
        <v>7.22</v>
      </c>
      <c r="AJ140" s="15" t="n">
        <v>54.75</v>
      </c>
      <c r="AK140" s="15" t="n">
        <v>-14457.15</v>
      </c>
      <c r="AL140" s="15" t="inlineStr">
        <is>
          <t>STOP LOSS</t>
        </is>
      </c>
      <c r="AM140" s="15" t="n">
        <v>50000</v>
      </c>
      <c r="AN140" s="15" t="inlineStr">
        <is>
          <t>PAPER TRADING</t>
        </is>
      </c>
    </row>
    <row r="141">
      <c r="A141" s="16" t="inlineStr">
        <is>
          <t>2026-08-05</t>
        </is>
      </c>
      <c r="B141" s="16" t="inlineStr">
        <is>
          <t>BANKNIFTY</t>
        </is>
      </c>
      <c r="C141" s="16" t="inlineStr">
        <is>
          <t>Both Spreads</t>
        </is>
      </c>
      <c r="D141" s="16" t="inlineStr">
        <is>
          <t>Bull Call Spread</t>
        </is>
      </c>
      <c r="E141" s="16" t="inlineStr">
        <is>
          <t>SIMULATED</t>
        </is>
      </c>
      <c r="F141" s="16" t="inlineStr">
        <is>
          <t>BEARISH</t>
        </is>
      </c>
      <c r="G141" s="16" t="inlineStr">
        <is>
          <t>Price↓(57739.95&lt;57907.2) &amp; EMA9↓(57554.47&lt;57591.44)</t>
        </is>
      </c>
      <c r="H141" s="16" t="n">
        <v>57554.47</v>
      </c>
      <c r="I141" s="16" t="n">
        <v>57591.44</v>
      </c>
      <c r="J141" s="16" t="inlineStr">
        <is>
          <t>2026-08-27</t>
        </is>
      </c>
      <c r="K141" s="16" t="inlineStr">
        <is>
          <t>MONTHLY</t>
        </is>
      </c>
      <c r="L141" s="16" t="n">
        <v>22</v>
      </c>
      <c r="M141" s="16" t="inlineStr">
        <is>
          <t>09:20 IST</t>
        </is>
      </c>
      <c r="N141" s="16" t="inlineStr">
        <is>
          <t>13:48 IST</t>
        </is>
      </c>
      <c r="O141" s="16" t="n">
        <v>57739.95</v>
      </c>
      <c r="P141" s="16" t="n">
        <v>57907.2</v>
      </c>
      <c r="Q141" s="16" t="inlineStr">
        <is>
          <t>57600 CE</t>
        </is>
      </c>
      <c r="R141" s="16" t="inlineStr">
        <is>
          <t>57800 CE</t>
        </is>
      </c>
      <c r="S141" s="16" t="n">
        <v>16</v>
      </c>
      <c r="T141" s="16" t="n">
        <v>30</v>
      </c>
      <c r="U141" s="16" t="n">
        <v>480</v>
      </c>
      <c r="V141" s="16" t="n">
        <v>99.84999999999999</v>
      </c>
      <c r="W141" s="16" t="n">
        <v>95.19</v>
      </c>
      <c r="X141" s="16" t="n">
        <v>47928</v>
      </c>
      <c r="Y141" s="16" t="n">
        <v>47982.74</v>
      </c>
      <c r="Z141" s="16" t="n">
        <v>48072</v>
      </c>
      <c r="AA141" s="16" t="n">
        <v>14378.4</v>
      </c>
      <c r="AB141" s="16" t="n">
        <v>14378.4</v>
      </c>
      <c r="AC141" s="16" t="n">
        <v>-2236.8</v>
      </c>
      <c r="AD141" s="16" t="n">
        <v>-4.7</v>
      </c>
      <c r="AE141" s="16" t="n">
        <v>40</v>
      </c>
      <c r="AF141" s="16" t="n">
        <v>5.99</v>
      </c>
      <c r="AG141" s="16" t="n">
        <v>0.1</v>
      </c>
      <c r="AH141" s="16" t="n">
        <v>1.44</v>
      </c>
      <c r="AI141" s="16" t="n">
        <v>7.22</v>
      </c>
      <c r="AJ141" s="16" t="n">
        <v>54.74</v>
      </c>
      <c r="AK141" s="16" t="n">
        <v>-2291.54</v>
      </c>
      <c r="AL141" s="16" t="inlineStr">
        <is>
          <t>FLAT</t>
        </is>
      </c>
      <c r="AM141" s="16" t="n">
        <v>50000</v>
      </c>
      <c r="AN141" s="16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BANKNIFTY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BEARISH</t>
        </is>
      </c>
      <c r="G142" s="17" t="inlineStr">
        <is>
          <t>Price↓(57739.95&lt;57907.2) &amp; EMA9↓(57554.47&lt;57591.44)</t>
        </is>
      </c>
      <c r="H142" s="17" t="n">
        <v>57554.47</v>
      </c>
      <c r="I142" s="17" t="n">
        <v>57591.44</v>
      </c>
      <c r="J142" s="17" t="inlineStr">
        <is>
          <t>2026-08-27</t>
        </is>
      </c>
      <c r="K142" s="17" t="inlineStr">
        <is>
          <t>MONTHLY</t>
        </is>
      </c>
      <c r="L142" s="17" t="n">
        <v>22</v>
      </c>
      <c r="M142" s="17" t="inlineStr">
        <is>
          <t>09:20 IST</t>
        </is>
      </c>
      <c r="N142" s="17" t="inlineStr">
        <is>
          <t>12:12 IST</t>
        </is>
      </c>
      <c r="O142" s="17" t="n">
        <v>57739.95</v>
      </c>
      <c r="P142" s="17" t="n">
        <v>57907.2</v>
      </c>
      <c r="Q142" s="17" t="inlineStr">
        <is>
          <t>57800 PE</t>
        </is>
      </c>
      <c r="R142" s="17" t="inlineStr">
        <is>
          <t>57600 PE</t>
        </is>
      </c>
      <c r="S142" s="17" t="n">
        <v>19</v>
      </c>
      <c r="T142" s="17" t="n">
        <v>30</v>
      </c>
      <c r="U142" s="17" t="n">
        <v>570</v>
      </c>
      <c r="V142" s="17" t="n">
        <v>84.7</v>
      </c>
      <c r="W142" s="17" t="n">
        <v>110.11</v>
      </c>
      <c r="X142" s="17" t="n">
        <v>48279</v>
      </c>
      <c r="Y142" s="17" t="n">
        <v>48333.8</v>
      </c>
      <c r="Z142" s="17" t="n">
        <v>65721</v>
      </c>
      <c r="AA142" s="17" t="n">
        <v>14483.7</v>
      </c>
      <c r="AB142" s="17" t="n">
        <v>14483.7</v>
      </c>
      <c r="AC142" s="17" t="n">
        <v>14483.7</v>
      </c>
      <c r="AD142" s="17" t="n">
        <v>30</v>
      </c>
      <c r="AE142" s="17" t="n">
        <v>40</v>
      </c>
      <c r="AF142" s="17" t="n">
        <v>6.03</v>
      </c>
      <c r="AG142" s="17" t="n">
        <v>0.1</v>
      </c>
      <c r="AH142" s="17" t="n">
        <v>1.45</v>
      </c>
      <c r="AI142" s="17" t="n">
        <v>7.22</v>
      </c>
      <c r="AJ142" s="17" t="n">
        <v>54.8</v>
      </c>
      <c r="AK142" s="17" t="n">
        <v>14428.9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BANKNIFTY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SKIP</t>
        </is>
      </c>
      <c r="G143" s="15" t="inlineStr">
        <is>
          <t>Conflicting — Price:BULLISH EMA:BEARISH</t>
        </is>
      </c>
      <c r="H143" s="15" t="n">
        <v>57614.31</v>
      </c>
      <c r="I143" s="15" t="n">
        <v>57616.82</v>
      </c>
      <c r="J143" s="15" t="inlineStr">
        <is>
          <t>2026-08-27</t>
        </is>
      </c>
      <c r="K143" s="15" t="inlineStr">
        <is>
          <t>MONTHLY</t>
        </is>
      </c>
      <c r="L143" s="15" t="n">
        <v>21</v>
      </c>
      <c r="M143" s="15" t="inlineStr">
        <is>
          <t>09:20 IST</t>
        </is>
      </c>
      <c r="N143" s="15" t="inlineStr">
        <is>
          <t>11:19 IST</t>
        </is>
      </c>
      <c r="O143" s="15" t="n">
        <v>57852.65</v>
      </c>
      <c r="P143" s="15" t="n">
        <v>57739.95</v>
      </c>
      <c r="Q143" s="15" t="inlineStr">
        <is>
          <t>57800 CE</t>
        </is>
      </c>
      <c r="R143" s="15" t="inlineStr">
        <is>
          <t>58000 CE</t>
        </is>
      </c>
      <c r="S143" s="15" t="n">
        <v>20</v>
      </c>
      <c r="T143" s="15" t="n">
        <v>30</v>
      </c>
      <c r="U143" s="15" t="n">
        <v>600</v>
      </c>
      <c r="V143" s="15" t="n">
        <v>80.91</v>
      </c>
      <c r="W143" s="15" t="n">
        <v>56.64</v>
      </c>
      <c r="X143" s="15" t="n">
        <v>48546</v>
      </c>
      <c r="Y143" s="15" t="n">
        <v>48600.84</v>
      </c>
      <c r="Z143" s="15" t="n">
        <v>71454</v>
      </c>
      <c r="AA143" s="15" t="n">
        <v>14563.8</v>
      </c>
      <c r="AB143" s="15" t="n">
        <v>14563.8</v>
      </c>
      <c r="AC143" s="15" t="n">
        <v>-14562</v>
      </c>
      <c r="AD143" s="15" t="n">
        <v>-30</v>
      </c>
      <c r="AE143" s="15" t="n">
        <v>40</v>
      </c>
      <c r="AF143" s="15" t="n">
        <v>6.07</v>
      </c>
      <c r="AG143" s="15" t="n">
        <v>0.1</v>
      </c>
      <c r="AH143" s="15" t="n">
        <v>1.46</v>
      </c>
      <c r="AI143" s="15" t="n">
        <v>7.22</v>
      </c>
      <c r="AJ143" s="15" t="n">
        <v>54.84</v>
      </c>
      <c r="AK143" s="15" t="n">
        <v>-14616.84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BANKNIFTY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SKIP</t>
        </is>
      </c>
      <c r="G144" s="17" t="inlineStr">
        <is>
          <t>Conflicting — Price:BULLISH EMA:BEARISH</t>
        </is>
      </c>
      <c r="H144" s="17" t="n">
        <v>57614.31</v>
      </c>
      <c r="I144" s="17" t="n">
        <v>57616.82</v>
      </c>
      <c r="J144" s="17" t="inlineStr">
        <is>
          <t>2026-08-27</t>
        </is>
      </c>
      <c r="K144" s="17" t="inlineStr">
        <is>
          <t>MONTHLY</t>
        </is>
      </c>
      <c r="L144" s="17" t="n">
        <v>21</v>
      </c>
      <c r="M144" s="17" t="inlineStr">
        <is>
          <t>09:20 IST</t>
        </is>
      </c>
      <c r="N144" s="17" t="inlineStr">
        <is>
          <t>10:33 IST</t>
        </is>
      </c>
      <c r="O144" s="17" t="n">
        <v>57852.65</v>
      </c>
      <c r="P144" s="17" t="n">
        <v>57739.95</v>
      </c>
      <c r="Q144" s="17" t="inlineStr">
        <is>
          <t>58000 PE</t>
        </is>
      </c>
      <c r="R144" s="17" t="inlineStr">
        <is>
          <t>57800 PE</t>
        </is>
      </c>
      <c r="S144" s="17" t="n">
        <v>16</v>
      </c>
      <c r="T144" s="17" t="n">
        <v>30</v>
      </c>
      <c r="U144" s="17" t="n">
        <v>480</v>
      </c>
      <c r="V144" s="17" t="n">
        <v>99.98</v>
      </c>
      <c r="W144" s="17" t="n">
        <v>129.97</v>
      </c>
      <c r="X144" s="17" t="n">
        <v>47990.4</v>
      </c>
      <c r="Y144" s="17" t="n">
        <v>48045.15</v>
      </c>
      <c r="Z144" s="17" t="n">
        <v>48009.6</v>
      </c>
      <c r="AA144" s="17" t="n">
        <v>14397.12</v>
      </c>
      <c r="AB144" s="17" t="n">
        <v>14397.12</v>
      </c>
      <c r="AC144" s="17" t="n">
        <v>14395.2</v>
      </c>
      <c r="AD144" s="17" t="n">
        <v>30</v>
      </c>
      <c r="AE144" s="17" t="n">
        <v>40</v>
      </c>
      <c r="AF144" s="17" t="n">
        <v>6</v>
      </c>
      <c r="AG144" s="17" t="n">
        <v>0.1</v>
      </c>
      <c r="AH144" s="17" t="n">
        <v>1.44</v>
      </c>
      <c r="AI144" s="17" t="n">
        <v>7.22</v>
      </c>
      <c r="AJ144" s="17" t="n">
        <v>54.75</v>
      </c>
      <c r="AK144" s="17" t="n">
        <v>14340.45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BANKNIFTY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57693.7</v>
      </c>
      <c r="I145" s="17" t="n">
        <v>57654.77</v>
      </c>
      <c r="J145" s="17" t="inlineStr">
        <is>
          <t>2026-08-27</t>
        </is>
      </c>
      <c r="K145" s="17" t="inlineStr">
        <is>
          <t>MONTHLY</t>
        </is>
      </c>
      <c r="L145" s="17" t="n">
        <v>20</v>
      </c>
      <c r="M145" s="17" t="inlineStr">
        <is>
          <t>09:20 IST</t>
        </is>
      </c>
      <c r="N145" s="17" t="inlineStr">
        <is>
          <t>10:27 IST</t>
        </is>
      </c>
      <c r="O145" s="17" t="n">
        <v>57842.45</v>
      </c>
      <c r="P145" s="17" t="n">
        <v>58063.65</v>
      </c>
      <c r="Q145" s="17" t="inlineStr">
        <is>
          <t>57800 CE</t>
        </is>
      </c>
      <c r="R145" s="17" t="inlineStr">
        <is>
          <t>58000 CE</t>
        </is>
      </c>
      <c r="S145" s="17" t="n">
        <v>14</v>
      </c>
      <c r="T145" s="17" t="n">
        <v>30</v>
      </c>
      <c r="U145" s="17" t="n">
        <v>420</v>
      </c>
      <c r="V145" s="17" t="n">
        <v>109.99</v>
      </c>
      <c r="W145" s="17" t="n">
        <v>142.99</v>
      </c>
      <c r="X145" s="17" t="n">
        <v>46195.8</v>
      </c>
      <c r="Y145" s="17" t="n">
        <v>46250.27</v>
      </c>
      <c r="Z145" s="17" t="n">
        <v>37804.2</v>
      </c>
      <c r="AA145" s="17" t="n">
        <v>13858.74</v>
      </c>
      <c r="AB145" s="17" t="n">
        <v>13858.74</v>
      </c>
      <c r="AC145" s="17" t="n">
        <v>13860</v>
      </c>
      <c r="AD145" s="17" t="n">
        <v>30</v>
      </c>
      <c r="AE145" s="17" t="n">
        <v>40</v>
      </c>
      <c r="AF145" s="17" t="n">
        <v>5.77</v>
      </c>
      <c r="AG145" s="17" t="n">
        <v>0.09</v>
      </c>
      <c r="AH145" s="17" t="n">
        <v>1.39</v>
      </c>
      <c r="AI145" s="17" t="n">
        <v>7.22</v>
      </c>
      <c r="AJ145" s="17" t="n">
        <v>54.47</v>
      </c>
      <c r="AK145" s="17" t="n">
        <v>13805.53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BANKNIFTY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57693.7</v>
      </c>
      <c r="I146" s="17" t="n">
        <v>57654.77</v>
      </c>
      <c r="J146" s="17" t="inlineStr">
        <is>
          <t>2026-08-27</t>
        </is>
      </c>
      <c r="K146" s="17" t="inlineStr">
        <is>
          <t>MONTHLY</t>
        </is>
      </c>
      <c r="L146" s="17" t="n">
        <v>20</v>
      </c>
      <c r="M146" s="17" t="inlineStr">
        <is>
          <t>09:20 IST</t>
        </is>
      </c>
      <c r="N146" s="17" t="inlineStr">
        <is>
          <t>10:59 IST</t>
        </is>
      </c>
      <c r="O146" s="17" t="n">
        <v>57842.45</v>
      </c>
      <c r="P146" s="17" t="n">
        <v>58063.65</v>
      </c>
      <c r="Q146" s="17" t="inlineStr">
        <is>
          <t>58000 PE</t>
        </is>
      </c>
      <c r="R146" s="17" t="inlineStr">
        <is>
          <t>57800 PE</t>
        </is>
      </c>
      <c r="S146" s="17" t="n">
        <v>20</v>
      </c>
      <c r="T146" s="17" t="n">
        <v>30</v>
      </c>
      <c r="U146" s="17" t="n">
        <v>600</v>
      </c>
      <c r="V146" s="17" t="n">
        <v>81.20999999999999</v>
      </c>
      <c r="W146" s="17" t="n">
        <v>105.57</v>
      </c>
      <c r="X146" s="17" t="n">
        <v>48726</v>
      </c>
      <c r="Y146" s="17" t="n">
        <v>48780.87</v>
      </c>
      <c r="Z146" s="17" t="n">
        <v>71274</v>
      </c>
      <c r="AA146" s="17" t="n">
        <v>14617.8</v>
      </c>
      <c r="AB146" s="17" t="n">
        <v>14617.8</v>
      </c>
      <c r="AC146" s="17" t="n">
        <v>14616</v>
      </c>
      <c r="AD146" s="17" t="n">
        <v>30</v>
      </c>
      <c r="AE146" s="17" t="n">
        <v>40</v>
      </c>
      <c r="AF146" s="17" t="n">
        <v>6.09</v>
      </c>
      <c r="AG146" s="17" t="n">
        <v>0.1</v>
      </c>
      <c r="AH146" s="17" t="n">
        <v>1.46</v>
      </c>
      <c r="AI146" s="17" t="n">
        <v>7.22</v>
      </c>
      <c r="AJ146" s="17" t="n">
        <v>54.87</v>
      </c>
      <c r="AK146" s="17" t="n">
        <v>14561.13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6" t="inlineStr">
        <is>
          <t>2026-08-07</t>
        </is>
      </c>
      <c r="B147" s="16" t="inlineStr">
        <is>
          <t>BANKNIFTY</t>
        </is>
      </c>
      <c r="C147" s="16" t="inlineStr">
        <is>
          <t>Both Spreads</t>
        </is>
      </c>
      <c r="D147" s="16" t="inlineStr">
        <is>
          <t>Bull Call Spread</t>
        </is>
      </c>
      <c r="E147" s="16" t="inlineStr">
        <is>
          <t>SIMULATED</t>
        </is>
      </c>
      <c r="F147" s="16" t="inlineStr">
        <is>
          <t>SKIP</t>
        </is>
      </c>
      <c r="G147" s="16" t="inlineStr">
        <is>
          <t>Conflicting — Price:BEARISH EMA:BULLISH</t>
        </is>
      </c>
      <c r="H147" s="16" t="n">
        <v>57674.5</v>
      </c>
      <c r="I147" s="16" t="n">
        <v>57646.04</v>
      </c>
      <c r="J147" s="16" t="inlineStr">
        <is>
          <t>2026-08-27</t>
        </is>
      </c>
      <c r="K147" s="16" t="inlineStr">
        <is>
          <t>MONTHLY</t>
        </is>
      </c>
      <c r="L147" s="16" t="n">
        <v>20</v>
      </c>
      <c r="M147" s="16" t="inlineStr">
        <is>
          <t>09:20 IST</t>
        </is>
      </c>
      <c r="N147" s="16" t="inlineStr">
        <is>
          <t>14:26 IST</t>
        </is>
      </c>
      <c r="O147" s="16" t="n">
        <v>57746.45</v>
      </c>
      <c r="P147" s="16" t="n">
        <v>58063.65</v>
      </c>
      <c r="Q147" s="16" t="inlineStr">
        <is>
          <t>57600 CE</t>
        </is>
      </c>
      <c r="R147" s="16" t="inlineStr">
        <is>
          <t>57800 CE</t>
        </is>
      </c>
      <c r="S147" s="16" t="n">
        <v>17</v>
      </c>
      <c r="T147" s="16" t="n">
        <v>30</v>
      </c>
      <c r="U147" s="16" t="n">
        <v>510</v>
      </c>
      <c r="V147" s="16" t="n">
        <v>91.64</v>
      </c>
      <c r="W147" s="16" t="n">
        <v>93.14</v>
      </c>
      <c r="X147" s="16" t="n">
        <v>46736.4</v>
      </c>
      <c r="Y147" s="16" t="n">
        <v>46790.95</v>
      </c>
      <c r="Z147" s="16" t="n">
        <v>55263.6</v>
      </c>
      <c r="AA147" s="16" t="n">
        <v>14020.92</v>
      </c>
      <c r="AB147" s="16" t="n">
        <v>14020.92</v>
      </c>
      <c r="AC147" s="16" t="n">
        <v>765</v>
      </c>
      <c r="AD147" s="16" t="n">
        <v>1.6</v>
      </c>
      <c r="AE147" s="16" t="n">
        <v>40</v>
      </c>
      <c r="AF147" s="16" t="n">
        <v>5.84</v>
      </c>
      <c r="AG147" s="16" t="n">
        <v>0.09</v>
      </c>
      <c r="AH147" s="16" t="n">
        <v>1.4</v>
      </c>
      <c r="AI147" s="16" t="n">
        <v>7.22</v>
      </c>
      <c r="AJ147" s="16" t="n">
        <v>54.55</v>
      </c>
      <c r="AK147" s="16" t="n">
        <v>710.45</v>
      </c>
      <c r="AL147" s="16" t="inlineStr">
        <is>
          <t>FLAT</t>
        </is>
      </c>
      <c r="AM147" s="16" t="n">
        <v>50000</v>
      </c>
      <c r="AN147" s="16" t="inlineStr">
        <is>
          <t>PAPER TRADING</t>
        </is>
      </c>
    </row>
    <row r="148">
      <c r="A148" s="17" t="inlineStr">
        <is>
          <t>2026-08-07</t>
        </is>
      </c>
      <c r="B148" s="17" t="inlineStr">
        <is>
          <t>BANKNIFTY</t>
        </is>
      </c>
      <c r="C148" s="17" t="inlineStr">
        <is>
          <t>Both Spreads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Price:BEARISH EMA:BULLISH</t>
        </is>
      </c>
      <c r="H148" s="17" t="n">
        <v>57674.5</v>
      </c>
      <c r="I148" s="17" t="n">
        <v>57646.04</v>
      </c>
      <c r="J148" s="17" t="inlineStr">
        <is>
          <t>2026-08-27</t>
        </is>
      </c>
      <c r="K148" s="17" t="inlineStr">
        <is>
          <t>MONTHLY</t>
        </is>
      </c>
      <c r="L148" s="17" t="n">
        <v>20</v>
      </c>
      <c r="M148" s="17" t="inlineStr">
        <is>
          <t>09:20 IST</t>
        </is>
      </c>
      <c r="N148" s="17" t="inlineStr">
        <is>
          <t>10:59 IST</t>
        </is>
      </c>
      <c r="O148" s="17" t="n">
        <v>57746.45</v>
      </c>
      <c r="P148" s="17" t="n">
        <v>58063.65</v>
      </c>
      <c r="Q148" s="17" t="inlineStr">
        <is>
          <t>57800 PE</t>
        </is>
      </c>
      <c r="R148" s="17" t="inlineStr">
        <is>
          <t>57600 PE</t>
        </is>
      </c>
      <c r="S148" s="17" t="n">
        <v>19</v>
      </c>
      <c r="T148" s="17" t="n">
        <v>30</v>
      </c>
      <c r="U148" s="17" t="n">
        <v>570</v>
      </c>
      <c r="V148" s="17" t="n">
        <v>83.92</v>
      </c>
      <c r="W148" s="17" t="n">
        <v>109.1</v>
      </c>
      <c r="X148" s="17" t="n">
        <v>47834.4</v>
      </c>
      <c r="Y148" s="17" t="n">
        <v>47889.13</v>
      </c>
      <c r="Z148" s="17" t="n">
        <v>66165.60000000001</v>
      </c>
      <c r="AA148" s="17" t="n">
        <v>14350.32</v>
      </c>
      <c r="AB148" s="17" t="n">
        <v>14350.32</v>
      </c>
      <c r="AC148" s="17" t="n">
        <v>14352.6</v>
      </c>
      <c r="AD148" s="17" t="n">
        <v>30</v>
      </c>
      <c r="AE148" s="17" t="n">
        <v>40</v>
      </c>
      <c r="AF148" s="17" t="n">
        <v>5.98</v>
      </c>
      <c r="AG148" s="17" t="n">
        <v>0.1</v>
      </c>
      <c r="AH148" s="17" t="n">
        <v>1.44</v>
      </c>
      <c r="AI148" s="17" t="n">
        <v>7.22</v>
      </c>
      <c r="AJ148" s="17" t="n">
        <v>54.73</v>
      </c>
      <c r="AK148" s="17" t="n">
        <v>14297.87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6" t="inlineStr">
        <is>
          <t>2026-08-10</t>
        </is>
      </c>
      <c r="B149" s="16" t="inlineStr">
        <is>
          <t>BANKNIFTY</t>
        </is>
      </c>
      <c r="C149" s="16" t="inlineStr">
        <is>
          <t>Both Spreads</t>
        </is>
      </c>
      <c r="D149" s="16" t="inlineStr">
        <is>
          <t>Bull Call Spread</t>
        </is>
      </c>
      <c r="E149" s="16" t="inlineStr">
        <is>
          <t>SIMULATED</t>
        </is>
      </c>
      <c r="F149" s="16" t="inlineStr">
        <is>
          <t>SKIP</t>
        </is>
      </c>
      <c r="G149" s="16" t="inlineStr">
        <is>
          <t>Conflicting — Price:BEARISH EMA:BULLISH</t>
        </is>
      </c>
      <c r="H149" s="16" t="n">
        <v>57681.12</v>
      </c>
      <c r="I149" s="16" t="n">
        <v>57666.4</v>
      </c>
      <c r="J149" s="16" t="inlineStr">
        <is>
          <t>2026-08-27</t>
        </is>
      </c>
      <c r="K149" s="16" t="inlineStr">
        <is>
          <t>MONTHLY</t>
        </is>
      </c>
      <c r="L149" s="16" t="n">
        <v>17</v>
      </c>
      <c r="M149" s="16" t="inlineStr">
        <is>
          <t>09:20 IST</t>
        </is>
      </c>
      <c r="N149" s="16" t="inlineStr">
        <is>
          <t>14:56 IST</t>
        </is>
      </c>
      <c r="O149" s="16" t="n">
        <v>57708.7</v>
      </c>
      <c r="P149" s="16" t="n">
        <v>57746.45</v>
      </c>
      <c r="Q149" s="16" t="inlineStr">
        <is>
          <t>57600 CE</t>
        </is>
      </c>
      <c r="R149" s="16" t="inlineStr">
        <is>
          <t>57800 CE</t>
        </is>
      </c>
      <c r="S149" s="16" t="n">
        <v>16</v>
      </c>
      <c r="T149" s="16" t="n">
        <v>30</v>
      </c>
      <c r="U149" s="16" t="n">
        <v>480</v>
      </c>
      <c r="V149" s="16" t="n">
        <v>101.63</v>
      </c>
      <c r="W149" s="16" t="n">
        <v>104.85</v>
      </c>
      <c r="X149" s="16" t="n">
        <v>48782.4</v>
      </c>
      <c r="Y149" s="16" t="n">
        <v>48837.28</v>
      </c>
      <c r="Z149" s="16" t="n">
        <v>47217.6</v>
      </c>
      <c r="AA149" s="16" t="n">
        <v>14634.72</v>
      </c>
      <c r="AB149" s="16" t="n">
        <v>14634.72</v>
      </c>
      <c r="AC149" s="16" t="n">
        <v>1545.6</v>
      </c>
      <c r="AD149" s="16" t="n">
        <v>3.2</v>
      </c>
      <c r="AE149" s="16" t="n">
        <v>40</v>
      </c>
      <c r="AF149" s="16" t="n">
        <v>6.1</v>
      </c>
      <c r="AG149" s="16" t="n">
        <v>0.1</v>
      </c>
      <c r="AH149" s="16" t="n">
        <v>1.46</v>
      </c>
      <c r="AI149" s="16" t="n">
        <v>7.22</v>
      </c>
      <c r="AJ149" s="16" t="n">
        <v>54.88</v>
      </c>
      <c r="AK149" s="16" t="n">
        <v>1490.72</v>
      </c>
      <c r="AL149" s="16" t="inlineStr">
        <is>
          <t>FLAT</t>
        </is>
      </c>
      <c r="AM149" s="16" t="n">
        <v>50000</v>
      </c>
      <c r="AN149" s="16" t="inlineStr">
        <is>
          <t>PAPER TRADING</t>
        </is>
      </c>
    </row>
    <row r="150">
      <c r="A150" s="17" t="inlineStr">
        <is>
          <t>2026-08-10</t>
        </is>
      </c>
      <c r="B150" s="17" t="inlineStr">
        <is>
          <t>BANKNIFTY</t>
        </is>
      </c>
      <c r="C150" s="17" t="inlineStr">
        <is>
          <t>Both Spreads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SKIP</t>
        </is>
      </c>
      <c r="G150" s="17" t="inlineStr">
        <is>
          <t>Conflicting — Price:BEARISH EMA:BULLISH</t>
        </is>
      </c>
      <c r="H150" s="17" t="n">
        <v>57681.12</v>
      </c>
      <c r="I150" s="17" t="n">
        <v>57666.4</v>
      </c>
      <c r="J150" s="17" t="inlineStr">
        <is>
          <t>2026-08-27</t>
        </is>
      </c>
      <c r="K150" s="17" t="inlineStr">
        <is>
          <t>MONTHLY</t>
        </is>
      </c>
      <c r="L150" s="17" t="n">
        <v>17</v>
      </c>
      <c r="M150" s="17" t="inlineStr">
        <is>
          <t>09:20 IST</t>
        </is>
      </c>
      <c r="N150" s="17" t="inlineStr">
        <is>
          <t>12:11 IST</t>
        </is>
      </c>
      <c r="O150" s="17" t="n">
        <v>57708.7</v>
      </c>
      <c r="P150" s="17" t="n">
        <v>57746.45</v>
      </c>
      <c r="Q150" s="17" t="inlineStr">
        <is>
          <t>57800 PE</t>
        </is>
      </c>
      <c r="R150" s="17" t="inlineStr">
        <is>
          <t>57600 PE</t>
        </is>
      </c>
      <c r="S150" s="17" t="n">
        <v>19</v>
      </c>
      <c r="T150" s="17" t="n">
        <v>30</v>
      </c>
      <c r="U150" s="17" t="n">
        <v>570</v>
      </c>
      <c r="V150" s="17" t="n">
        <v>84.55</v>
      </c>
      <c r="W150" s="17" t="n">
        <v>109.92</v>
      </c>
      <c r="X150" s="17" t="n">
        <v>48193.5</v>
      </c>
      <c r="Y150" s="17" t="n">
        <v>48248.28</v>
      </c>
      <c r="Z150" s="17" t="n">
        <v>65806.5</v>
      </c>
      <c r="AA150" s="17" t="n">
        <v>14458.05</v>
      </c>
      <c r="AB150" s="17" t="n">
        <v>14458.05</v>
      </c>
      <c r="AC150" s="17" t="n">
        <v>14460.9</v>
      </c>
      <c r="AD150" s="17" t="n">
        <v>30</v>
      </c>
      <c r="AE150" s="17" t="n">
        <v>40</v>
      </c>
      <c r="AF150" s="17" t="n">
        <v>6.02</v>
      </c>
      <c r="AG150" s="17" t="n">
        <v>0.1</v>
      </c>
      <c r="AH150" s="17" t="n">
        <v>1.45</v>
      </c>
      <c r="AI150" s="17" t="n">
        <v>7.22</v>
      </c>
      <c r="AJ150" s="17" t="n">
        <v>54.78</v>
      </c>
      <c r="AK150" s="17" t="n">
        <v>14406.12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7" t="inlineStr">
        <is>
          <t>2026-08-10</t>
        </is>
      </c>
      <c r="B151" s="17" t="inlineStr">
        <is>
          <t>BANKNIFTY</t>
        </is>
      </c>
      <c r="C151" s="17" t="inlineStr">
        <is>
          <t>Both Spreads</t>
        </is>
      </c>
      <c r="D151" s="17" t="inlineStr">
        <is>
          <t>Bull Call Spread</t>
        </is>
      </c>
      <c r="E151" s="17" t="inlineStr">
        <is>
          <t>SIMULATED</t>
        </is>
      </c>
      <c r="F151" s="17" t="inlineStr">
        <is>
          <t>SKIP</t>
        </is>
      </c>
      <c r="G151" s="17" t="inlineStr">
        <is>
          <t>Conflicting — Price:BEARISH EMA:BULLISH</t>
        </is>
      </c>
      <c r="H151" s="17" t="n">
        <v>57676.77</v>
      </c>
      <c r="I151" s="17" t="n">
        <v>57664.42</v>
      </c>
      <c r="J151" s="17" t="inlineStr">
        <is>
          <t>2026-08-27</t>
        </is>
      </c>
      <c r="K151" s="17" t="inlineStr">
        <is>
          <t>MONTHLY</t>
        </is>
      </c>
      <c r="L151" s="17" t="n">
        <v>17</v>
      </c>
      <c r="M151" s="17" t="inlineStr">
        <is>
          <t>09:20 IST</t>
        </is>
      </c>
      <c r="N151" s="17" t="inlineStr">
        <is>
          <t>11:57 IST</t>
        </is>
      </c>
      <c r="O151" s="17" t="n">
        <v>57686.95</v>
      </c>
      <c r="P151" s="17" t="n">
        <v>57746.45</v>
      </c>
      <c r="Q151" s="17" t="inlineStr">
        <is>
          <t>57600 CE</t>
        </is>
      </c>
      <c r="R151" s="17" t="inlineStr">
        <is>
          <t>57800 CE</t>
        </is>
      </c>
      <c r="S151" s="17" t="n">
        <v>15</v>
      </c>
      <c r="T151" s="17" t="n">
        <v>30</v>
      </c>
      <c r="U151" s="17" t="n">
        <v>450</v>
      </c>
      <c r="V151" s="17" t="n">
        <v>104.06</v>
      </c>
      <c r="W151" s="17" t="n">
        <v>135.28</v>
      </c>
      <c r="X151" s="17" t="n">
        <v>46827</v>
      </c>
      <c r="Y151" s="17" t="n">
        <v>46881.57</v>
      </c>
      <c r="Z151" s="17" t="n">
        <v>43173</v>
      </c>
      <c r="AA151" s="17" t="n">
        <v>14048.1</v>
      </c>
      <c r="AB151" s="17" t="n">
        <v>14048.1</v>
      </c>
      <c r="AC151" s="17" t="n">
        <v>14049</v>
      </c>
      <c r="AD151" s="17" t="n">
        <v>30</v>
      </c>
      <c r="AE151" s="17" t="n">
        <v>40</v>
      </c>
      <c r="AF151" s="17" t="n">
        <v>5.85</v>
      </c>
      <c r="AG151" s="17" t="n">
        <v>0.09</v>
      </c>
      <c r="AH151" s="17" t="n">
        <v>1.4</v>
      </c>
      <c r="AI151" s="17" t="n">
        <v>7.22</v>
      </c>
      <c r="AJ151" s="17" t="n">
        <v>54.57</v>
      </c>
      <c r="AK151" s="17" t="n">
        <v>13994.43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  <row r="152">
      <c r="A152" s="16" t="inlineStr">
        <is>
          <t>2026-08-10</t>
        </is>
      </c>
      <c r="B152" s="16" t="inlineStr">
        <is>
          <t>BANKNIFTY</t>
        </is>
      </c>
      <c r="C152" s="16" t="inlineStr">
        <is>
          <t>Both Spreads</t>
        </is>
      </c>
      <c r="D152" s="16" t="inlineStr">
        <is>
          <t>Bear Put Spread</t>
        </is>
      </c>
      <c r="E152" s="16" t="inlineStr">
        <is>
          <t>SIMULATED</t>
        </is>
      </c>
      <c r="F152" s="16" t="inlineStr">
        <is>
          <t>SKIP</t>
        </is>
      </c>
      <c r="G152" s="16" t="inlineStr">
        <is>
          <t>Conflicting — Price:BEARISH EMA:BULLISH</t>
        </is>
      </c>
      <c r="H152" s="16" t="n">
        <v>57676.77</v>
      </c>
      <c r="I152" s="16" t="n">
        <v>57664.42</v>
      </c>
      <c r="J152" s="16" t="inlineStr">
        <is>
          <t>2026-08-27</t>
        </is>
      </c>
      <c r="K152" s="16" t="inlineStr">
        <is>
          <t>MONTHLY</t>
        </is>
      </c>
      <c r="L152" s="16" t="n">
        <v>17</v>
      </c>
      <c r="M152" s="16" t="inlineStr">
        <is>
          <t>09:20 IST</t>
        </is>
      </c>
      <c r="N152" s="16" t="inlineStr">
        <is>
          <t>14:34 IST</t>
        </is>
      </c>
      <c r="O152" s="16" t="n">
        <v>57686.95</v>
      </c>
      <c r="P152" s="16" t="n">
        <v>57746.45</v>
      </c>
      <c r="Q152" s="16" t="inlineStr">
        <is>
          <t>57800 PE</t>
        </is>
      </c>
      <c r="R152" s="16" t="inlineStr">
        <is>
          <t>57600 PE</t>
        </is>
      </c>
      <c r="S152" s="16" t="n">
        <v>18</v>
      </c>
      <c r="T152" s="16" t="n">
        <v>30</v>
      </c>
      <c r="U152" s="16" t="n">
        <v>540</v>
      </c>
      <c r="V152" s="16" t="n">
        <v>90.65000000000001</v>
      </c>
      <c r="W152" s="16" t="n">
        <v>88.33</v>
      </c>
      <c r="X152" s="16" t="n">
        <v>48951</v>
      </c>
      <c r="Y152" s="16" t="n">
        <v>49005.9</v>
      </c>
      <c r="Z152" s="16" t="n">
        <v>59049</v>
      </c>
      <c r="AA152" s="16" t="n">
        <v>14685.3</v>
      </c>
      <c r="AB152" s="16" t="n">
        <v>14685.3</v>
      </c>
      <c r="AC152" s="16" t="n">
        <v>-1252.8</v>
      </c>
      <c r="AD152" s="16" t="n">
        <v>-2.6</v>
      </c>
      <c r="AE152" s="16" t="n">
        <v>40</v>
      </c>
      <c r="AF152" s="16" t="n">
        <v>6.12</v>
      </c>
      <c r="AG152" s="16" t="n">
        <v>0.1</v>
      </c>
      <c r="AH152" s="16" t="n">
        <v>1.47</v>
      </c>
      <c r="AI152" s="16" t="n">
        <v>7.22</v>
      </c>
      <c r="AJ152" s="16" t="n">
        <v>54.9</v>
      </c>
      <c r="AK152" s="16" t="n">
        <v>-1307.7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6" t="inlineStr">
        <is>
          <t>2026-08-11</t>
        </is>
      </c>
      <c r="B153" s="16" t="inlineStr">
        <is>
          <t>BANKNIFTY</t>
        </is>
      </c>
      <c r="C153" s="16" t="inlineStr">
        <is>
          <t>Both Spreads</t>
        </is>
      </c>
      <c r="D153" s="16" t="inlineStr">
        <is>
          <t>Bull Call Spread</t>
        </is>
      </c>
      <c r="E153" s="16" t="inlineStr">
        <is>
          <t>SIMULATED</t>
        </is>
      </c>
      <c r="F153" s="16" t="inlineStr">
        <is>
          <t>BEARISH</t>
        </is>
      </c>
      <c r="G153" s="16" t="inlineStr">
        <is>
          <t>Price↓(57194.1&lt;57686.95) &amp; EMA9↓(57580.2&lt;57630.0)</t>
        </is>
      </c>
      <c r="H153" s="16" t="n">
        <v>57580.2</v>
      </c>
      <c r="I153" s="16" t="n">
        <v>57630</v>
      </c>
      <c r="J153" s="16" t="inlineStr">
        <is>
          <t>2026-08-27</t>
        </is>
      </c>
      <c r="K153" s="16" t="inlineStr">
        <is>
          <t>MONTHLY</t>
        </is>
      </c>
      <c r="L153" s="16" t="n">
        <v>16</v>
      </c>
      <c r="M153" s="16" t="inlineStr">
        <is>
          <t>09:20 IST</t>
        </is>
      </c>
      <c r="N153" s="16" t="inlineStr">
        <is>
          <t>13:54 IST</t>
        </is>
      </c>
      <c r="O153" s="16" t="n">
        <v>57194.1</v>
      </c>
      <c r="P153" s="16" t="n">
        <v>57686.95</v>
      </c>
      <c r="Q153" s="16" t="inlineStr">
        <is>
          <t>57000 CE</t>
        </is>
      </c>
      <c r="R153" s="16" t="inlineStr">
        <is>
          <t>57200 CE</t>
        </is>
      </c>
      <c r="S153" s="16" t="n">
        <v>16</v>
      </c>
      <c r="T153" s="16" t="n">
        <v>30</v>
      </c>
      <c r="U153" s="16" t="n">
        <v>480</v>
      </c>
      <c r="V153" s="16" t="n">
        <v>99.79000000000001</v>
      </c>
      <c r="W153" s="16" t="n">
        <v>103.49</v>
      </c>
      <c r="X153" s="16" t="n">
        <v>47899.2</v>
      </c>
      <c r="Y153" s="16" t="n">
        <v>47953.94</v>
      </c>
      <c r="Z153" s="16" t="n">
        <v>48100.8</v>
      </c>
      <c r="AA153" s="16" t="n">
        <v>14369.76</v>
      </c>
      <c r="AB153" s="16" t="n">
        <v>14369.76</v>
      </c>
      <c r="AC153" s="16" t="n">
        <v>1776</v>
      </c>
      <c r="AD153" s="16" t="n">
        <v>3.7</v>
      </c>
      <c r="AE153" s="16" t="n">
        <v>40</v>
      </c>
      <c r="AF153" s="16" t="n">
        <v>5.99</v>
      </c>
      <c r="AG153" s="16" t="n">
        <v>0.1</v>
      </c>
      <c r="AH153" s="16" t="n">
        <v>1.44</v>
      </c>
      <c r="AI153" s="16" t="n">
        <v>7.22</v>
      </c>
      <c r="AJ153" s="16" t="n">
        <v>54.74</v>
      </c>
      <c r="AK153" s="16" t="n">
        <v>1721.26</v>
      </c>
      <c r="AL153" s="16" t="inlineStr">
        <is>
          <t>FLAT</t>
        </is>
      </c>
      <c r="AM153" s="16" t="n">
        <v>50000</v>
      </c>
      <c r="AN153" s="16" t="inlineStr">
        <is>
          <t>PAPER TRADING</t>
        </is>
      </c>
    </row>
    <row r="154">
      <c r="A154" s="17" t="inlineStr">
        <is>
          <t>2026-08-11</t>
        </is>
      </c>
      <c r="B154" s="17" t="inlineStr">
        <is>
          <t>BANKNIFTY</t>
        </is>
      </c>
      <c r="C154" s="17" t="inlineStr">
        <is>
          <t>Both Spreads</t>
        </is>
      </c>
      <c r="D154" s="17" t="inlineStr">
        <is>
          <t>Bear Put Spread</t>
        </is>
      </c>
      <c r="E154" s="17" t="inlineStr">
        <is>
          <t>SIMULATED</t>
        </is>
      </c>
      <c r="F154" s="17" t="inlineStr">
        <is>
          <t>BEARISH</t>
        </is>
      </c>
      <c r="G154" s="17" t="inlineStr">
        <is>
          <t>Price↓(57194.1&lt;57686.95) &amp; EMA9↓(57580.2&lt;57630.0)</t>
        </is>
      </c>
      <c r="H154" s="17" t="n">
        <v>57580.2</v>
      </c>
      <c r="I154" s="17" t="n">
        <v>57630</v>
      </c>
      <c r="J154" s="17" t="inlineStr">
        <is>
          <t>2026-08-27</t>
        </is>
      </c>
      <c r="K154" s="17" t="inlineStr">
        <is>
          <t>MONTHLY</t>
        </is>
      </c>
      <c r="L154" s="17" t="n">
        <v>16</v>
      </c>
      <c r="M154" s="17" t="inlineStr">
        <is>
          <t>09:20 IST</t>
        </is>
      </c>
      <c r="N154" s="17" t="inlineStr">
        <is>
          <t>11:32 IST</t>
        </is>
      </c>
      <c r="O154" s="17" t="n">
        <v>57194.1</v>
      </c>
      <c r="P154" s="17" t="n">
        <v>57686.95</v>
      </c>
      <c r="Q154" s="17" t="inlineStr">
        <is>
          <t>57200 PE</t>
        </is>
      </c>
      <c r="R154" s="17" t="inlineStr">
        <is>
          <t>57000 PE</t>
        </is>
      </c>
      <c r="S154" s="17" t="n">
        <v>18</v>
      </c>
      <c r="T154" s="17" t="n">
        <v>30</v>
      </c>
      <c r="U154" s="17" t="n">
        <v>540</v>
      </c>
      <c r="V154" s="17" t="n">
        <v>90.95</v>
      </c>
      <c r="W154" s="17" t="n">
        <v>118.24</v>
      </c>
      <c r="X154" s="17" t="n">
        <v>49113</v>
      </c>
      <c r="Y154" s="17" t="n">
        <v>49167.93</v>
      </c>
      <c r="Z154" s="17" t="n">
        <v>58887</v>
      </c>
      <c r="AA154" s="17" t="n">
        <v>14733.9</v>
      </c>
      <c r="AB154" s="17" t="n">
        <v>14733.9</v>
      </c>
      <c r="AC154" s="17" t="n">
        <v>14736.6</v>
      </c>
      <c r="AD154" s="17" t="n">
        <v>30</v>
      </c>
      <c r="AE154" s="17" t="n">
        <v>40</v>
      </c>
      <c r="AF154" s="17" t="n">
        <v>6.14</v>
      </c>
      <c r="AG154" s="17" t="n">
        <v>0.1</v>
      </c>
      <c r="AH154" s="17" t="n">
        <v>1.47</v>
      </c>
      <c r="AI154" s="17" t="n">
        <v>7.22</v>
      </c>
      <c r="AJ154" s="17" t="n">
        <v>54.93</v>
      </c>
      <c r="AK154" s="17" t="n">
        <v>14681.67</v>
      </c>
      <c r="AL154" s="17" t="inlineStr">
        <is>
          <t>PROFIT</t>
        </is>
      </c>
      <c r="AM154" s="17" t="n">
        <v>50000</v>
      </c>
      <c r="AN154" s="17" t="inlineStr">
        <is>
          <t>PAPER TRADING</t>
        </is>
      </c>
    </row>
    <row r="155">
      <c r="A155" s="16" t="inlineStr">
        <is>
          <t>2026-08-11</t>
        </is>
      </c>
      <c r="B155" s="16" t="inlineStr">
        <is>
          <t>BANKNIFTY</t>
        </is>
      </c>
      <c r="C155" s="16" t="inlineStr">
        <is>
          <t>Both Spreads</t>
        </is>
      </c>
      <c r="D155" s="16" t="inlineStr">
        <is>
          <t>Bull Call Spread</t>
        </is>
      </c>
      <c r="E155" s="16" t="inlineStr">
        <is>
          <t>SIMULATED</t>
        </is>
      </c>
      <c r="F155" s="16" t="inlineStr">
        <is>
          <t>BEARISH</t>
        </is>
      </c>
      <c r="G155" s="16" t="inlineStr">
        <is>
          <t>Price↓(57446.25&lt;57686.95) &amp; EMA9↓(57630.63&lt;57652.92)</t>
        </is>
      </c>
      <c r="H155" s="16" t="n">
        <v>57630.63</v>
      </c>
      <c r="I155" s="16" t="n">
        <v>57652.92</v>
      </c>
      <c r="J155" s="16" t="inlineStr">
        <is>
          <t>2026-08-27</t>
        </is>
      </c>
      <c r="K155" s="16" t="inlineStr">
        <is>
          <t>MONTHLY</t>
        </is>
      </c>
      <c r="L155" s="16" t="n">
        <v>16</v>
      </c>
      <c r="M155" s="16" t="inlineStr">
        <is>
          <t>09:20 IST</t>
        </is>
      </c>
      <c r="N155" s="16" t="inlineStr">
        <is>
          <t>13:35 IST</t>
        </is>
      </c>
      <c r="O155" s="16" t="n">
        <v>57446.25</v>
      </c>
      <c r="P155" s="16" t="n">
        <v>57686.95</v>
      </c>
      <c r="Q155" s="16" t="inlineStr">
        <is>
          <t>57400 CE</t>
        </is>
      </c>
      <c r="R155" s="16" t="inlineStr">
        <is>
          <t>57600 CE</t>
        </is>
      </c>
      <c r="S155" s="16" t="n">
        <v>19</v>
      </c>
      <c r="T155" s="16" t="n">
        <v>30</v>
      </c>
      <c r="U155" s="16" t="n">
        <v>570</v>
      </c>
      <c r="V155" s="16" t="n">
        <v>85.93000000000001</v>
      </c>
      <c r="W155" s="16" t="n">
        <v>84.45</v>
      </c>
      <c r="X155" s="16" t="n">
        <v>48980.1</v>
      </c>
      <c r="Y155" s="16" t="n">
        <v>49035.01</v>
      </c>
      <c r="Z155" s="16" t="n">
        <v>65019.9</v>
      </c>
      <c r="AA155" s="16" t="n">
        <v>14694.03</v>
      </c>
      <c r="AB155" s="16" t="n">
        <v>14694.03</v>
      </c>
      <c r="AC155" s="16" t="n">
        <v>-843.6</v>
      </c>
      <c r="AD155" s="16" t="n">
        <v>-1.7</v>
      </c>
      <c r="AE155" s="16" t="n">
        <v>40</v>
      </c>
      <c r="AF155" s="16" t="n">
        <v>6.12</v>
      </c>
      <c r="AG155" s="16" t="n">
        <v>0.1</v>
      </c>
      <c r="AH155" s="16" t="n">
        <v>1.47</v>
      </c>
      <c r="AI155" s="16" t="n">
        <v>7.22</v>
      </c>
      <c r="AJ155" s="16" t="n">
        <v>54.91</v>
      </c>
      <c r="AK155" s="16" t="n">
        <v>-898.51</v>
      </c>
      <c r="AL155" s="16" t="inlineStr">
        <is>
          <t>FLAT</t>
        </is>
      </c>
      <c r="AM155" s="16" t="n">
        <v>50000</v>
      </c>
      <c r="AN155" s="16" t="inlineStr">
        <is>
          <t>PAPER TRADING</t>
        </is>
      </c>
    </row>
    <row r="156">
      <c r="A156" s="15" t="inlineStr">
        <is>
          <t>2026-08-11</t>
        </is>
      </c>
      <c r="B156" s="15" t="inlineStr">
        <is>
          <t>BANKNIFTY</t>
        </is>
      </c>
      <c r="C156" s="15" t="inlineStr">
        <is>
          <t>Both Spreads</t>
        </is>
      </c>
      <c r="D156" s="15" t="inlineStr">
        <is>
          <t>Bear Put Spread</t>
        </is>
      </c>
      <c r="E156" s="15" t="inlineStr">
        <is>
          <t>SIMULATED</t>
        </is>
      </c>
      <c r="F156" s="15" t="inlineStr">
        <is>
          <t>BEARISH</t>
        </is>
      </c>
      <c r="G156" s="15" t="inlineStr">
        <is>
          <t>Price↓(57446.25&lt;57686.95) &amp; EMA9↓(57630.63&lt;57652.92)</t>
        </is>
      </c>
      <c r="H156" s="15" t="n">
        <v>57630.63</v>
      </c>
      <c r="I156" s="15" t="n">
        <v>57652.92</v>
      </c>
      <c r="J156" s="15" t="inlineStr">
        <is>
          <t>2026-08-27</t>
        </is>
      </c>
      <c r="K156" s="15" t="inlineStr">
        <is>
          <t>MONTHLY</t>
        </is>
      </c>
      <c r="L156" s="15" t="n">
        <v>16</v>
      </c>
      <c r="M156" s="15" t="inlineStr">
        <is>
          <t>09:20 IST</t>
        </is>
      </c>
      <c r="N156" s="15" t="inlineStr">
        <is>
          <t>09:46 IST</t>
        </is>
      </c>
      <c r="O156" s="15" t="n">
        <v>57446.25</v>
      </c>
      <c r="P156" s="15" t="n">
        <v>57686.95</v>
      </c>
      <c r="Q156" s="15" t="inlineStr">
        <is>
          <t>57600 PE</t>
        </is>
      </c>
      <c r="R156" s="15" t="inlineStr">
        <is>
          <t>57400 PE</t>
        </is>
      </c>
      <c r="S156" s="15" t="n">
        <v>17</v>
      </c>
      <c r="T156" s="15" t="n">
        <v>30</v>
      </c>
      <c r="U156" s="15" t="n">
        <v>510</v>
      </c>
      <c r="V156" s="15" t="n">
        <v>92.14</v>
      </c>
      <c r="W156" s="15" t="n">
        <v>64.5</v>
      </c>
      <c r="X156" s="15" t="n">
        <v>46991.4</v>
      </c>
      <c r="Y156" s="15" t="n">
        <v>47045.99</v>
      </c>
      <c r="Z156" s="15" t="n">
        <v>55008.6</v>
      </c>
      <c r="AA156" s="15" t="n">
        <v>14097.42</v>
      </c>
      <c r="AB156" s="15" t="n">
        <v>14097.42</v>
      </c>
      <c r="AC156" s="15" t="n">
        <v>-14096.4</v>
      </c>
      <c r="AD156" s="15" t="n">
        <v>-30</v>
      </c>
      <c r="AE156" s="15" t="n">
        <v>40</v>
      </c>
      <c r="AF156" s="15" t="n">
        <v>5.87</v>
      </c>
      <c r="AG156" s="15" t="n">
        <v>0.09</v>
      </c>
      <c r="AH156" s="15" t="n">
        <v>1.41</v>
      </c>
      <c r="AI156" s="15" t="n">
        <v>7.22</v>
      </c>
      <c r="AJ156" s="15" t="n">
        <v>54.59</v>
      </c>
      <c r="AK156" s="15" t="n">
        <v>-14150.99</v>
      </c>
      <c r="AL156" s="15" t="inlineStr">
        <is>
          <t>STOP LOSS</t>
        </is>
      </c>
      <c r="AM156" s="15" t="n">
        <v>50000</v>
      </c>
      <c r="AN156" s="15" t="inlineStr">
        <is>
          <t>PAPER TRADING</t>
        </is>
      </c>
    </row>
    <row r="157">
      <c r="A157" s="16" t="inlineStr">
        <is>
          <t>2026-08-12</t>
        </is>
      </c>
      <c r="B157" s="16" t="inlineStr">
        <is>
          <t>BANKNIFTY</t>
        </is>
      </c>
      <c r="C157" s="16" t="inlineStr">
        <is>
          <t>Both Spreads</t>
        </is>
      </c>
      <c r="D157" s="16" t="inlineStr">
        <is>
          <t>Bull Call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Price:BULLISH EMA:BEARISH</t>
        </is>
      </c>
      <c r="H157" s="16" t="n">
        <v>57635.76</v>
      </c>
      <c r="I157" s="16" t="n">
        <v>57652.05</v>
      </c>
      <c r="J157" s="16" t="inlineStr">
        <is>
          <t>2026-08-27</t>
        </is>
      </c>
      <c r="K157" s="16" t="inlineStr">
        <is>
          <t>MONTHLY</t>
        </is>
      </c>
      <c r="L157" s="16" t="n">
        <v>15</v>
      </c>
      <c r="M157" s="16" t="inlineStr">
        <is>
          <t>09:20 IST</t>
        </is>
      </c>
      <c r="N157" s="16" t="inlineStr">
        <is>
          <t>14:08 IST</t>
        </is>
      </c>
      <c r="O157" s="16" t="n">
        <v>57655.6</v>
      </c>
      <c r="P157" s="16" t="n">
        <v>57446.25</v>
      </c>
      <c r="Q157" s="16" t="inlineStr">
        <is>
          <t>57600 CE</t>
        </is>
      </c>
      <c r="R157" s="16" t="inlineStr">
        <is>
          <t>57800 CE</t>
        </is>
      </c>
      <c r="S157" s="16" t="n">
        <v>16</v>
      </c>
      <c r="T157" s="16" t="n">
        <v>30</v>
      </c>
      <c r="U157" s="16" t="n">
        <v>480</v>
      </c>
      <c r="V157" s="16" t="n">
        <v>99.42</v>
      </c>
      <c r="W157" s="16" t="n">
        <v>103.23</v>
      </c>
      <c r="X157" s="16" t="n">
        <v>47721.6</v>
      </c>
      <c r="Y157" s="16" t="n">
        <v>47776.31</v>
      </c>
      <c r="Z157" s="16" t="n">
        <v>48278.4</v>
      </c>
      <c r="AA157" s="16" t="n">
        <v>14316.48</v>
      </c>
      <c r="AB157" s="16" t="n">
        <v>14316.48</v>
      </c>
      <c r="AC157" s="16" t="n">
        <v>1828.8</v>
      </c>
      <c r="AD157" s="16" t="n">
        <v>3.8</v>
      </c>
      <c r="AE157" s="16" t="n">
        <v>40</v>
      </c>
      <c r="AF157" s="16" t="n">
        <v>5.97</v>
      </c>
      <c r="AG157" s="16" t="n">
        <v>0.1</v>
      </c>
      <c r="AH157" s="16" t="n">
        <v>1.43</v>
      </c>
      <c r="AI157" s="16" t="n">
        <v>7.22</v>
      </c>
      <c r="AJ157" s="16" t="n">
        <v>54.71</v>
      </c>
      <c r="AK157" s="16" t="n">
        <v>1774.09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5" t="inlineStr">
        <is>
          <t>2026-08-12</t>
        </is>
      </c>
      <c r="B158" s="15" t="inlineStr">
        <is>
          <t>BANKNIFTY</t>
        </is>
      </c>
      <c r="C158" s="15" t="inlineStr">
        <is>
          <t>Both Spreads</t>
        </is>
      </c>
      <c r="D158" s="15" t="inlineStr">
        <is>
          <t>Bear Put Spread</t>
        </is>
      </c>
      <c r="E158" s="15" t="inlineStr">
        <is>
          <t>SIMULATED</t>
        </is>
      </c>
      <c r="F158" s="15" t="inlineStr">
        <is>
          <t>SKIP</t>
        </is>
      </c>
      <c r="G158" s="15" t="inlineStr">
        <is>
          <t>Conflicting — Price:BULLISH EMA:BEARISH</t>
        </is>
      </c>
      <c r="H158" s="15" t="n">
        <v>57635.76</v>
      </c>
      <c r="I158" s="15" t="n">
        <v>57652.05</v>
      </c>
      <c r="J158" s="15" t="inlineStr">
        <is>
          <t>2026-08-27</t>
        </is>
      </c>
      <c r="K158" s="15" t="inlineStr">
        <is>
          <t>MONTHLY</t>
        </is>
      </c>
      <c r="L158" s="15" t="n">
        <v>15</v>
      </c>
      <c r="M158" s="15" t="inlineStr">
        <is>
          <t>09:20 IST</t>
        </is>
      </c>
      <c r="N158" s="15" t="inlineStr">
        <is>
          <t>10:20 IST</t>
        </is>
      </c>
      <c r="O158" s="15" t="n">
        <v>57655.6</v>
      </c>
      <c r="P158" s="15" t="n">
        <v>57446.25</v>
      </c>
      <c r="Q158" s="15" t="inlineStr">
        <is>
          <t>57800 PE</t>
        </is>
      </c>
      <c r="R158" s="15" t="inlineStr">
        <is>
          <t>57600 PE</t>
        </is>
      </c>
      <c r="S158" s="15" t="n">
        <v>18</v>
      </c>
      <c r="T158" s="15" t="n">
        <v>30</v>
      </c>
      <c r="U158" s="15" t="n">
        <v>540</v>
      </c>
      <c r="V158" s="15" t="n">
        <v>88.68000000000001</v>
      </c>
      <c r="W158" s="15" t="n">
        <v>62.08</v>
      </c>
      <c r="X158" s="15" t="n">
        <v>47887.2</v>
      </c>
      <c r="Y158" s="15" t="n">
        <v>47941.94</v>
      </c>
      <c r="Z158" s="15" t="n">
        <v>60112.8</v>
      </c>
      <c r="AA158" s="15" t="n">
        <v>14366.16</v>
      </c>
      <c r="AB158" s="15" t="n">
        <v>14366.16</v>
      </c>
      <c r="AC158" s="15" t="n">
        <v>-14364</v>
      </c>
      <c r="AD158" s="15" t="n">
        <v>-30</v>
      </c>
      <c r="AE158" s="15" t="n">
        <v>40</v>
      </c>
      <c r="AF158" s="15" t="n">
        <v>5.99</v>
      </c>
      <c r="AG158" s="15" t="n">
        <v>0.1</v>
      </c>
      <c r="AH158" s="15" t="n">
        <v>1.44</v>
      </c>
      <c r="AI158" s="15" t="n">
        <v>7.22</v>
      </c>
      <c r="AJ158" s="15" t="n">
        <v>54.74</v>
      </c>
      <c r="AK158" s="15" t="n">
        <v>-14418.74</v>
      </c>
      <c r="AL158" s="15" t="inlineStr">
        <is>
          <t>STOP LOSS</t>
        </is>
      </c>
      <c r="AM158" s="15" t="n">
        <v>50000</v>
      </c>
      <c r="AN158" s="15" t="inlineStr">
        <is>
          <t>PAPER TRADING</t>
        </is>
      </c>
    </row>
    <row r="159">
      <c r="A159" s="17" t="inlineStr">
        <is>
          <t>2026-08-12</t>
        </is>
      </c>
      <c r="B159" s="17" t="inlineStr">
        <is>
          <t>BANKNIFTY</t>
        </is>
      </c>
      <c r="C159" s="17" t="inlineStr">
        <is>
          <t>Both Spreads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BULLISH</t>
        </is>
      </c>
      <c r="G159" s="17" t="inlineStr">
        <is>
          <t>Price↑(57885.85&gt;57446.25) &amp; EMA9↑(57681.81&gt;57672.99)</t>
        </is>
      </c>
      <c r="H159" s="17" t="n">
        <v>57681.81</v>
      </c>
      <c r="I159" s="17" t="n">
        <v>57672.99</v>
      </c>
      <c r="J159" s="17" t="inlineStr">
        <is>
          <t>2026-08-27</t>
        </is>
      </c>
      <c r="K159" s="17" t="inlineStr">
        <is>
          <t>MONTHLY</t>
        </is>
      </c>
      <c r="L159" s="17" t="n">
        <v>15</v>
      </c>
      <c r="M159" s="17" t="inlineStr">
        <is>
          <t>09:20 IST</t>
        </is>
      </c>
      <c r="N159" s="17" t="inlineStr">
        <is>
          <t>11:04 IST</t>
        </is>
      </c>
      <c r="O159" s="17" t="n">
        <v>57885.85</v>
      </c>
      <c r="P159" s="17" t="n">
        <v>57446.25</v>
      </c>
      <c r="Q159" s="17" t="inlineStr">
        <is>
          <t>57800 CE</t>
        </is>
      </c>
      <c r="R159" s="17" t="inlineStr">
        <is>
          <t>58000 CE</t>
        </is>
      </c>
      <c r="S159" s="17" t="n">
        <v>17</v>
      </c>
      <c r="T159" s="17" t="n">
        <v>30</v>
      </c>
      <c r="U159" s="17" t="n">
        <v>510</v>
      </c>
      <c r="V159" s="17" t="n">
        <v>91.58</v>
      </c>
      <c r="W159" s="17" t="n">
        <v>119.05</v>
      </c>
      <c r="X159" s="17" t="n">
        <v>46705.8</v>
      </c>
      <c r="Y159" s="17" t="n">
        <v>46760.35</v>
      </c>
      <c r="Z159" s="17" t="n">
        <v>55294.2</v>
      </c>
      <c r="AA159" s="17" t="n">
        <v>14011.74</v>
      </c>
      <c r="AB159" s="17" t="n">
        <v>14011.74</v>
      </c>
      <c r="AC159" s="17" t="n">
        <v>14009.7</v>
      </c>
      <c r="AD159" s="17" t="n">
        <v>30</v>
      </c>
      <c r="AE159" s="17" t="n">
        <v>40</v>
      </c>
      <c r="AF159" s="17" t="n">
        <v>5.84</v>
      </c>
      <c r="AG159" s="17" t="n">
        <v>0.09</v>
      </c>
      <c r="AH159" s="17" t="n">
        <v>1.4</v>
      </c>
      <c r="AI159" s="17" t="n">
        <v>7.22</v>
      </c>
      <c r="AJ159" s="17" t="n">
        <v>54.55</v>
      </c>
      <c r="AK159" s="17" t="n">
        <v>13955.15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2026-08-12</t>
        </is>
      </c>
      <c r="B160" s="17" t="inlineStr">
        <is>
          <t>BANKNIFTY</t>
        </is>
      </c>
      <c r="C160" s="17" t="inlineStr">
        <is>
          <t>Both Spreads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BULLISH</t>
        </is>
      </c>
      <c r="G160" s="17" t="inlineStr">
        <is>
          <t>Price↑(57885.85&gt;57446.25) &amp; EMA9↑(57681.81&gt;57672.99)</t>
        </is>
      </c>
      <c r="H160" s="17" t="n">
        <v>57681.81</v>
      </c>
      <c r="I160" s="17" t="n">
        <v>57672.99</v>
      </c>
      <c r="J160" s="17" t="inlineStr">
        <is>
          <t>2026-08-27</t>
        </is>
      </c>
      <c r="K160" s="17" t="inlineStr">
        <is>
          <t>MONTHLY</t>
        </is>
      </c>
      <c r="L160" s="17" t="n">
        <v>15</v>
      </c>
      <c r="M160" s="17" t="inlineStr">
        <is>
          <t>09:20 IST</t>
        </is>
      </c>
      <c r="N160" s="17" t="inlineStr">
        <is>
          <t>11:21 IST</t>
        </is>
      </c>
      <c r="O160" s="17" t="n">
        <v>57885.85</v>
      </c>
      <c r="P160" s="17" t="n">
        <v>57446.25</v>
      </c>
      <c r="Q160" s="17" t="inlineStr">
        <is>
          <t>58000 PE</t>
        </is>
      </c>
      <c r="R160" s="17" t="inlineStr">
        <is>
          <t>57800 PE</t>
        </is>
      </c>
      <c r="S160" s="17" t="n">
        <v>19</v>
      </c>
      <c r="T160" s="17" t="n">
        <v>30</v>
      </c>
      <c r="U160" s="17" t="n">
        <v>570</v>
      </c>
      <c r="V160" s="17" t="n">
        <v>82.67</v>
      </c>
      <c r="W160" s="17" t="n">
        <v>107.47</v>
      </c>
      <c r="X160" s="17" t="n">
        <v>47121.9</v>
      </c>
      <c r="Y160" s="17" t="n">
        <v>47176.52</v>
      </c>
      <c r="Z160" s="17" t="n">
        <v>66878.10000000001</v>
      </c>
      <c r="AA160" s="17" t="n">
        <v>14136.57</v>
      </c>
      <c r="AB160" s="17" t="n">
        <v>14136.57</v>
      </c>
      <c r="AC160" s="17" t="n">
        <v>14136</v>
      </c>
      <c r="AD160" s="17" t="n">
        <v>30</v>
      </c>
      <c r="AE160" s="17" t="n">
        <v>40</v>
      </c>
      <c r="AF160" s="17" t="n">
        <v>5.89</v>
      </c>
      <c r="AG160" s="17" t="n">
        <v>0.09</v>
      </c>
      <c r="AH160" s="17" t="n">
        <v>1.41</v>
      </c>
      <c r="AI160" s="17" t="n">
        <v>7.22</v>
      </c>
      <c r="AJ160" s="17" t="n">
        <v>54.62</v>
      </c>
      <c r="AK160" s="17" t="n">
        <v>14081.38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6" t="inlineStr">
        <is>
          <t>2026-08-13</t>
        </is>
      </c>
      <c r="B161" s="16" t="inlineStr">
        <is>
          <t>BANKNIFTY</t>
        </is>
      </c>
      <c r="C161" s="16" t="inlineStr">
        <is>
          <t>Both Spreads</t>
        </is>
      </c>
      <c r="D161" s="16" t="inlineStr">
        <is>
          <t>Bull Call Spread</t>
        </is>
      </c>
      <c r="E161" s="16" t="inlineStr">
        <is>
          <t>SIMULATED</t>
        </is>
      </c>
      <c r="F161" s="16" t="inlineStr">
        <is>
          <t>SKIP</t>
        </is>
      </c>
      <c r="G161" s="16" t="inlineStr">
        <is>
          <t>Conflicting — Price:BEARISH EMA:BULLISH</t>
        </is>
      </c>
      <c r="H161" s="16" t="n">
        <v>57674.11</v>
      </c>
      <c r="I161" s="16" t="n">
        <v>57665.53</v>
      </c>
      <c r="J161" s="16" t="inlineStr">
        <is>
          <t>2026-08-27</t>
        </is>
      </c>
      <c r="K161" s="16" t="inlineStr">
        <is>
          <t>MONTHLY</t>
        </is>
      </c>
      <c r="L161" s="16" t="n">
        <v>14</v>
      </c>
      <c r="M161" s="16" t="inlineStr">
        <is>
          <t>09:20 IST</t>
        </is>
      </c>
      <c r="N161" s="16" t="inlineStr">
        <is>
          <t>13:58 IST</t>
        </is>
      </c>
      <c r="O161" s="16" t="n">
        <v>57644.45</v>
      </c>
      <c r="P161" s="16" t="n">
        <v>57885.85</v>
      </c>
      <c r="Q161" s="16" t="inlineStr">
        <is>
          <t>57600 CE</t>
        </is>
      </c>
      <c r="R161" s="16" t="inlineStr">
        <is>
          <t>57800 CE</t>
        </is>
      </c>
      <c r="S161" s="16" t="n">
        <v>17</v>
      </c>
      <c r="T161" s="16" t="n">
        <v>30</v>
      </c>
      <c r="U161" s="16" t="n">
        <v>510</v>
      </c>
      <c r="V161" s="16" t="n">
        <v>94.06999999999999</v>
      </c>
      <c r="W161" s="16" t="n">
        <v>94.28</v>
      </c>
      <c r="X161" s="16" t="n">
        <v>47975.7</v>
      </c>
      <c r="Y161" s="16" t="n">
        <v>48030.45</v>
      </c>
      <c r="Z161" s="16" t="n">
        <v>54024.3</v>
      </c>
      <c r="AA161" s="16" t="n">
        <v>14392.71</v>
      </c>
      <c r="AB161" s="16" t="n">
        <v>14392.71</v>
      </c>
      <c r="AC161" s="16" t="n">
        <v>107.1</v>
      </c>
      <c r="AD161" s="16" t="n">
        <v>0.2</v>
      </c>
      <c r="AE161" s="16" t="n">
        <v>40</v>
      </c>
      <c r="AF161" s="16" t="n">
        <v>6</v>
      </c>
      <c r="AG161" s="16" t="n">
        <v>0.1</v>
      </c>
      <c r="AH161" s="16" t="n">
        <v>1.44</v>
      </c>
      <c r="AI161" s="16" t="n">
        <v>7.22</v>
      </c>
      <c r="AJ161" s="16" t="n">
        <v>54.75</v>
      </c>
      <c r="AK161" s="16" t="n">
        <v>52.35</v>
      </c>
      <c r="AL161" s="16" t="inlineStr">
        <is>
          <t>FLAT</t>
        </is>
      </c>
      <c r="AM161" s="16" t="n">
        <v>50000</v>
      </c>
      <c r="AN161" s="16" t="inlineStr">
        <is>
          <t>PAPER TRADING</t>
        </is>
      </c>
    </row>
    <row r="162">
      <c r="A162" s="16" t="inlineStr">
        <is>
          <t>2026-08-13</t>
        </is>
      </c>
      <c r="B162" s="16" t="inlineStr">
        <is>
          <t>BANKNIFTY</t>
        </is>
      </c>
      <c r="C162" s="16" t="inlineStr">
        <is>
          <t>Both Spreads</t>
        </is>
      </c>
      <c r="D162" s="16" t="inlineStr">
        <is>
          <t>Bear Put Spread</t>
        </is>
      </c>
      <c r="E162" s="16" t="inlineStr">
        <is>
          <t>SIMULATED</t>
        </is>
      </c>
      <c r="F162" s="16" t="inlineStr">
        <is>
          <t>SKIP</t>
        </is>
      </c>
      <c r="G162" s="16" t="inlineStr">
        <is>
          <t>Conflicting — Price:BEARISH EMA:BULLISH</t>
        </is>
      </c>
      <c r="H162" s="16" t="n">
        <v>57674.11</v>
      </c>
      <c r="I162" s="16" t="n">
        <v>57665.53</v>
      </c>
      <c r="J162" s="16" t="inlineStr">
        <is>
          <t>2026-08-27</t>
        </is>
      </c>
      <c r="K162" s="16" t="inlineStr">
        <is>
          <t>MONTHLY</t>
        </is>
      </c>
      <c r="L162" s="16" t="n">
        <v>14</v>
      </c>
      <c r="M162" s="16" t="inlineStr">
        <is>
          <t>09:20 IST</t>
        </is>
      </c>
      <c r="N162" s="16" t="inlineStr">
        <is>
          <t>14:21 IST</t>
        </is>
      </c>
      <c r="O162" s="16" t="n">
        <v>57644.45</v>
      </c>
      <c r="P162" s="16" t="n">
        <v>57885.85</v>
      </c>
      <c r="Q162" s="16" t="inlineStr">
        <is>
          <t>57800 PE</t>
        </is>
      </c>
      <c r="R162" s="16" t="inlineStr">
        <is>
          <t>57600 PE</t>
        </is>
      </c>
      <c r="S162" s="16" t="n">
        <v>17</v>
      </c>
      <c r="T162" s="16" t="n">
        <v>30</v>
      </c>
      <c r="U162" s="16" t="n">
        <v>510</v>
      </c>
      <c r="V162" s="16" t="n">
        <v>95.41</v>
      </c>
      <c r="W162" s="16" t="n">
        <v>98.15000000000001</v>
      </c>
      <c r="X162" s="16" t="n">
        <v>48659.1</v>
      </c>
      <c r="Y162" s="16" t="n">
        <v>48713.96</v>
      </c>
      <c r="Z162" s="16" t="n">
        <v>53340.9</v>
      </c>
      <c r="AA162" s="16" t="n">
        <v>14597.73</v>
      </c>
      <c r="AB162" s="16" t="n">
        <v>14597.73</v>
      </c>
      <c r="AC162" s="16" t="n">
        <v>1397.4</v>
      </c>
      <c r="AD162" s="16" t="n">
        <v>2.9</v>
      </c>
      <c r="AE162" s="16" t="n">
        <v>40</v>
      </c>
      <c r="AF162" s="16" t="n">
        <v>6.08</v>
      </c>
      <c r="AG162" s="16" t="n">
        <v>0.1</v>
      </c>
      <c r="AH162" s="16" t="n">
        <v>1.46</v>
      </c>
      <c r="AI162" s="16" t="n">
        <v>7.22</v>
      </c>
      <c r="AJ162" s="16" t="n">
        <v>54.86</v>
      </c>
      <c r="AK162" s="16" t="n">
        <v>1342.54</v>
      </c>
      <c r="AL162" s="16" t="inlineStr">
        <is>
          <t>FLAT</t>
        </is>
      </c>
      <c r="AM162" s="16" t="n">
        <v>50000</v>
      </c>
      <c r="AN162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N3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BANKNIFTY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11:40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84.48999999999999</v>
      </c>
      <c r="V3" s="17" t="n">
        <v>109.84</v>
      </c>
      <c r="W3" s="17" t="n">
        <v>48159.3</v>
      </c>
      <c r="X3" s="17" t="n">
        <v>48214.08</v>
      </c>
      <c r="Y3" s="17" t="n">
        <v>65840.7</v>
      </c>
      <c r="Z3" s="17" t="n">
        <v>14447.79</v>
      </c>
      <c r="AA3" s="17" t="n">
        <v>14447.79</v>
      </c>
      <c r="AB3" s="17" t="n">
        <v>14449.5</v>
      </c>
      <c r="AC3" s="17" t="n">
        <v>30</v>
      </c>
      <c r="AD3" s="17" t="n">
        <v>40</v>
      </c>
      <c r="AE3" s="17" t="n">
        <v>6.02</v>
      </c>
      <c r="AF3" s="17" t="n">
        <v>0.1</v>
      </c>
      <c r="AG3" s="17" t="n">
        <v>1.44</v>
      </c>
      <c r="AH3" s="17" t="n">
        <v>7.22</v>
      </c>
      <c r="AI3" s="17" t="n">
        <v>54.78</v>
      </c>
      <c r="AJ3" s="17" t="n">
        <v>14394.72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11:27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22</v>
      </c>
      <c r="S4" s="17" t="n">
        <v>30</v>
      </c>
      <c r="T4" s="17" t="n">
        <v>660</v>
      </c>
      <c r="U4" s="17" t="n">
        <v>73.81999999999999</v>
      </c>
      <c r="V4" s="17" t="n">
        <v>95.97</v>
      </c>
      <c r="W4" s="17" t="n">
        <v>48721.2</v>
      </c>
      <c r="X4" s="17" t="n">
        <v>48776.07</v>
      </c>
      <c r="Y4" s="17" t="n">
        <v>83278.8</v>
      </c>
      <c r="Z4" s="17" t="n">
        <v>14616.36</v>
      </c>
      <c r="AA4" s="17" t="n">
        <v>14616.36</v>
      </c>
      <c r="AB4" s="17" t="n">
        <v>14619</v>
      </c>
      <c r="AC4" s="17" t="n">
        <v>30</v>
      </c>
      <c r="AD4" s="17" t="n">
        <v>40</v>
      </c>
      <c r="AE4" s="17" t="n">
        <v>6.09</v>
      </c>
      <c r="AF4" s="17" t="n">
        <v>0.1</v>
      </c>
      <c r="AG4" s="17" t="n">
        <v>1.46</v>
      </c>
      <c r="AH4" s="17" t="n">
        <v>7.22</v>
      </c>
      <c r="AI4" s="17" t="n">
        <v>54.87</v>
      </c>
      <c r="AJ4" s="17" t="n">
        <v>14564.13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2026-06-20</t>
        </is>
      </c>
      <c r="B5" s="15" t="inlineStr">
        <is>
          <t>BANKNIFTY</t>
        </is>
      </c>
      <c r="C5" s="15" t="inlineStr">
        <is>
          <t>Smart Trend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EMA9↑(56564.74&gt;55478.64)</t>
        </is>
      </c>
      <c r="G5" s="15" t="n">
        <v>56564.74</v>
      </c>
      <c r="H5" s="15" t="n">
        <v>55478.64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10:48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21</v>
      </c>
      <c r="S5" s="15" t="n">
        <v>30</v>
      </c>
      <c r="T5" s="15" t="n">
        <v>630</v>
      </c>
      <c r="U5" s="15" t="n">
        <v>77.98</v>
      </c>
      <c r="V5" s="15" t="n">
        <v>54.59</v>
      </c>
      <c r="W5" s="15" t="n">
        <v>49127.4</v>
      </c>
      <c r="X5" s="15" t="n">
        <v>49182.33</v>
      </c>
      <c r="Y5" s="15" t="n">
        <v>76872.60000000001</v>
      </c>
      <c r="Z5" s="15" t="n">
        <v>14738.22</v>
      </c>
      <c r="AA5" s="15" t="n">
        <v>14738.22</v>
      </c>
      <c r="AB5" s="15" t="n">
        <v>-14735.7</v>
      </c>
      <c r="AC5" s="15" t="n">
        <v>-30</v>
      </c>
      <c r="AD5" s="15" t="n">
        <v>40</v>
      </c>
      <c r="AE5" s="15" t="n">
        <v>6.14</v>
      </c>
      <c r="AF5" s="15" t="n">
        <v>0.1</v>
      </c>
      <c r="AG5" s="15" t="n">
        <v>1.47</v>
      </c>
      <c r="AH5" s="15" t="n">
        <v>7.22</v>
      </c>
      <c r="AI5" s="15" t="n">
        <v>54.93</v>
      </c>
      <c r="AJ5" s="15" t="n">
        <v>-14790.63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BANKNIFTY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BULLISH</t>
        </is>
      </c>
      <c r="F6" s="17" t="inlineStr">
        <is>
          <t>Price↑(57935.6&gt;57685.75) &amp; EMA9↑(57015.0&gt;55848.7)</t>
        </is>
      </c>
      <c r="G6" s="17" t="n">
        <v>57015</v>
      </c>
      <c r="H6" s="17" t="n">
        <v>55848.7</v>
      </c>
      <c r="I6" s="17" t="inlineStr">
        <is>
          <t>2026-06-25</t>
        </is>
      </c>
      <c r="J6" s="17" t="inlineStr">
        <is>
          <t>MONTHLY</t>
        </is>
      </c>
      <c r="K6" s="17" t="n">
        <v>2</v>
      </c>
      <c r="L6" s="17" t="inlineStr">
        <is>
          <t>09:20 IST</t>
        </is>
      </c>
      <c r="M6" s="17" t="inlineStr">
        <is>
          <t>10:47 IST</t>
        </is>
      </c>
      <c r="N6" s="17" t="n">
        <v>57935.6</v>
      </c>
      <c r="O6" s="17" t="n">
        <v>57685.75</v>
      </c>
      <c r="P6" s="17" t="inlineStr">
        <is>
          <t>57800 CE</t>
        </is>
      </c>
      <c r="Q6" s="17" t="inlineStr">
        <is>
          <t>58000 CE</t>
        </is>
      </c>
      <c r="R6" s="17" t="n">
        <v>35</v>
      </c>
      <c r="S6" s="17" t="n">
        <v>30</v>
      </c>
      <c r="T6" s="17" t="n">
        <v>1050</v>
      </c>
      <c r="U6" s="17" t="n">
        <v>45.59</v>
      </c>
      <c r="V6" s="17" t="n">
        <v>59.27</v>
      </c>
      <c r="W6" s="17" t="n">
        <v>47869.5</v>
      </c>
      <c r="X6" s="17" t="n">
        <v>47924.23</v>
      </c>
      <c r="Y6" s="17" t="n">
        <v>162130.5</v>
      </c>
      <c r="Z6" s="17" t="n">
        <v>14360.85</v>
      </c>
      <c r="AA6" s="17" t="n">
        <v>14360.85</v>
      </c>
      <c r="AB6" s="17" t="n">
        <v>14364</v>
      </c>
      <c r="AC6" s="17" t="n">
        <v>30</v>
      </c>
      <c r="AD6" s="17" t="n">
        <v>40</v>
      </c>
      <c r="AE6" s="17" t="n">
        <v>5.98</v>
      </c>
      <c r="AF6" s="17" t="n">
        <v>0.1</v>
      </c>
      <c r="AG6" s="17" t="n">
        <v>1.44</v>
      </c>
      <c r="AH6" s="17" t="n">
        <v>7.22</v>
      </c>
      <c r="AI6" s="17" t="n">
        <v>54.73</v>
      </c>
      <c r="AJ6" s="17" t="n">
        <v>14309.27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5" t="inlineStr">
        <is>
          <t>2026-06-24</t>
        </is>
      </c>
      <c r="B7" s="15" t="inlineStr">
        <is>
          <t>BANKNIFTY</t>
        </is>
      </c>
      <c r="C7" s="15" t="inlineStr">
        <is>
          <t>Smart Trend</t>
        </is>
      </c>
      <c r="D7" s="15" t="inlineStr">
        <is>
          <t>Bull Call Spread</t>
        </is>
      </c>
      <c r="E7" s="15" t="inlineStr">
        <is>
          <t>SIMULATED</t>
        </is>
      </c>
      <c r="F7" s="15" t="inlineStr">
        <is>
          <t>BULLISH</t>
        </is>
      </c>
      <c r="G7" s="15" t="inlineStr">
        <is>
          <t>Price↑(58150.35&gt;57183.75) &amp; EMA9↑(57268.28&gt;56132.92)</t>
        </is>
      </c>
      <c r="H7" s="15" t="n">
        <v>57268.28</v>
      </c>
      <c r="I7" s="15" t="n">
        <v>56132.92</v>
      </c>
      <c r="J7" s="15" t="inlineStr">
        <is>
          <t>2026-06-25</t>
        </is>
      </c>
      <c r="K7" s="15" t="inlineStr">
        <is>
          <t>MONTHLY</t>
        </is>
      </c>
      <c r="L7" s="15" t="n">
        <v>1</v>
      </c>
      <c r="M7" s="15" t="inlineStr">
        <is>
          <t>09:20 IST</t>
        </is>
      </c>
      <c r="N7" s="15" t="inlineStr">
        <is>
          <t>11:08 IST</t>
        </is>
      </c>
      <c r="O7" s="15" t="n">
        <v>58150.35</v>
      </c>
      <c r="P7" s="15" t="n">
        <v>57183.75</v>
      </c>
      <c r="Q7" s="15" t="inlineStr">
        <is>
          <t>58000 CE</t>
        </is>
      </c>
      <c r="R7" s="15" t="inlineStr">
        <is>
          <t>58200 CE</t>
        </is>
      </c>
      <c r="S7" s="15" t="n">
        <v>44</v>
      </c>
      <c r="T7" s="15" t="n">
        <v>30</v>
      </c>
      <c r="U7" s="15" t="n">
        <v>1320</v>
      </c>
      <c r="V7" s="15" t="n">
        <v>35.79</v>
      </c>
      <c r="W7" s="15" t="n">
        <v>25.05</v>
      </c>
      <c r="X7" s="15" t="n">
        <v>47242.8</v>
      </c>
      <c r="Y7" s="15" t="n">
        <v>47297.43</v>
      </c>
      <c r="Z7" s="15" t="n">
        <v>216757.2</v>
      </c>
      <c r="AA7" s="15" t="n">
        <v>14172.84</v>
      </c>
      <c r="AB7" s="15" t="n">
        <v>14172.84</v>
      </c>
      <c r="AC7" s="15" t="n">
        <v>-14176.8</v>
      </c>
      <c r="AD7" s="15" t="n">
        <v>-30</v>
      </c>
      <c r="AE7" s="15" t="n">
        <v>40</v>
      </c>
      <c r="AF7" s="15" t="n">
        <v>5.91</v>
      </c>
      <c r="AG7" s="15" t="n">
        <v>0.09</v>
      </c>
      <c r="AH7" s="15" t="n">
        <v>1.42</v>
      </c>
      <c r="AI7" s="15" t="n">
        <v>7.22</v>
      </c>
      <c r="AJ7" s="15" t="n">
        <v>54.63</v>
      </c>
      <c r="AK7" s="15" t="n">
        <v>-14231.43</v>
      </c>
      <c r="AL7" s="15" t="inlineStr">
        <is>
          <t>STOP LOSS</t>
        </is>
      </c>
      <c r="AM7" s="15" t="n">
        <v>50000</v>
      </c>
      <c r="AN7" s="15" t="inlineStr">
        <is>
          <t>PAPER TRADING</t>
        </is>
      </c>
    </row>
    <row r="8">
      <c r="A8" s="17" t="inlineStr">
        <is>
          <t>2026-06-25</t>
        </is>
      </c>
      <c r="B8" s="17" t="inlineStr">
        <is>
          <t>BANKNIFTY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Price↑(58177.05&gt;58150.35) &amp; EMA9↑(57449.06&gt;56267.48)</t>
        </is>
      </c>
      <c r="H8" s="17" t="n">
        <v>57449.06</v>
      </c>
      <c r="I8" s="17" t="n">
        <v>56267.48</v>
      </c>
      <c r="J8" s="17" t="inlineStr">
        <is>
          <t>2026-06-25</t>
        </is>
      </c>
      <c r="K8" s="17" t="inlineStr">
        <is>
          <t>MONTHLY</t>
        </is>
      </c>
      <c r="L8" s="17" t="n">
        <v>0</v>
      </c>
      <c r="M8" s="17" t="inlineStr">
        <is>
          <t>09:20 IST</t>
        </is>
      </c>
      <c r="N8" s="17" t="inlineStr">
        <is>
          <t>10:18 IST</t>
        </is>
      </c>
      <c r="O8" s="17" t="n">
        <v>58177.05</v>
      </c>
      <c r="P8" s="17" t="n">
        <v>58150.35</v>
      </c>
      <c r="Q8" s="17" t="inlineStr">
        <is>
          <t>58000 CE</t>
        </is>
      </c>
      <c r="R8" s="17" t="inlineStr">
        <is>
          <t>58200 CE</t>
        </is>
      </c>
      <c r="S8" s="17" t="n">
        <v>39</v>
      </c>
      <c r="T8" s="17" t="n">
        <v>30</v>
      </c>
      <c r="U8" s="17" t="n">
        <v>1170</v>
      </c>
      <c r="V8" s="17" t="n">
        <v>40.39</v>
      </c>
      <c r="W8" s="17" t="n">
        <v>52.51</v>
      </c>
      <c r="X8" s="17" t="n">
        <v>47256.3</v>
      </c>
      <c r="Y8" s="17" t="n">
        <v>47310.94</v>
      </c>
      <c r="Z8" s="17" t="n">
        <v>186743.7</v>
      </c>
      <c r="AA8" s="17" t="n">
        <v>14176.89</v>
      </c>
      <c r="AB8" s="17" t="n">
        <v>14176.89</v>
      </c>
      <c r="AC8" s="17" t="n">
        <v>14180.4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14125.76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7" t="inlineStr">
        <is>
          <t>2026-06-26</t>
        </is>
      </c>
      <c r="B9" s="17" t="inlineStr">
        <is>
          <t>BANKNIFTY</t>
        </is>
      </c>
      <c r="C9" s="17" t="inlineStr">
        <is>
          <t>Smart Trend</t>
        </is>
      </c>
      <c r="D9" s="17" t="inlineStr">
        <is>
          <t>Bull Call Spread</t>
        </is>
      </c>
      <c r="E9" s="17" t="inlineStr">
        <is>
          <t>SIMULATED</t>
        </is>
      </c>
      <c r="F9" s="17" t="inlineStr">
        <is>
          <t>BULLISH</t>
        </is>
      </c>
      <c r="G9" s="17" t="inlineStr">
        <is>
          <t>Price↑(58150.35&gt;57183.75) &amp; EMA9↑(57267.06&gt;56076.53)</t>
        </is>
      </c>
      <c r="H9" s="17" t="n">
        <v>57267.06</v>
      </c>
      <c r="I9" s="17" t="n">
        <v>56076.53</v>
      </c>
      <c r="J9" s="17" t="inlineStr">
        <is>
          <t>2026-06-25</t>
        </is>
      </c>
      <c r="K9" s="17" t="inlineStr">
        <is>
          <t>MONTHLY</t>
        </is>
      </c>
      <c r="L9" s="17" t="n">
        <v>0</v>
      </c>
      <c r="M9" s="17" t="inlineStr">
        <is>
          <t>09:20 IST</t>
        </is>
      </c>
      <c r="N9" s="17" t="inlineStr">
        <is>
          <t>09:40 IST</t>
        </is>
      </c>
      <c r="O9" s="17" t="n">
        <v>58150.35</v>
      </c>
      <c r="P9" s="17" t="n">
        <v>57183.75</v>
      </c>
      <c r="Q9" s="17" t="inlineStr">
        <is>
          <t>58000 CE</t>
        </is>
      </c>
      <c r="R9" s="17" t="inlineStr">
        <is>
          <t>58200 CE</t>
        </is>
      </c>
      <c r="S9" s="17" t="n">
        <v>37</v>
      </c>
      <c r="T9" s="17" t="n">
        <v>30</v>
      </c>
      <c r="U9" s="17" t="n">
        <v>1110</v>
      </c>
      <c r="V9" s="17" t="n">
        <v>43.2</v>
      </c>
      <c r="W9" s="17" t="n">
        <v>56.16</v>
      </c>
      <c r="X9" s="17" t="n">
        <v>47952</v>
      </c>
      <c r="Y9" s="17" t="n">
        <v>48006.75</v>
      </c>
      <c r="Z9" s="17" t="n">
        <v>174048</v>
      </c>
      <c r="AA9" s="17" t="n">
        <v>14385.6</v>
      </c>
      <c r="AB9" s="17" t="n">
        <v>14385.6</v>
      </c>
      <c r="AC9" s="17" t="n">
        <v>14385.6</v>
      </c>
      <c r="AD9" s="17" t="n">
        <v>30</v>
      </c>
      <c r="AE9" s="17" t="n">
        <v>40</v>
      </c>
      <c r="AF9" s="17" t="n">
        <v>5.99</v>
      </c>
      <c r="AG9" s="17" t="n">
        <v>0.1</v>
      </c>
      <c r="AH9" s="17" t="n">
        <v>1.44</v>
      </c>
      <c r="AI9" s="17" t="n">
        <v>7.22</v>
      </c>
      <c r="AJ9" s="17" t="n">
        <v>54.75</v>
      </c>
      <c r="AK9" s="17" t="n">
        <v>14330.85</v>
      </c>
      <c r="AL9" s="17" t="inlineStr">
        <is>
          <t>PROFIT</t>
        </is>
      </c>
      <c r="AM9" s="17" t="n">
        <v>50000</v>
      </c>
      <c r="AN9" s="17" t="inlineStr">
        <is>
          <t>PAPER TRADING</t>
        </is>
      </c>
    </row>
    <row r="10">
      <c r="A10" s="17" t="inlineStr">
        <is>
          <t>2026-06-26</t>
        </is>
      </c>
      <c r="B10" s="17" t="inlineStr">
        <is>
          <t>BANKNIFTY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Price↑(58177.05&gt;58150.35) &amp; EMA9↑(57449.52&gt;56225.95)</t>
        </is>
      </c>
      <c r="H10" s="17" t="n">
        <v>57449.52</v>
      </c>
      <c r="I10" s="17" t="n">
        <v>56225.95</v>
      </c>
      <c r="J10" s="17" t="inlineStr">
        <is>
          <t>2026-07-30</t>
        </is>
      </c>
      <c r="K10" s="17" t="inlineStr">
        <is>
          <t>MONTHLY</t>
        </is>
      </c>
      <c r="L10" s="17" t="n">
        <v>34</v>
      </c>
      <c r="M10" s="17" t="inlineStr">
        <is>
          <t>09:20 IST</t>
        </is>
      </c>
      <c r="N10" s="17" t="inlineStr">
        <is>
          <t>11:06 IST</t>
        </is>
      </c>
      <c r="O10" s="17" t="n">
        <v>58177.05</v>
      </c>
      <c r="P10" s="17" t="n">
        <v>58150.35</v>
      </c>
      <c r="Q10" s="17" t="inlineStr">
        <is>
          <t>58000 CE</t>
        </is>
      </c>
      <c r="R10" s="17" t="inlineStr">
        <is>
          <t>58200 CE</t>
        </is>
      </c>
      <c r="S10" s="17" t="n">
        <v>18</v>
      </c>
      <c r="T10" s="17" t="n">
        <v>30</v>
      </c>
      <c r="U10" s="17" t="n">
        <v>540</v>
      </c>
      <c r="V10" s="17" t="n">
        <v>89</v>
      </c>
      <c r="W10" s="17" t="n">
        <v>115.7</v>
      </c>
      <c r="X10" s="17" t="n">
        <v>48060</v>
      </c>
      <c r="Y10" s="17" t="n">
        <v>48114.76</v>
      </c>
      <c r="Z10" s="17" t="n">
        <v>59940</v>
      </c>
      <c r="AA10" s="17" t="n">
        <v>14418</v>
      </c>
      <c r="AB10" s="17" t="n">
        <v>14418</v>
      </c>
      <c r="AC10" s="17" t="n">
        <v>14418</v>
      </c>
      <c r="AD10" s="17" t="n">
        <v>30</v>
      </c>
      <c r="AE10" s="17" t="n">
        <v>40</v>
      </c>
      <c r="AF10" s="17" t="n">
        <v>6.01</v>
      </c>
      <c r="AG10" s="17" t="n">
        <v>0.1</v>
      </c>
      <c r="AH10" s="17" t="n">
        <v>1.44</v>
      </c>
      <c r="AI10" s="17" t="n">
        <v>7.22</v>
      </c>
      <c r="AJ10" s="17" t="n">
        <v>54.76</v>
      </c>
      <c r="AK10" s="17" t="n">
        <v>14363.24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6" t="inlineStr">
        <is>
          <t>2026-06-27</t>
        </is>
      </c>
      <c r="B11" s="16" t="inlineStr">
        <is>
          <t>BANKNIFTY</t>
        </is>
      </c>
      <c r="C11" s="16" t="inlineStr">
        <is>
          <t>Smart Trend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Price↑(58177.05&gt;58150.35) &amp; EMA9↑(57449.52&gt;56225.95)</t>
        </is>
      </c>
      <c r="H11" s="16" t="n">
        <v>57449.52</v>
      </c>
      <c r="I11" s="16" t="n">
        <v>56225.95</v>
      </c>
      <c r="J11" s="16" t="inlineStr">
        <is>
          <t>2026-07-30</t>
        </is>
      </c>
      <c r="K11" s="16" t="inlineStr">
        <is>
          <t>MONTHLY</t>
        </is>
      </c>
      <c r="L11" s="16" t="n">
        <v>34</v>
      </c>
      <c r="M11" s="16" t="inlineStr">
        <is>
          <t>09:20 IST</t>
        </is>
      </c>
      <c r="N11" s="16" t="inlineStr">
        <is>
          <t>14:05 IST</t>
        </is>
      </c>
      <c r="O11" s="16" t="n">
        <v>58177.05</v>
      </c>
      <c r="P11" s="16" t="n">
        <v>58150.35</v>
      </c>
      <c r="Q11" s="16" t="inlineStr">
        <is>
          <t>58000 CE</t>
        </is>
      </c>
      <c r="R11" s="16" t="inlineStr">
        <is>
          <t>58200 CE</t>
        </is>
      </c>
      <c r="S11" s="16" t="n">
        <v>20</v>
      </c>
      <c r="T11" s="16" t="n">
        <v>30</v>
      </c>
      <c r="U11" s="16" t="n">
        <v>600</v>
      </c>
      <c r="V11" s="16" t="n">
        <v>81.48</v>
      </c>
      <c r="W11" s="16" t="n">
        <v>80.39</v>
      </c>
      <c r="X11" s="16" t="n">
        <v>48888</v>
      </c>
      <c r="Y11" s="16" t="n">
        <v>48942.89</v>
      </c>
      <c r="Z11" s="16" t="n">
        <v>71112</v>
      </c>
      <c r="AA11" s="16" t="n">
        <v>14666.4</v>
      </c>
      <c r="AB11" s="16" t="n">
        <v>14666.4</v>
      </c>
      <c r="AC11" s="16" t="n">
        <v>-654</v>
      </c>
      <c r="AD11" s="16" t="n">
        <v>-1.3</v>
      </c>
      <c r="AE11" s="16" t="n">
        <v>40</v>
      </c>
      <c r="AF11" s="16" t="n">
        <v>6.11</v>
      </c>
      <c r="AG11" s="16" t="n">
        <v>0.1</v>
      </c>
      <c r="AH11" s="16" t="n">
        <v>1.47</v>
      </c>
      <c r="AI11" s="16" t="n">
        <v>7.22</v>
      </c>
      <c r="AJ11" s="16" t="n">
        <v>54.89</v>
      </c>
      <c r="AK11" s="16" t="n">
        <v>-708.89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5" t="inlineStr">
        <is>
          <t>2026-06-30</t>
        </is>
      </c>
      <c r="B12" s="15" t="inlineStr">
        <is>
          <t>BANKNIFTY</t>
        </is>
      </c>
      <c r="C12" s="15" t="inlineStr">
        <is>
          <t>Smart Trend</t>
        </is>
      </c>
      <c r="D12" s="15" t="inlineStr">
        <is>
          <t>Bull Call Spread</t>
        </is>
      </c>
      <c r="E12" s="15" t="inlineStr">
        <is>
          <t>SIMULATED</t>
        </is>
      </c>
      <c r="F12" s="15" t="inlineStr">
        <is>
          <t>BULLISH</t>
        </is>
      </c>
      <c r="G12" s="15" t="inlineStr">
        <is>
          <t>Price↑(58177.05&gt;58150.35) &amp; EMA9↑(57451.61&gt;56186.66)</t>
        </is>
      </c>
      <c r="H12" s="15" t="n">
        <v>57451.61</v>
      </c>
      <c r="I12" s="15" t="n">
        <v>56186.66</v>
      </c>
      <c r="J12" s="15" t="inlineStr">
        <is>
          <t>2026-07-30</t>
        </is>
      </c>
      <c r="K12" s="15" t="inlineStr">
        <is>
          <t>MONTHLY</t>
        </is>
      </c>
      <c r="L12" s="15" t="n">
        <v>31</v>
      </c>
      <c r="M12" s="15" t="inlineStr">
        <is>
          <t>09:20 IST</t>
        </is>
      </c>
      <c r="N12" s="15" t="inlineStr">
        <is>
          <t>09:59 IST</t>
        </is>
      </c>
      <c r="O12" s="15" t="n">
        <v>58177.05</v>
      </c>
      <c r="P12" s="15" t="n">
        <v>58150.35</v>
      </c>
      <c r="Q12" s="15" t="inlineStr">
        <is>
          <t>58000 CE</t>
        </is>
      </c>
      <c r="R12" s="15" t="inlineStr">
        <is>
          <t>58200 CE</t>
        </is>
      </c>
      <c r="S12" s="15" t="n">
        <v>18</v>
      </c>
      <c r="T12" s="15" t="n">
        <v>30</v>
      </c>
      <c r="U12" s="15" t="n">
        <v>540</v>
      </c>
      <c r="V12" s="15" t="n">
        <v>87.42</v>
      </c>
      <c r="W12" s="15" t="n">
        <v>61.19</v>
      </c>
      <c r="X12" s="15" t="n">
        <v>47206.8</v>
      </c>
      <c r="Y12" s="15" t="n">
        <v>47261.43</v>
      </c>
      <c r="Z12" s="15" t="n">
        <v>60793.2</v>
      </c>
      <c r="AA12" s="15" t="n">
        <v>14162.04</v>
      </c>
      <c r="AB12" s="15" t="n">
        <v>14162.04</v>
      </c>
      <c r="AC12" s="15" t="n">
        <v>-14164.2</v>
      </c>
      <c r="AD12" s="15" t="n">
        <v>-30</v>
      </c>
      <c r="AE12" s="15" t="n">
        <v>40</v>
      </c>
      <c r="AF12" s="15" t="n">
        <v>5.9</v>
      </c>
      <c r="AG12" s="15" t="n">
        <v>0.09</v>
      </c>
      <c r="AH12" s="15" t="n">
        <v>1.42</v>
      </c>
      <c r="AI12" s="15" t="n">
        <v>7.22</v>
      </c>
      <c r="AJ12" s="15" t="n">
        <v>54.63</v>
      </c>
      <c r="AK12" s="15" t="n">
        <v>-14218.83</v>
      </c>
      <c r="AL12" s="15" t="inlineStr">
        <is>
          <t>STOP LOSS</t>
        </is>
      </c>
      <c r="AM12" s="15" t="n">
        <v>50000</v>
      </c>
      <c r="AN12" s="15" t="inlineStr">
        <is>
          <t>PAPER TRADING</t>
        </is>
      </c>
    </row>
    <row r="13">
      <c r="A13" s="17" t="inlineStr">
        <is>
          <t>2026-07-01</t>
        </is>
      </c>
      <c r="B13" s="17" t="inlineStr">
        <is>
          <t>BANKNIFTY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Price↑(58033.05&gt;57542.9) &amp; EMA9↑(57620.33&gt;56533.78)</t>
        </is>
      </c>
      <c r="H13" s="17" t="n">
        <v>57620.33</v>
      </c>
      <c r="I13" s="17" t="n">
        <v>56533.78</v>
      </c>
      <c r="J13" s="17" t="inlineStr">
        <is>
          <t>2026-07-30</t>
        </is>
      </c>
      <c r="K13" s="17" t="inlineStr">
        <is>
          <t>MONTHLY</t>
        </is>
      </c>
      <c r="L13" s="17" t="n">
        <v>29</v>
      </c>
      <c r="M13" s="17" t="inlineStr">
        <is>
          <t>09:20 IST</t>
        </is>
      </c>
      <c r="N13" s="17" t="inlineStr">
        <is>
          <t>11:33 IST</t>
        </is>
      </c>
      <c r="O13" s="17" t="n">
        <v>58033.05</v>
      </c>
      <c r="P13" s="17" t="n">
        <v>57542.9</v>
      </c>
      <c r="Q13" s="17" t="inlineStr">
        <is>
          <t>58000 CE</t>
        </is>
      </c>
      <c r="R13" s="17" t="inlineStr">
        <is>
          <t>58200 CE</t>
        </is>
      </c>
      <c r="S13" s="17" t="n">
        <v>19</v>
      </c>
      <c r="T13" s="17" t="n">
        <v>30</v>
      </c>
      <c r="U13" s="17" t="n">
        <v>570</v>
      </c>
      <c r="V13" s="17" t="n">
        <v>86.3</v>
      </c>
      <c r="W13" s="17" t="n">
        <v>112.19</v>
      </c>
      <c r="X13" s="17" t="n">
        <v>49191</v>
      </c>
      <c r="Y13" s="17" t="n">
        <v>49245.94</v>
      </c>
      <c r="Z13" s="17" t="n">
        <v>64809</v>
      </c>
      <c r="AA13" s="17" t="n">
        <v>14757.3</v>
      </c>
      <c r="AB13" s="17" t="n">
        <v>14757.3</v>
      </c>
      <c r="AC13" s="17" t="n">
        <v>14757.3</v>
      </c>
      <c r="AD13" s="17" t="n">
        <v>30</v>
      </c>
      <c r="AE13" s="17" t="n">
        <v>40</v>
      </c>
      <c r="AF13" s="17" t="n">
        <v>6.15</v>
      </c>
      <c r="AG13" s="17" t="n">
        <v>0.1</v>
      </c>
      <c r="AH13" s="17" t="n">
        <v>1.48</v>
      </c>
      <c r="AI13" s="17" t="n">
        <v>7.22</v>
      </c>
      <c r="AJ13" s="17" t="n">
        <v>54.94</v>
      </c>
      <c r="AK13" s="17" t="n">
        <v>14702.36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BANKNIFTY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Price↑(58033.05&gt;57542.9) &amp; EMA9↑(57621.96&gt;56519.64)</t>
        </is>
      </c>
      <c r="H14" s="17" t="n">
        <v>57621.96</v>
      </c>
      <c r="I14" s="17" t="n">
        <v>56519.64</v>
      </c>
      <c r="J14" s="17" t="inlineStr">
        <is>
          <t>2026-07-30</t>
        </is>
      </c>
      <c r="K14" s="17" t="inlineStr">
        <is>
          <t>MONTHLY</t>
        </is>
      </c>
      <c r="L14" s="17" t="n">
        <v>28</v>
      </c>
      <c r="M14" s="17" t="inlineStr">
        <is>
          <t>09:20 IST</t>
        </is>
      </c>
      <c r="N14" s="17" t="inlineStr">
        <is>
          <t>10:02 IST</t>
        </is>
      </c>
      <c r="O14" s="17" t="n">
        <v>58033.05</v>
      </c>
      <c r="P14" s="17" t="n">
        <v>57542.9</v>
      </c>
      <c r="Q14" s="17" t="inlineStr">
        <is>
          <t>58000 CE</t>
        </is>
      </c>
      <c r="R14" s="17" t="inlineStr">
        <is>
          <t>58200 CE</t>
        </is>
      </c>
      <c r="S14" s="17" t="n">
        <v>15</v>
      </c>
      <c r="T14" s="17" t="n">
        <v>30</v>
      </c>
      <c r="U14" s="17" t="n">
        <v>450</v>
      </c>
      <c r="V14" s="17" t="n">
        <v>108.44</v>
      </c>
      <c r="W14" s="17" t="n">
        <v>140.97</v>
      </c>
      <c r="X14" s="17" t="n">
        <v>48798</v>
      </c>
      <c r="Y14" s="17" t="n">
        <v>48852.88</v>
      </c>
      <c r="Z14" s="17" t="n">
        <v>41202</v>
      </c>
      <c r="AA14" s="17" t="n">
        <v>14639.4</v>
      </c>
      <c r="AB14" s="17" t="n">
        <v>14639.4</v>
      </c>
      <c r="AC14" s="17" t="n">
        <v>14638.5</v>
      </c>
      <c r="AD14" s="17" t="n">
        <v>30</v>
      </c>
      <c r="AE14" s="17" t="n">
        <v>40</v>
      </c>
      <c r="AF14" s="17" t="n">
        <v>6.1</v>
      </c>
      <c r="AG14" s="17" t="n">
        <v>0.1</v>
      </c>
      <c r="AH14" s="17" t="n">
        <v>1.46</v>
      </c>
      <c r="AI14" s="17" t="n">
        <v>7.22</v>
      </c>
      <c r="AJ14" s="17" t="n">
        <v>54.88</v>
      </c>
      <c r="AK14" s="17" t="n">
        <v>14583.62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2026-07-06</t>
        </is>
      </c>
      <c r="B15" s="17" t="inlineStr">
        <is>
          <t>BANKNIFTY</t>
        </is>
      </c>
      <c r="C15" s="17" t="inlineStr">
        <is>
          <t>Smart Trend</t>
        </is>
      </c>
      <c r="D15" s="17" t="inlineStr">
        <is>
          <t>Bull Call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Price↑(58291.5&gt;57938.5) &amp; EMA9↑(57858.32&gt;56864.47)</t>
        </is>
      </c>
      <c r="H15" s="17" t="n">
        <v>57858.32</v>
      </c>
      <c r="I15" s="17" t="n">
        <v>56864.47</v>
      </c>
      <c r="J15" s="17" t="inlineStr">
        <is>
          <t>2026-07-30</t>
        </is>
      </c>
      <c r="K15" s="17" t="inlineStr">
        <is>
          <t>MONTHLY</t>
        </is>
      </c>
      <c r="L15" s="17" t="n">
        <v>24</v>
      </c>
      <c r="M15" s="17" t="inlineStr">
        <is>
          <t>09:20 IST</t>
        </is>
      </c>
      <c r="N15" s="17" t="inlineStr">
        <is>
          <t>10:58 IST</t>
        </is>
      </c>
      <c r="O15" s="17" t="n">
        <v>58291.5</v>
      </c>
      <c r="P15" s="17" t="n">
        <v>57938.5</v>
      </c>
      <c r="Q15" s="17" t="inlineStr">
        <is>
          <t>58200 CE</t>
        </is>
      </c>
      <c r="R15" s="17" t="inlineStr">
        <is>
          <t>58400 CE</t>
        </is>
      </c>
      <c r="S15" s="17" t="n">
        <v>16</v>
      </c>
      <c r="T15" s="17" t="n">
        <v>30</v>
      </c>
      <c r="U15" s="17" t="n">
        <v>480</v>
      </c>
      <c r="V15" s="17" t="n">
        <v>97.63</v>
      </c>
      <c r="W15" s="17" t="n">
        <v>126.92</v>
      </c>
      <c r="X15" s="17" t="n">
        <v>46862.4</v>
      </c>
      <c r="Y15" s="17" t="n">
        <v>46916.97</v>
      </c>
      <c r="Z15" s="17" t="n">
        <v>49137.6</v>
      </c>
      <c r="AA15" s="17" t="n">
        <v>14058.72</v>
      </c>
      <c r="AB15" s="17" t="n">
        <v>14058.72</v>
      </c>
      <c r="AC15" s="17" t="n">
        <v>14059.2</v>
      </c>
      <c r="AD15" s="17" t="n">
        <v>30</v>
      </c>
      <c r="AE15" s="17" t="n">
        <v>40</v>
      </c>
      <c r="AF15" s="17" t="n">
        <v>5.86</v>
      </c>
      <c r="AG15" s="17" t="n">
        <v>0.09</v>
      </c>
      <c r="AH15" s="17" t="n">
        <v>1.41</v>
      </c>
      <c r="AI15" s="17" t="n">
        <v>7.22</v>
      </c>
      <c r="AJ15" s="17" t="n">
        <v>54.57</v>
      </c>
      <c r="AK15" s="17" t="n">
        <v>14004.63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2026-07-08</t>
        </is>
      </c>
      <c r="B16" s="17" t="inlineStr">
        <is>
          <t>BANKNIFTY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Price↑(58291.5&gt;57938.5) &amp; EMA9↑(57855.26&gt;56825.6)</t>
        </is>
      </c>
      <c r="H16" s="17" t="n">
        <v>57855.26</v>
      </c>
      <c r="I16" s="17" t="n">
        <v>56825.6</v>
      </c>
      <c r="J16" s="17" t="inlineStr">
        <is>
          <t>2026-07-30</t>
        </is>
      </c>
      <c r="K16" s="17" t="inlineStr">
        <is>
          <t>MONTHLY</t>
        </is>
      </c>
      <c r="L16" s="17" t="n">
        <v>23</v>
      </c>
      <c r="M16" s="17" t="inlineStr">
        <is>
          <t>09:20 IST</t>
        </is>
      </c>
      <c r="N16" s="17" t="inlineStr">
        <is>
          <t>11:26 IST</t>
        </is>
      </c>
      <c r="O16" s="17" t="n">
        <v>58291.5</v>
      </c>
      <c r="P16" s="17" t="n">
        <v>57938.5</v>
      </c>
      <c r="Q16" s="17" t="inlineStr">
        <is>
          <t>58200 CE</t>
        </is>
      </c>
      <c r="R16" s="17" t="inlineStr">
        <is>
          <t>58400 CE</t>
        </is>
      </c>
      <c r="S16" s="17" t="n">
        <v>15</v>
      </c>
      <c r="T16" s="17" t="n">
        <v>30</v>
      </c>
      <c r="U16" s="17" t="n">
        <v>450</v>
      </c>
      <c r="V16" s="17" t="n">
        <v>109.26</v>
      </c>
      <c r="W16" s="17" t="n">
        <v>142.04</v>
      </c>
      <c r="X16" s="17" t="n">
        <v>49167</v>
      </c>
      <c r="Y16" s="17" t="n">
        <v>49221.94</v>
      </c>
      <c r="Z16" s="17" t="n">
        <v>40833</v>
      </c>
      <c r="AA16" s="17" t="n">
        <v>14750.1</v>
      </c>
      <c r="AB16" s="17" t="n">
        <v>14750.1</v>
      </c>
      <c r="AC16" s="17" t="n">
        <v>14751</v>
      </c>
      <c r="AD16" s="17" t="n">
        <v>30</v>
      </c>
      <c r="AE16" s="17" t="n">
        <v>40</v>
      </c>
      <c r="AF16" s="17" t="n">
        <v>6.15</v>
      </c>
      <c r="AG16" s="17" t="n">
        <v>0.1</v>
      </c>
      <c r="AH16" s="17" t="n">
        <v>1.48</v>
      </c>
      <c r="AI16" s="17" t="n">
        <v>7.22</v>
      </c>
      <c r="AJ16" s="17" t="n">
        <v>54.94</v>
      </c>
      <c r="AK16" s="17" t="n">
        <v>14696.06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2026-07-09</t>
        </is>
      </c>
      <c r="B17" s="15" t="inlineStr">
        <is>
          <t>BANKNIFTY</t>
        </is>
      </c>
      <c r="C17" s="15" t="inlineStr">
        <is>
          <t>Smart Trend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BULLISH</t>
        </is>
      </c>
      <c r="G17" s="15" t="inlineStr">
        <is>
          <t>Price↑(57252.45&gt;56742.6) &amp; EMA9↑(57599.36&gt;56949.35)</t>
        </is>
      </c>
      <c r="H17" s="15" t="n">
        <v>57599.36</v>
      </c>
      <c r="I17" s="15" t="n">
        <v>56949.35</v>
      </c>
      <c r="J17" s="15" t="inlineStr">
        <is>
          <t>2026-07-30</t>
        </is>
      </c>
      <c r="K17" s="15" t="inlineStr">
        <is>
          <t>MONTHLY</t>
        </is>
      </c>
      <c r="L17" s="15" t="n">
        <v>21</v>
      </c>
      <c r="M17" s="15" t="inlineStr">
        <is>
          <t>09:20 IST</t>
        </is>
      </c>
      <c r="N17" s="15" t="inlineStr">
        <is>
          <t>09:34 IST</t>
        </is>
      </c>
      <c r="O17" s="15" t="n">
        <v>57252.45</v>
      </c>
      <c r="P17" s="15" t="n">
        <v>56742.6</v>
      </c>
      <c r="Q17" s="15" t="inlineStr">
        <is>
          <t>57200 CE</t>
        </is>
      </c>
      <c r="R17" s="15" t="inlineStr">
        <is>
          <t>57400 CE</t>
        </is>
      </c>
      <c r="S17" s="15" t="n">
        <v>19</v>
      </c>
      <c r="T17" s="15" t="n">
        <v>30</v>
      </c>
      <c r="U17" s="15" t="n">
        <v>570</v>
      </c>
      <c r="V17" s="15" t="n">
        <v>84.43000000000001</v>
      </c>
      <c r="W17" s="15" t="n">
        <v>59.1</v>
      </c>
      <c r="X17" s="15" t="n">
        <v>48125.1</v>
      </c>
      <c r="Y17" s="15" t="n">
        <v>48179.87</v>
      </c>
      <c r="Z17" s="15" t="n">
        <v>65874.89999999999</v>
      </c>
      <c r="AA17" s="15" t="n">
        <v>14437.53</v>
      </c>
      <c r="AB17" s="15" t="n">
        <v>14437.53</v>
      </c>
      <c r="AC17" s="15" t="n">
        <v>-14438.1</v>
      </c>
      <c r="AD17" s="15" t="n">
        <v>-30</v>
      </c>
      <c r="AE17" s="15" t="n">
        <v>40</v>
      </c>
      <c r="AF17" s="15" t="n">
        <v>6.02</v>
      </c>
      <c r="AG17" s="15" t="n">
        <v>0.1</v>
      </c>
      <c r="AH17" s="15" t="n">
        <v>1.44</v>
      </c>
      <c r="AI17" s="15" t="n">
        <v>7.22</v>
      </c>
      <c r="AJ17" s="15" t="n">
        <v>54.77</v>
      </c>
      <c r="AK17" s="15" t="n">
        <v>-14492.87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2026-07-10</t>
        </is>
      </c>
      <c r="B18" s="17" t="inlineStr">
        <is>
          <t>BANKNIFTY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Price↑(58045.9&gt;57252.45) &amp; EMA9↑(57687.91&gt;57060.71)</t>
        </is>
      </c>
      <c r="H18" s="17" t="n">
        <v>57687.91</v>
      </c>
      <c r="I18" s="17" t="n">
        <v>57060.71</v>
      </c>
      <c r="J18" s="17" t="inlineStr">
        <is>
          <t>2026-07-30</t>
        </is>
      </c>
      <c r="K18" s="17" t="inlineStr">
        <is>
          <t>MONTHLY</t>
        </is>
      </c>
      <c r="L18" s="17" t="n">
        <v>20</v>
      </c>
      <c r="M18" s="17" t="inlineStr">
        <is>
          <t>09:20 IST</t>
        </is>
      </c>
      <c r="N18" s="17" t="inlineStr">
        <is>
          <t>11:04 IST</t>
        </is>
      </c>
      <c r="O18" s="17" t="n">
        <v>58045.9</v>
      </c>
      <c r="P18" s="17" t="n">
        <v>57252.45</v>
      </c>
      <c r="Q18" s="17" t="inlineStr">
        <is>
          <t>58000 CE</t>
        </is>
      </c>
      <c r="R18" s="17" t="inlineStr">
        <is>
          <t>58200 CE</t>
        </is>
      </c>
      <c r="S18" s="17" t="n">
        <v>16</v>
      </c>
      <c r="T18" s="17" t="n">
        <v>30</v>
      </c>
      <c r="U18" s="17" t="n">
        <v>480</v>
      </c>
      <c r="V18" s="17" t="n">
        <v>96.97</v>
      </c>
      <c r="W18" s="17" t="n">
        <v>126.06</v>
      </c>
      <c r="X18" s="17" t="n">
        <v>46545.6</v>
      </c>
      <c r="Y18" s="17" t="n">
        <v>46600.12</v>
      </c>
      <c r="Z18" s="17" t="n">
        <v>49454.4</v>
      </c>
      <c r="AA18" s="17" t="n">
        <v>13963.68</v>
      </c>
      <c r="AB18" s="17" t="n">
        <v>13963.68</v>
      </c>
      <c r="AC18" s="17" t="n">
        <v>13963.2</v>
      </c>
      <c r="AD18" s="17" t="n">
        <v>30</v>
      </c>
      <c r="AE18" s="17" t="n">
        <v>40</v>
      </c>
      <c r="AF18" s="17" t="n">
        <v>5.82</v>
      </c>
      <c r="AG18" s="17" t="n">
        <v>0.09</v>
      </c>
      <c r="AH18" s="17" t="n">
        <v>1.4</v>
      </c>
      <c r="AI18" s="17" t="n">
        <v>7.22</v>
      </c>
      <c r="AJ18" s="17" t="n">
        <v>54.52</v>
      </c>
      <c r="AK18" s="17" t="n">
        <v>13908.68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2026-07-11</t>
        </is>
      </c>
      <c r="B19" s="17" t="inlineStr">
        <is>
          <t>BANKNIFTY</t>
        </is>
      </c>
      <c r="C19" s="17" t="inlineStr">
        <is>
          <t>Smart Trend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Price↑(57252.45&gt;56742.6) &amp; EMA9↑(57598.41&gt;56962.19)</t>
        </is>
      </c>
      <c r="H19" s="17" t="n">
        <v>57598.41</v>
      </c>
      <c r="I19" s="17" t="n">
        <v>56962.19</v>
      </c>
      <c r="J19" s="17" t="inlineStr">
        <is>
          <t>2026-07-30</t>
        </is>
      </c>
      <c r="K19" s="17" t="inlineStr">
        <is>
          <t>MONTHLY</t>
        </is>
      </c>
      <c r="L19" s="17" t="n">
        <v>20</v>
      </c>
      <c r="M19" s="17" t="inlineStr">
        <is>
          <t>09:20 IST</t>
        </is>
      </c>
      <c r="N19" s="17" t="inlineStr">
        <is>
          <t>11:13 IST</t>
        </is>
      </c>
      <c r="O19" s="17" t="n">
        <v>57252.45</v>
      </c>
      <c r="P19" s="17" t="n">
        <v>56742.6</v>
      </c>
      <c r="Q19" s="17" t="inlineStr">
        <is>
          <t>57200 CE</t>
        </is>
      </c>
      <c r="R19" s="17" t="inlineStr">
        <is>
          <t>57400 CE</t>
        </is>
      </c>
      <c r="S19" s="17" t="n">
        <v>15</v>
      </c>
      <c r="T19" s="17" t="n">
        <v>30</v>
      </c>
      <c r="U19" s="17" t="n">
        <v>450</v>
      </c>
      <c r="V19" s="17" t="n">
        <v>102.94</v>
      </c>
      <c r="W19" s="17" t="n">
        <v>133.82</v>
      </c>
      <c r="X19" s="17" t="n">
        <v>46323</v>
      </c>
      <c r="Y19" s="17" t="n">
        <v>46377.49</v>
      </c>
      <c r="Z19" s="17" t="n">
        <v>43677</v>
      </c>
      <c r="AA19" s="17" t="n">
        <v>13896.9</v>
      </c>
      <c r="AB19" s="17" t="n">
        <v>13896.9</v>
      </c>
      <c r="AC19" s="17" t="n">
        <v>13896</v>
      </c>
      <c r="AD19" s="17" t="n">
        <v>30</v>
      </c>
      <c r="AE19" s="17" t="n">
        <v>40</v>
      </c>
      <c r="AF19" s="17" t="n">
        <v>5.79</v>
      </c>
      <c r="AG19" s="17" t="n">
        <v>0.09</v>
      </c>
      <c r="AH19" s="17" t="n">
        <v>1.39</v>
      </c>
      <c r="AI19" s="17" t="n">
        <v>7.22</v>
      </c>
      <c r="AJ19" s="17" t="n">
        <v>54.49</v>
      </c>
      <c r="AK19" s="17" t="n">
        <v>13841.51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6" t="inlineStr">
        <is>
          <t>2026-07-13</t>
        </is>
      </c>
      <c r="B20" s="16" t="inlineStr">
        <is>
          <t>BANKNIFTY</t>
        </is>
      </c>
      <c r="C20" s="16" t="inlineStr">
        <is>
          <t>Smart Trend</t>
        </is>
      </c>
      <c r="D20" s="16" t="inlineStr">
        <is>
          <t>Bull Call Spread</t>
        </is>
      </c>
      <c r="E20" s="16" t="inlineStr">
        <is>
          <t>SIMULATED</t>
        </is>
      </c>
      <c r="F20" s="16" t="inlineStr">
        <is>
          <t>BULLISH</t>
        </is>
      </c>
      <c r="G20" s="16" t="inlineStr">
        <is>
          <t>Price↑(58131.45&gt;58045.9) &amp; EMA9↑(57775.18&gt;57179.74)</t>
        </is>
      </c>
      <c r="H20" s="16" t="n">
        <v>57775.18</v>
      </c>
      <c r="I20" s="16" t="n">
        <v>57179.74</v>
      </c>
      <c r="J20" s="16" t="inlineStr">
        <is>
          <t>2026-07-30</t>
        </is>
      </c>
      <c r="K20" s="16" t="inlineStr">
        <is>
          <t>MONTHLY</t>
        </is>
      </c>
      <c r="L20" s="16" t="n">
        <v>17</v>
      </c>
      <c r="M20" s="16" t="inlineStr">
        <is>
          <t>09:20 IST</t>
        </is>
      </c>
      <c r="N20" s="16" t="inlineStr">
        <is>
          <t>13:39 IST</t>
        </is>
      </c>
      <c r="O20" s="16" t="n">
        <v>58131.45</v>
      </c>
      <c r="P20" s="16" t="n">
        <v>58045.9</v>
      </c>
      <c r="Q20" s="16" t="inlineStr">
        <is>
          <t>58000 CE</t>
        </is>
      </c>
      <c r="R20" s="16" t="inlineStr">
        <is>
          <t>58200 CE</t>
        </is>
      </c>
      <c r="S20" s="16" t="n">
        <v>17</v>
      </c>
      <c r="T20" s="16" t="n">
        <v>30</v>
      </c>
      <c r="U20" s="16" t="n">
        <v>510</v>
      </c>
      <c r="V20" s="16" t="n">
        <v>93.56999999999999</v>
      </c>
      <c r="W20" s="16" t="n">
        <v>89</v>
      </c>
      <c r="X20" s="16" t="n">
        <v>47720.7</v>
      </c>
      <c r="Y20" s="16" t="n">
        <v>47775.41</v>
      </c>
      <c r="Z20" s="16" t="n">
        <v>54279.3</v>
      </c>
      <c r="AA20" s="16" t="n">
        <v>14316.21</v>
      </c>
      <c r="AB20" s="16" t="n">
        <v>14316.21</v>
      </c>
      <c r="AC20" s="16" t="n">
        <v>-2330.7</v>
      </c>
      <c r="AD20" s="16" t="n">
        <v>-4.9</v>
      </c>
      <c r="AE20" s="16" t="n">
        <v>40</v>
      </c>
      <c r="AF20" s="16" t="n">
        <v>5.97</v>
      </c>
      <c r="AG20" s="16" t="n">
        <v>0.1</v>
      </c>
      <c r="AH20" s="16" t="n">
        <v>1.43</v>
      </c>
      <c r="AI20" s="16" t="n">
        <v>7.22</v>
      </c>
      <c r="AJ20" s="16" t="n">
        <v>54.71</v>
      </c>
      <c r="AK20" s="16" t="n">
        <v>-2385.41</v>
      </c>
      <c r="AL20" s="16" t="inlineStr">
        <is>
          <t>FLAT</t>
        </is>
      </c>
      <c r="AM20" s="16" t="n">
        <v>50000</v>
      </c>
      <c r="AN20" s="16" t="inlineStr">
        <is>
          <t>PAPER TRADING</t>
        </is>
      </c>
    </row>
    <row r="21">
      <c r="A21" s="15" t="inlineStr">
        <is>
          <t>2026-07-14</t>
        </is>
      </c>
      <c r="B21" s="15" t="inlineStr">
        <is>
          <t>BANKNIFTY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Price↑(58045.9&gt;57252.45) &amp; EMA9↑(57686.12&gt;57084.57)</t>
        </is>
      </c>
      <c r="H21" s="15" t="n">
        <v>57686.12</v>
      </c>
      <c r="I21" s="15" t="n">
        <v>57084.57</v>
      </c>
      <c r="J21" s="15" t="inlineStr">
        <is>
          <t>2026-07-30</t>
        </is>
      </c>
      <c r="K21" s="15" t="inlineStr">
        <is>
          <t>MONTHLY</t>
        </is>
      </c>
      <c r="L21" s="15" t="n">
        <v>17</v>
      </c>
      <c r="M21" s="15" t="inlineStr">
        <is>
          <t>09:20 IST</t>
        </is>
      </c>
      <c r="N21" s="15" t="inlineStr">
        <is>
          <t>10:08 IST</t>
        </is>
      </c>
      <c r="O21" s="15" t="n">
        <v>58045.9</v>
      </c>
      <c r="P21" s="15" t="n">
        <v>57252.45</v>
      </c>
      <c r="Q21" s="15" t="inlineStr">
        <is>
          <t>58000 CE</t>
        </is>
      </c>
      <c r="R21" s="15" t="inlineStr">
        <is>
          <t>58200 CE</t>
        </is>
      </c>
      <c r="S21" s="15" t="n">
        <v>17</v>
      </c>
      <c r="T21" s="15" t="n">
        <v>30</v>
      </c>
      <c r="U21" s="15" t="n">
        <v>510</v>
      </c>
      <c r="V21" s="15" t="n">
        <v>95.81999999999999</v>
      </c>
      <c r="W21" s="15" t="n">
        <v>67.06999999999999</v>
      </c>
      <c r="X21" s="15" t="n">
        <v>48868.2</v>
      </c>
      <c r="Y21" s="15" t="n">
        <v>48923.09</v>
      </c>
      <c r="Z21" s="15" t="n">
        <v>53131.8</v>
      </c>
      <c r="AA21" s="15" t="n">
        <v>14660.46</v>
      </c>
      <c r="AB21" s="15" t="n">
        <v>14660.46</v>
      </c>
      <c r="AC21" s="15" t="n">
        <v>-14662.5</v>
      </c>
      <c r="AD21" s="15" t="n">
        <v>-30</v>
      </c>
      <c r="AE21" s="15" t="n">
        <v>40</v>
      </c>
      <c r="AF21" s="15" t="n">
        <v>6.11</v>
      </c>
      <c r="AG21" s="15" t="n">
        <v>0.1</v>
      </c>
      <c r="AH21" s="15" t="n">
        <v>1.47</v>
      </c>
      <c r="AI21" s="15" t="n">
        <v>7.22</v>
      </c>
      <c r="AJ21" s="15" t="n">
        <v>54.89</v>
      </c>
      <c r="AK21" s="15" t="n">
        <v>-14717.39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2026-07-17</t>
        </is>
      </c>
      <c r="B22" s="16" t="inlineStr">
        <is>
          <t>BANKNIFTY</t>
        </is>
      </c>
      <c r="C22" s="16" t="inlineStr">
        <is>
          <t>Smart Trend</t>
        </is>
      </c>
      <c r="D22" s="16" t="inlineStr">
        <is>
          <t>Bull Call Spread</t>
        </is>
      </c>
      <c r="E22" s="16" t="inlineStr">
        <is>
          <t>SIMULATED</t>
        </is>
      </c>
      <c r="F22" s="16" t="inlineStr">
        <is>
          <t>BULLISH</t>
        </is>
      </c>
      <c r="G22" s="16" t="inlineStr">
        <is>
          <t>Price↑(58085.9&gt;57582.25) &amp; EMA9↑(57770.23&gt;57460.96)</t>
        </is>
      </c>
      <c r="H22" s="16" t="n">
        <v>57770.23</v>
      </c>
      <c r="I22" s="16" t="n">
        <v>57460.96</v>
      </c>
      <c r="J22" s="16" t="inlineStr">
        <is>
          <t>2026-07-30</t>
        </is>
      </c>
      <c r="K22" s="16" t="inlineStr">
        <is>
          <t>MONTHLY</t>
        </is>
      </c>
      <c r="L22" s="16" t="n">
        <v>13</v>
      </c>
      <c r="M22" s="16" t="inlineStr">
        <is>
          <t>09:20 IST</t>
        </is>
      </c>
      <c r="N22" s="16" t="inlineStr">
        <is>
          <t>14:52 IST</t>
        </is>
      </c>
      <c r="O22" s="16" t="n">
        <v>58085.9</v>
      </c>
      <c r="P22" s="16" t="n">
        <v>57582.25</v>
      </c>
      <c r="Q22" s="16" t="inlineStr">
        <is>
          <t>58000 CE</t>
        </is>
      </c>
      <c r="R22" s="16" t="inlineStr">
        <is>
          <t>58200 CE</t>
        </is>
      </c>
      <c r="S22" s="16" t="n">
        <v>21</v>
      </c>
      <c r="T22" s="16" t="n">
        <v>30</v>
      </c>
      <c r="U22" s="16" t="n">
        <v>630</v>
      </c>
      <c r="V22" s="16" t="n">
        <v>77.33</v>
      </c>
      <c r="W22" s="16" t="n">
        <v>75.70999999999999</v>
      </c>
      <c r="X22" s="16" t="n">
        <v>48717.9</v>
      </c>
      <c r="Y22" s="16" t="n">
        <v>48772.77</v>
      </c>
      <c r="Z22" s="16" t="n">
        <v>77282.10000000001</v>
      </c>
      <c r="AA22" s="16" t="n">
        <v>14615.37</v>
      </c>
      <c r="AB22" s="16" t="n">
        <v>14615.37</v>
      </c>
      <c r="AC22" s="16" t="n">
        <v>-1020.6</v>
      </c>
      <c r="AD22" s="16" t="n">
        <v>-2.1</v>
      </c>
      <c r="AE22" s="16" t="n">
        <v>40</v>
      </c>
      <c r="AF22" s="16" t="n">
        <v>6.09</v>
      </c>
      <c r="AG22" s="16" t="n">
        <v>0.1</v>
      </c>
      <c r="AH22" s="16" t="n">
        <v>1.46</v>
      </c>
      <c r="AI22" s="16" t="n">
        <v>7.22</v>
      </c>
      <c r="AJ22" s="16" t="n">
        <v>54.87</v>
      </c>
      <c r="AK22" s="16" t="n">
        <v>-1075.47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2026-07-17</t>
        </is>
      </c>
      <c r="B23" s="17" t="inlineStr">
        <is>
          <t>BANKNIFTY</t>
        </is>
      </c>
      <c r="C23" s="17" t="inlineStr">
        <is>
          <t>Smart Trend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Price↑(58521.4&gt;57582.25) &amp; EMA9↑(57857.33&gt;57500.55)</t>
        </is>
      </c>
      <c r="H23" s="17" t="n">
        <v>57857.33</v>
      </c>
      <c r="I23" s="17" t="n">
        <v>57500.55</v>
      </c>
      <c r="J23" s="17" t="inlineStr">
        <is>
          <t>2026-07-30</t>
        </is>
      </c>
      <c r="K23" s="17" t="inlineStr">
        <is>
          <t>MONTHLY</t>
        </is>
      </c>
      <c r="L23" s="17" t="n">
        <v>13</v>
      </c>
      <c r="M23" s="17" t="inlineStr">
        <is>
          <t>09:20 IST</t>
        </is>
      </c>
      <c r="N23" s="17" t="inlineStr">
        <is>
          <t>10:26 IST</t>
        </is>
      </c>
      <c r="O23" s="17" t="n">
        <v>58521.4</v>
      </c>
      <c r="P23" s="17" t="n">
        <v>57582.25</v>
      </c>
      <c r="Q23" s="17" t="inlineStr">
        <is>
          <t>58400 CE</t>
        </is>
      </c>
      <c r="R23" s="17" t="inlineStr">
        <is>
          <t>58600 CE</t>
        </is>
      </c>
      <c r="S23" s="17" t="n">
        <v>18</v>
      </c>
      <c r="T23" s="17" t="n">
        <v>30</v>
      </c>
      <c r="U23" s="17" t="n">
        <v>540</v>
      </c>
      <c r="V23" s="17" t="n">
        <v>88.33</v>
      </c>
      <c r="W23" s="17" t="n">
        <v>114.83</v>
      </c>
      <c r="X23" s="17" t="n">
        <v>47698.2</v>
      </c>
      <c r="Y23" s="17" t="n">
        <v>47752.91</v>
      </c>
      <c r="Z23" s="17" t="n">
        <v>60301.8</v>
      </c>
      <c r="AA23" s="17" t="n">
        <v>14309.46</v>
      </c>
      <c r="AB23" s="17" t="n">
        <v>14309.46</v>
      </c>
      <c r="AC23" s="17" t="n">
        <v>14310</v>
      </c>
      <c r="AD23" s="17" t="n">
        <v>30</v>
      </c>
      <c r="AE23" s="17" t="n">
        <v>40</v>
      </c>
      <c r="AF23" s="17" t="n">
        <v>5.96</v>
      </c>
      <c r="AG23" s="17" t="n">
        <v>0.1</v>
      </c>
      <c r="AH23" s="17" t="n">
        <v>1.43</v>
      </c>
      <c r="AI23" s="17" t="n">
        <v>7.22</v>
      </c>
      <c r="AJ23" s="17" t="n">
        <v>54.71</v>
      </c>
      <c r="AK23" s="17" t="n">
        <v>14255.29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6" t="inlineStr">
        <is>
          <t>2026-07-23</t>
        </is>
      </c>
      <c r="B24" s="16" t="inlineStr">
        <is>
          <t>BANKNIFTY</t>
        </is>
      </c>
      <c r="C24" s="16" t="inlineStr">
        <is>
          <t>Smart Trend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BEARISH</t>
        </is>
      </c>
      <c r="G24" s="16" t="inlineStr">
        <is>
          <t>Price↓(56618.7&lt;57126.8) &amp; EMA9↓(57503.33&lt;57622.58)</t>
        </is>
      </c>
      <c r="H24" s="16" t="n">
        <v>57503.33</v>
      </c>
      <c r="I24" s="16" t="n">
        <v>57622.58</v>
      </c>
      <c r="J24" s="16" t="inlineStr">
        <is>
          <t>2026-07-30</t>
        </is>
      </c>
      <c r="K24" s="16" t="inlineStr">
        <is>
          <t>MONTHLY</t>
        </is>
      </c>
      <c r="L24" s="16" t="n">
        <v>7</v>
      </c>
      <c r="M24" s="16" t="inlineStr">
        <is>
          <t>09:20 IST</t>
        </is>
      </c>
      <c r="N24" s="16" t="inlineStr">
        <is>
          <t>14:23 IST</t>
        </is>
      </c>
      <c r="O24" s="16" t="n">
        <v>56618.7</v>
      </c>
      <c r="P24" s="16" t="n">
        <v>57126.8</v>
      </c>
      <c r="Q24" s="16" t="inlineStr">
        <is>
          <t>56800 PE</t>
        </is>
      </c>
      <c r="R24" s="16" t="inlineStr">
        <is>
          <t>56600 PE</t>
        </is>
      </c>
      <c r="S24" s="16" t="n">
        <v>20</v>
      </c>
      <c r="T24" s="16" t="n">
        <v>30</v>
      </c>
      <c r="U24" s="16" t="n">
        <v>600</v>
      </c>
      <c r="V24" s="16" t="n">
        <v>79.38</v>
      </c>
      <c r="W24" s="16" t="n">
        <v>80.91</v>
      </c>
      <c r="X24" s="16" t="n">
        <v>47628</v>
      </c>
      <c r="Y24" s="16" t="n">
        <v>47682.69</v>
      </c>
      <c r="Z24" s="16" t="n">
        <v>72372</v>
      </c>
      <c r="AA24" s="16" t="n">
        <v>14288.4</v>
      </c>
      <c r="AB24" s="16" t="n">
        <v>14288.4</v>
      </c>
      <c r="AC24" s="16" t="n">
        <v>918</v>
      </c>
      <c r="AD24" s="16" t="n">
        <v>1.9</v>
      </c>
      <c r="AE24" s="16" t="n">
        <v>40</v>
      </c>
      <c r="AF24" s="16" t="n">
        <v>5.95</v>
      </c>
      <c r="AG24" s="16" t="n">
        <v>0.1</v>
      </c>
      <c r="AH24" s="16" t="n">
        <v>1.43</v>
      </c>
      <c r="AI24" s="16" t="n">
        <v>7.22</v>
      </c>
      <c r="AJ24" s="16" t="n">
        <v>54.69</v>
      </c>
      <c r="AK24" s="16" t="n">
        <v>863.3099999999999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2026-07-23</t>
        </is>
      </c>
      <c r="B25" s="17" t="inlineStr">
        <is>
          <t>BANKNIFTY</t>
        </is>
      </c>
      <c r="C25" s="17" t="inlineStr">
        <is>
          <t>Smart Trend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BEARISH</t>
        </is>
      </c>
      <c r="G25" s="17" t="inlineStr">
        <is>
          <t>Price↓(56592.0&lt;57126.8) &amp; EMA9↓(57498.0&lt;57620.15)</t>
        </is>
      </c>
      <c r="H25" s="17" t="n">
        <v>57498</v>
      </c>
      <c r="I25" s="17" t="n">
        <v>57620.15</v>
      </c>
      <c r="J25" s="17" t="inlineStr">
        <is>
          <t>2026-07-30</t>
        </is>
      </c>
      <c r="K25" s="17" t="inlineStr">
        <is>
          <t>MONTHLY</t>
        </is>
      </c>
      <c r="L25" s="17" t="n">
        <v>7</v>
      </c>
      <c r="M25" s="17" t="inlineStr">
        <is>
          <t>09:20 IST</t>
        </is>
      </c>
      <c r="N25" s="17" t="inlineStr">
        <is>
          <t>10:00 IST</t>
        </is>
      </c>
      <c r="O25" s="17" t="n">
        <v>56592</v>
      </c>
      <c r="P25" s="17" t="n">
        <v>57126.8</v>
      </c>
      <c r="Q25" s="17" t="inlineStr">
        <is>
          <t>56600 PE</t>
        </is>
      </c>
      <c r="R25" s="17" t="inlineStr">
        <is>
          <t>56400 PE</t>
        </is>
      </c>
      <c r="S25" s="17" t="n">
        <v>28</v>
      </c>
      <c r="T25" s="17" t="n">
        <v>30</v>
      </c>
      <c r="U25" s="17" t="n">
        <v>840</v>
      </c>
      <c r="V25" s="17" t="n">
        <v>57.53</v>
      </c>
      <c r="W25" s="17" t="n">
        <v>74.79000000000001</v>
      </c>
      <c r="X25" s="17" t="n">
        <v>48325.2</v>
      </c>
      <c r="Y25" s="17" t="n">
        <v>48380</v>
      </c>
      <c r="Z25" s="17" t="n">
        <v>119674.8</v>
      </c>
      <c r="AA25" s="17" t="n">
        <v>14497.56</v>
      </c>
      <c r="AB25" s="17" t="n">
        <v>14497.56</v>
      </c>
      <c r="AC25" s="17" t="n">
        <v>14498.4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14443.6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2026-07-24</t>
        </is>
      </c>
      <c r="B26" s="17" t="inlineStr">
        <is>
          <t>BANKNIFTY</t>
        </is>
      </c>
      <c r="C26" s="17" t="inlineStr">
        <is>
          <t>Smart Trend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BEARISH</t>
        </is>
      </c>
      <c r="G26" s="17" t="inlineStr">
        <is>
          <t>Price↓(56220.4&lt;56592.0) &amp; EMA9↓(57242.74&lt;57517.83)</t>
        </is>
      </c>
      <c r="H26" s="17" t="n">
        <v>57242.74</v>
      </c>
      <c r="I26" s="17" t="n">
        <v>57517.83</v>
      </c>
      <c r="J26" s="17" t="inlineStr">
        <is>
          <t>2026-07-30</t>
        </is>
      </c>
      <c r="K26" s="17" t="inlineStr">
        <is>
          <t>MONTHLY</t>
        </is>
      </c>
      <c r="L26" s="17" t="n">
        <v>6</v>
      </c>
      <c r="M26" s="17" t="inlineStr">
        <is>
          <t>09:20 IST</t>
        </is>
      </c>
      <c r="N26" s="17" t="inlineStr">
        <is>
          <t>10:17 IST</t>
        </is>
      </c>
      <c r="O26" s="17" t="n">
        <v>56220.4</v>
      </c>
      <c r="P26" s="17" t="n">
        <v>56592</v>
      </c>
      <c r="Q26" s="17" t="inlineStr">
        <is>
          <t>56400 PE</t>
        </is>
      </c>
      <c r="R26" s="17" t="inlineStr">
        <is>
          <t>56200 PE</t>
        </is>
      </c>
      <c r="S26" s="17" t="n">
        <v>28</v>
      </c>
      <c r="T26" s="17" t="n">
        <v>30</v>
      </c>
      <c r="U26" s="17" t="n">
        <v>840</v>
      </c>
      <c r="V26" s="17" t="n">
        <v>56.4</v>
      </c>
      <c r="W26" s="17" t="n">
        <v>73.31999999999999</v>
      </c>
      <c r="X26" s="17" t="n">
        <v>47376</v>
      </c>
      <c r="Y26" s="17" t="n">
        <v>47430.66</v>
      </c>
      <c r="Z26" s="17" t="n">
        <v>120624</v>
      </c>
      <c r="AA26" s="17" t="n">
        <v>14212.8</v>
      </c>
      <c r="AB26" s="17" t="n">
        <v>14212.8</v>
      </c>
      <c r="AC26" s="17" t="n">
        <v>14212.8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14158.14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2026-07-28</t>
        </is>
      </c>
      <c r="B27" s="17" t="inlineStr">
        <is>
          <t>BANKNIFTY</t>
        </is>
      </c>
      <c r="C27" s="17" t="inlineStr">
        <is>
          <t>Smart Trend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BEARISH</t>
        </is>
      </c>
      <c r="G27" s="17" t="inlineStr">
        <is>
          <t>Price↓(57016.0&lt;57087.2) &amp; EMA9↓(57337.64&lt;57571.24)</t>
        </is>
      </c>
      <c r="H27" s="17" t="n">
        <v>57337.64</v>
      </c>
      <c r="I27" s="17" t="n">
        <v>57571.24</v>
      </c>
      <c r="J27" s="17" t="inlineStr">
        <is>
          <t>2026-07-30</t>
        </is>
      </c>
      <c r="K27" s="17" t="inlineStr">
        <is>
          <t>MONTHLY</t>
        </is>
      </c>
      <c r="L27" s="17" t="n">
        <v>2</v>
      </c>
      <c r="M27" s="17" t="inlineStr">
        <is>
          <t>09:20 IST</t>
        </is>
      </c>
      <c r="N27" s="17" t="inlineStr">
        <is>
          <t>10:51 IST</t>
        </is>
      </c>
      <c r="O27" s="17" t="n">
        <v>57016</v>
      </c>
      <c r="P27" s="17" t="n">
        <v>57087.2</v>
      </c>
      <c r="Q27" s="17" t="inlineStr">
        <is>
          <t>57200 PE</t>
        </is>
      </c>
      <c r="R27" s="17" t="inlineStr">
        <is>
          <t>57000 PE</t>
        </is>
      </c>
      <c r="S27" s="17" t="n">
        <v>34</v>
      </c>
      <c r="T27" s="17" t="n">
        <v>30</v>
      </c>
      <c r="U27" s="17" t="n">
        <v>1020</v>
      </c>
      <c r="V27" s="17" t="n">
        <v>46.53</v>
      </c>
      <c r="W27" s="17" t="n">
        <v>60.49</v>
      </c>
      <c r="X27" s="17" t="n">
        <v>47460.6</v>
      </c>
      <c r="Y27" s="17" t="n">
        <v>47515.27</v>
      </c>
      <c r="Z27" s="17" t="n">
        <v>156539.4</v>
      </c>
      <c r="AA27" s="17" t="n">
        <v>14238.18</v>
      </c>
      <c r="AB27" s="17" t="n">
        <v>14238.18</v>
      </c>
      <c r="AC27" s="17" t="n">
        <v>14239.2</v>
      </c>
      <c r="AD27" s="17" t="n">
        <v>30</v>
      </c>
      <c r="AE27" s="17" t="n">
        <v>40</v>
      </c>
      <c r="AF27" s="17" t="n">
        <v>5.93</v>
      </c>
      <c r="AG27" s="17" t="n">
        <v>0.09</v>
      </c>
      <c r="AH27" s="17" t="n">
        <v>1.42</v>
      </c>
      <c r="AI27" s="17" t="n">
        <v>7.22</v>
      </c>
      <c r="AJ27" s="17" t="n">
        <v>54.67</v>
      </c>
      <c r="AK27" s="17" t="n">
        <v>14184.53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2026-07-28</t>
        </is>
      </c>
      <c r="B28" s="17" t="inlineStr">
        <is>
          <t>BANKNIFTY</t>
        </is>
      </c>
      <c r="C28" s="17" t="inlineStr">
        <is>
          <t>Smart Trend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BEARISH</t>
        </is>
      </c>
      <c r="G28" s="17" t="inlineStr">
        <is>
          <t>Price↓(56755.6&lt;57087.2) &amp; EMA9↓(57182.23&lt;57473.39)</t>
        </is>
      </c>
      <c r="H28" s="17" t="n">
        <v>57182.23</v>
      </c>
      <c r="I28" s="17" t="n">
        <v>57473.39</v>
      </c>
      <c r="J28" s="17" t="inlineStr">
        <is>
          <t>2026-07-30</t>
        </is>
      </c>
      <c r="K28" s="17" t="inlineStr">
        <is>
          <t>MONTHLY</t>
        </is>
      </c>
      <c r="L28" s="17" t="n">
        <v>2</v>
      </c>
      <c r="M28" s="17" t="inlineStr">
        <is>
          <t>09:20 IST</t>
        </is>
      </c>
      <c r="N28" s="17" t="inlineStr">
        <is>
          <t>10:58 IST</t>
        </is>
      </c>
      <c r="O28" s="17" t="n">
        <v>56755.6</v>
      </c>
      <c r="P28" s="17" t="n">
        <v>57087.2</v>
      </c>
      <c r="Q28" s="17" t="inlineStr">
        <is>
          <t>56800 PE</t>
        </is>
      </c>
      <c r="R28" s="17" t="inlineStr">
        <is>
          <t>56600 PE</t>
        </is>
      </c>
      <c r="S28" s="17" t="n">
        <v>39</v>
      </c>
      <c r="T28" s="17" t="n">
        <v>30</v>
      </c>
      <c r="U28" s="17" t="n">
        <v>1170</v>
      </c>
      <c r="V28" s="17" t="n">
        <v>40.89</v>
      </c>
      <c r="W28" s="17" t="n">
        <v>53.16</v>
      </c>
      <c r="X28" s="17" t="n">
        <v>47841.3</v>
      </c>
      <c r="Y28" s="17" t="n">
        <v>47896.03</v>
      </c>
      <c r="Z28" s="17" t="n">
        <v>186158.7</v>
      </c>
      <c r="AA28" s="17" t="n">
        <v>14352.39</v>
      </c>
      <c r="AB28" s="17" t="n">
        <v>14352.39</v>
      </c>
      <c r="AC28" s="17" t="n">
        <v>14355.9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1.44</v>
      </c>
      <c r="AI28" s="17" t="n">
        <v>7.22</v>
      </c>
      <c r="AJ28" s="17" t="n">
        <v>54.73</v>
      </c>
      <c r="AK28" s="17" t="n">
        <v>14301.17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2026-07-30</t>
        </is>
      </c>
      <c r="B29" s="17" t="inlineStr">
        <is>
          <t>BANKNIFTY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Price↓(56904.45&lt;57205.9) &amp; EMA9↓(57130.04&lt;57384.53)</t>
        </is>
      </c>
      <c r="H29" s="17" t="n">
        <v>57130.04</v>
      </c>
      <c r="I29" s="17" t="n">
        <v>57384.53</v>
      </c>
      <c r="J29" s="17" t="inlineStr">
        <is>
          <t>2026-07-30</t>
        </is>
      </c>
      <c r="K29" s="17" t="inlineStr">
        <is>
          <t>MONTHLY</t>
        </is>
      </c>
      <c r="L29" s="17" t="n">
        <v>0</v>
      </c>
      <c r="M29" s="17" t="inlineStr">
        <is>
          <t>09:20 IST</t>
        </is>
      </c>
      <c r="N29" s="17" t="inlineStr">
        <is>
          <t>10:23 IST</t>
        </is>
      </c>
      <c r="O29" s="17" t="n">
        <v>56904.45</v>
      </c>
      <c r="P29" s="17" t="n">
        <v>57205.9</v>
      </c>
      <c r="Q29" s="17" t="inlineStr">
        <is>
          <t>57000 PE</t>
        </is>
      </c>
      <c r="R29" s="17" t="inlineStr">
        <is>
          <t>56800 PE</t>
        </is>
      </c>
      <c r="S29" s="17" t="n">
        <v>42</v>
      </c>
      <c r="T29" s="17" t="n">
        <v>30</v>
      </c>
      <c r="U29" s="17" t="n">
        <v>1260</v>
      </c>
      <c r="V29" s="17" t="n">
        <v>38.2</v>
      </c>
      <c r="W29" s="17" t="n">
        <v>49.66</v>
      </c>
      <c r="X29" s="17" t="n">
        <v>48132</v>
      </c>
      <c r="Y29" s="17" t="n">
        <v>48186.77</v>
      </c>
      <c r="Z29" s="17" t="n">
        <v>203868</v>
      </c>
      <c r="AA29" s="17" t="n">
        <v>14439.6</v>
      </c>
      <c r="AB29" s="17" t="n">
        <v>14439.6</v>
      </c>
      <c r="AC29" s="17" t="n">
        <v>14439.6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1.44</v>
      </c>
      <c r="AI29" s="17" t="n">
        <v>7.22</v>
      </c>
      <c r="AJ29" s="17" t="n">
        <v>54.77</v>
      </c>
      <c r="AK29" s="17" t="n">
        <v>14384.83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2026-07-30</t>
        </is>
      </c>
      <c r="B30" s="17" t="inlineStr">
        <is>
          <t>BANKNIFTY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Price↓(57147.5&lt;57205.9) &amp; EMA9↓(57178.65&lt;57406.62)</t>
        </is>
      </c>
      <c r="H30" s="17" t="n">
        <v>57178.65</v>
      </c>
      <c r="I30" s="17" t="n">
        <v>57406.62</v>
      </c>
      <c r="J30" s="17" t="inlineStr">
        <is>
          <t>2026-07-30</t>
        </is>
      </c>
      <c r="K30" s="17" t="inlineStr">
        <is>
          <t>MONTHLY</t>
        </is>
      </c>
      <c r="L30" s="17" t="n">
        <v>0</v>
      </c>
      <c r="M30" s="17" t="inlineStr">
        <is>
          <t>09:20 IST</t>
        </is>
      </c>
      <c r="N30" s="17" t="inlineStr">
        <is>
          <t>10:36 IST</t>
        </is>
      </c>
      <c r="O30" s="17" t="n">
        <v>57147.5</v>
      </c>
      <c r="P30" s="17" t="n">
        <v>57205.9</v>
      </c>
      <c r="Q30" s="17" t="inlineStr">
        <is>
          <t>57200 PE</t>
        </is>
      </c>
      <c r="R30" s="17" t="inlineStr">
        <is>
          <t>57000 PE</t>
        </is>
      </c>
      <c r="S30" s="17" t="n">
        <v>40</v>
      </c>
      <c r="T30" s="17" t="n">
        <v>30</v>
      </c>
      <c r="U30" s="17" t="n">
        <v>1200</v>
      </c>
      <c r="V30" s="17" t="n">
        <v>40.14</v>
      </c>
      <c r="W30" s="17" t="n">
        <v>52.18</v>
      </c>
      <c r="X30" s="17" t="n">
        <v>48168</v>
      </c>
      <c r="Y30" s="17" t="n">
        <v>48222.78</v>
      </c>
      <c r="Z30" s="17" t="n">
        <v>191832</v>
      </c>
      <c r="AA30" s="17" t="n">
        <v>14450.4</v>
      </c>
      <c r="AB30" s="17" t="n">
        <v>14450.4</v>
      </c>
      <c r="AC30" s="17" t="n">
        <v>14448</v>
      </c>
      <c r="AD30" s="17" t="n">
        <v>30</v>
      </c>
      <c r="AE30" s="17" t="n">
        <v>40</v>
      </c>
      <c r="AF30" s="17" t="n">
        <v>6.02</v>
      </c>
      <c r="AG30" s="17" t="n">
        <v>0.1</v>
      </c>
      <c r="AH30" s="17" t="n">
        <v>1.45</v>
      </c>
      <c r="AI30" s="17" t="n">
        <v>7.22</v>
      </c>
      <c r="AJ30" s="17" t="n">
        <v>54.78</v>
      </c>
      <c r="AK30" s="17" t="n">
        <v>14393.22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2026-08-04</t>
        </is>
      </c>
      <c r="B31" s="17" t="inlineStr">
        <is>
          <t>BANKNIFTY</t>
        </is>
      </c>
      <c r="C31" s="17" t="inlineStr">
        <is>
          <t>Smart Trend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BEARISH</t>
        </is>
      </c>
      <c r="G31" s="17" t="inlineStr">
        <is>
          <t>Price↓(57907.2&lt;58247.95) &amp; EMA9↓(57506.7&lt;57562.15)</t>
        </is>
      </c>
      <c r="H31" s="17" t="n">
        <v>57506.7</v>
      </c>
      <c r="I31" s="17" t="n">
        <v>57562.15</v>
      </c>
      <c r="J31" s="17" t="inlineStr">
        <is>
          <t>2026-08-27</t>
        </is>
      </c>
      <c r="K31" s="17" t="inlineStr">
        <is>
          <t>MONTHLY</t>
        </is>
      </c>
      <c r="L31" s="17" t="n">
        <v>23</v>
      </c>
      <c r="M31" s="17" t="inlineStr">
        <is>
          <t>09:20 IST</t>
        </is>
      </c>
      <c r="N31" s="17" t="inlineStr">
        <is>
          <t>11:05 IST</t>
        </is>
      </c>
      <c r="O31" s="17" t="n">
        <v>57907.2</v>
      </c>
      <c r="P31" s="17" t="n">
        <v>58247.95</v>
      </c>
      <c r="Q31" s="17" t="inlineStr">
        <is>
          <t>58000 PE</t>
        </is>
      </c>
      <c r="R31" s="17" t="inlineStr">
        <is>
          <t>57800 PE</t>
        </is>
      </c>
      <c r="S31" s="17" t="n">
        <v>17</v>
      </c>
      <c r="T31" s="17" t="n">
        <v>30</v>
      </c>
      <c r="U31" s="17" t="n">
        <v>510</v>
      </c>
      <c r="V31" s="17" t="n">
        <v>94.92</v>
      </c>
      <c r="W31" s="17" t="n">
        <v>123.4</v>
      </c>
      <c r="X31" s="17" t="n">
        <v>48409.2</v>
      </c>
      <c r="Y31" s="17" t="n">
        <v>48464.02</v>
      </c>
      <c r="Z31" s="17" t="n">
        <v>53590.8</v>
      </c>
      <c r="AA31" s="17" t="n">
        <v>14522.76</v>
      </c>
      <c r="AB31" s="17" t="n">
        <v>14522.76</v>
      </c>
      <c r="AC31" s="17" t="n">
        <v>14524.8</v>
      </c>
      <c r="AD31" s="17" t="n">
        <v>30</v>
      </c>
      <c r="AE31" s="17" t="n">
        <v>40</v>
      </c>
      <c r="AF31" s="17" t="n">
        <v>6.05</v>
      </c>
      <c r="AG31" s="17" t="n">
        <v>0.1</v>
      </c>
      <c r="AH31" s="17" t="n">
        <v>1.45</v>
      </c>
      <c r="AI31" s="17" t="n">
        <v>7.22</v>
      </c>
      <c r="AJ31" s="17" t="n">
        <v>54.82</v>
      </c>
      <c r="AK31" s="17" t="n">
        <v>14469.98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2026-08-05</t>
        </is>
      </c>
      <c r="B32" s="15" t="inlineStr">
        <is>
          <t>BANKNIFTY</t>
        </is>
      </c>
      <c r="C32" s="15" t="inlineStr">
        <is>
          <t>Smart Trend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BEARISH</t>
        </is>
      </c>
      <c r="G32" s="15" t="inlineStr">
        <is>
          <t>Price↓(57716.45&lt;57907.2) &amp; EMA9↓(57549.77&lt;57589.3)</t>
        </is>
      </c>
      <c r="H32" s="15" t="n">
        <v>57549.77</v>
      </c>
      <c r="I32" s="15" t="n">
        <v>57589.3</v>
      </c>
      <c r="J32" s="15" t="inlineStr">
        <is>
          <t>2026-08-27</t>
        </is>
      </c>
      <c r="K32" s="15" t="inlineStr">
        <is>
          <t>MONTHLY</t>
        </is>
      </c>
      <c r="L32" s="15" t="n">
        <v>22</v>
      </c>
      <c r="M32" s="15" t="inlineStr">
        <is>
          <t>09:20 IST</t>
        </is>
      </c>
      <c r="N32" s="15" t="inlineStr">
        <is>
          <t>11:03 IST</t>
        </is>
      </c>
      <c r="O32" s="15" t="n">
        <v>57716.45</v>
      </c>
      <c r="P32" s="15" t="n">
        <v>57907.2</v>
      </c>
      <c r="Q32" s="15" t="inlineStr">
        <is>
          <t>57800 PE</t>
        </is>
      </c>
      <c r="R32" s="15" t="inlineStr">
        <is>
          <t>57600 PE</t>
        </is>
      </c>
      <c r="S32" s="15" t="n">
        <v>16</v>
      </c>
      <c r="T32" s="15" t="n">
        <v>30</v>
      </c>
      <c r="U32" s="15" t="n">
        <v>480</v>
      </c>
      <c r="V32" s="15" t="n">
        <v>102.48</v>
      </c>
      <c r="W32" s="15" t="n">
        <v>71.73999999999999</v>
      </c>
      <c r="X32" s="15" t="n">
        <v>49190.4</v>
      </c>
      <c r="Y32" s="15" t="n">
        <v>49245.34</v>
      </c>
      <c r="Z32" s="15" t="n">
        <v>46809.6</v>
      </c>
      <c r="AA32" s="15" t="n">
        <v>14757.12</v>
      </c>
      <c r="AB32" s="15" t="n">
        <v>14757.12</v>
      </c>
      <c r="AC32" s="15" t="n">
        <v>-14755.2</v>
      </c>
      <c r="AD32" s="15" t="n">
        <v>-30</v>
      </c>
      <c r="AE32" s="15" t="n">
        <v>40</v>
      </c>
      <c r="AF32" s="15" t="n">
        <v>6.15</v>
      </c>
      <c r="AG32" s="15" t="n">
        <v>0.1</v>
      </c>
      <c r="AH32" s="15" t="n">
        <v>1.48</v>
      </c>
      <c r="AI32" s="15" t="n">
        <v>7.22</v>
      </c>
      <c r="AJ32" s="15" t="n">
        <v>54.94</v>
      </c>
      <c r="AK32" s="15" t="n">
        <v>-14810.14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2026-08-05</t>
        </is>
      </c>
      <c r="B33" s="17" t="inlineStr">
        <is>
          <t>BANKNIFTY</t>
        </is>
      </c>
      <c r="C33" s="17" t="inlineStr">
        <is>
          <t>Smart Trend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BEARISH</t>
        </is>
      </c>
      <c r="G33" s="17" t="inlineStr">
        <is>
          <t>Price↓(57739.95&lt;57907.2) &amp; EMA9↓(57554.47&lt;57591.44)</t>
        </is>
      </c>
      <c r="H33" s="17" t="n">
        <v>57554.47</v>
      </c>
      <c r="I33" s="17" t="n">
        <v>57591.44</v>
      </c>
      <c r="J33" s="17" t="inlineStr">
        <is>
          <t>2026-08-27</t>
        </is>
      </c>
      <c r="K33" s="17" t="inlineStr">
        <is>
          <t>MONTHLY</t>
        </is>
      </c>
      <c r="L33" s="17" t="n">
        <v>22</v>
      </c>
      <c r="M33" s="17" t="inlineStr">
        <is>
          <t>09:20 IST</t>
        </is>
      </c>
      <c r="N33" s="17" t="inlineStr">
        <is>
          <t>09:48 IST</t>
        </is>
      </c>
      <c r="O33" s="17" t="n">
        <v>57739.95</v>
      </c>
      <c r="P33" s="17" t="n">
        <v>57907.2</v>
      </c>
      <c r="Q33" s="17" t="inlineStr">
        <is>
          <t>57800 PE</t>
        </is>
      </c>
      <c r="R33" s="17" t="inlineStr">
        <is>
          <t>57600 PE</t>
        </is>
      </c>
      <c r="S33" s="17" t="n">
        <v>20</v>
      </c>
      <c r="T33" s="17" t="n">
        <v>30</v>
      </c>
      <c r="U33" s="17" t="n">
        <v>600</v>
      </c>
      <c r="V33" s="17" t="n">
        <v>80.91</v>
      </c>
      <c r="W33" s="17" t="n">
        <v>105.18</v>
      </c>
      <c r="X33" s="17" t="n">
        <v>48546</v>
      </c>
      <c r="Y33" s="17" t="n">
        <v>48600.84</v>
      </c>
      <c r="Z33" s="17" t="n">
        <v>71454</v>
      </c>
      <c r="AA33" s="17" t="n">
        <v>14563.8</v>
      </c>
      <c r="AB33" s="17" t="n">
        <v>14563.8</v>
      </c>
      <c r="AC33" s="17" t="n">
        <v>14562</v>
      </c>
      <c r="AD33" s="17" t="n">
        <v>30</v>
      </c>
      <c r="AE33" s="17" t="n">
        <v>40</v>
      </c>
      <c r="AF33" s="17" t="n">
        <v>6.07</v>
      </c>
      <c r="AG33" s="17" t="n">
        <v>0.1</v>
      </c>
      <c r="AH33" s="17" t="n">
        <v>1.46</v>
      </c>
      <c r="AI33" s="17" t="n">
        <v>7.22</v>
      </c>
      <c r="AJ33" s="17" t="n">
        <v>54.84</v>
      </c>
      <c r="AK33" s="17" t="n">
        <v>14507.16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5" t="inlineStr">
        <is>
          <t>2026-08-11</t>
        </is>
      </c>
      <c r="B34" s="15" t="inlineStr">
        <is>
          <t>BANKNIFTY</t>
        </is>
      </c>
      <c r="C34" s="15" t="inlineStr">
        <is>
          <t>Smart Trend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BEARISH</t>
        </is>
      </c>
      <c r="G34" s="15" t="inlineStr">
        <is>
          <t>Price↓(57194.1&lt;57686.95) &amp; EMA9↓(57580.2&lt;57630.0)</t>
        </is>
      </c>
      <c r="H34" s="15" t="n">
        <v>57580.2</v>
      </c>
      <c r="I34" s="15" t="n">
        <v>57630</v>
      </c>
      <c r="J34" s="15" t="inlineStr">
        <is>
          <t>2026-08-27</t>
        </is>
      </c>
      <c r="K34" s="15" t="inlineStr">
        <is>
          <t>MONTHLY</t>
        </is>
      </c>
      <c r="L34" s="15" t="n">
        <v>16</v>
      </c>
      <c r="M34" s="15" t="inlineStr">
        <is>
          <t>09:20 IST</t>
        </is>
      </c>
      <c r="N34" s="15" t="inlineStr">
        <is>
          <t>11:16 IST</t>
        </is>
      </c>
      <c r="O34" s="15" t="n">
        <v>57194.1</v>
      </c>
      <c r="P34" s="15" t="n">
        <v>57686.95</v>
      </c>
      <c r="Q34" s="15" t="inlineStr">
        <is>
          <t>57200 PE</t>
        </is>
      </c>
      <c r="R34" s="15" t="inlineStr">
        <is>
          <t>57000 PE</t>
        </is>
      </c>
      <c r="S34" s="15" t="n">
        <v>17</v>
      </c>
      <c r="T34" s="15" t="n">
        <v>30</v>
      </c>
      <c r="U34" s="15" t="n">
        <v>510</v>
      </c>
      <c r="V34" s="15" t="n">
        <v>93.40000000000001</v>
      </c>
      <c r="W34" s="15" t="n">
        <v>65.38</v>
      </c>
      <c r="X34" s="15" t="n">
        <v>47634</v>
      </c>
      <c r="Y34" s="15" t="n">
        <v>47688.7</v>
      </c>
      <c r="Z34" s="15" t="n">
        <v>54366</v>
      </c>
      <c r="AA34" s="15" t="n">
        <v>14290.2</v>
      </c>
      <c r="AB34" s="15" t="n">
        <v>14290.2</v>
      </c>
      <c r="AC34" s="15" t="n">
        <v>-14290.2</v>
      </c>
      <c r="AD34" s="15" t="n">
        <v>-30</v>
      </c>
      <c r="AE34" s="15" t="n">
        <v>40</v>
      </c>
      <c r="AF34" s="15" t="n">
        <v>5.95</v>
      </c>
      <c r="AG34" s="15" t="n">
        <v>0.1</v>
      </c>
      <c r="AH34" s="15" t="n">
        <v>1.43</v>
      </c>
      <c r="AI34" s="15" t="n">
        <v>7.22</v>
      </c>
      <c r="AJ34" s="15" t="n">
        <v>54.7</v>
      </c>
      <c r="AK34" s="15" t="n">
        <v>-14344.9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2026-08-11</t>
        </is>
      </c>
      <c r="B35" s="16" t="inlineStr">
        <is>
          <t>BANKNIFTY</t>
        </is>
      </c>
      <c r="C35" s="16" t="inlineStr">
        <is>
          <t>Smart Trend</t>
        </is>
      </c>
      <c r="D35" s="16" t="inlineStr">
        <is>
          <t>Bear Put Spread</t>
        </is>
      </c>
      <c r="E35" s="16" t="inlineStr">
        <is>
          <t>SIMULATED</t>
        </is>
      </c>
      <c r="F35" s="16" t="inlineStr">
        <is>
          <t>BEARISH</t>
        </is>
      </c>
      <c r="G35" s="16" t="inlineStr">
        <is>
          <t>Price↓(57446.25&lt;57686.95) &amp; EMA9↓(57630.63&lt;57652.92)</t>
        </is>
      </c>
      <c r="H35" s="16" t="n">
        <v>57630.63</v>
      </c>
      <c r="I35" s="16" t="n">
        <v>57652.92</v>
      </c>
      <c r="J35" s="16" t="inlineStr">
        <is>
          <t>2026-08-27</t>
        </is>
      </c>
      <c r="K35" s="16" t="inlineStr">
        <is>
          <t>MONTHLY</t>
        </is>
      </c>
      <c r="L35" s="16" t="n">
        <v>16</v>
      </c>
      <c r="M35" s="16" t="inlineStr">
        <is>
          <t>09:20 IST</t>
        </is>
      </c>
      <c r="N35" s="16" t="inlineStr">
        <is>
          <t>13:22 IST</t>
        </is>
      </c>
      <c r="O35" s="16" t="n">
        <v>57446.25</v>
      </c>
      <c r="P35" s="16" t="n">
        <v>57686.95</v>
      </c>
      <c r="Q35" s="16" t="inlineStr">
        <is>
          <t>57600 PE</t>
        </is>
      </c>
      <c r="R35" s="16" t="inlineStr">
        <is>
          <t>57400 PE</t>
        </is>
      </c>
      <c r="S35" s="16" t="n">
        <v>19</v>
      </c>
      <c r="T35" s="16" t="n">
        <v>30</v>
      </c>
      <c r="U35" s="16" t="n">
        <v>570</v>
      </c>
      <c r="V35" s="16" t="n">
        <v>84.06</v>
      </c>
      <c r="W35" s="16" t="n">
        <v>87.7</v>
      </c>
      <c r="X35" s="16" t="n">
        <v>47914.2</v>
      </c>
      <c r="Y35" s="16" t="n">
        <v>47968.94</v>
      </c>
      <c r="Z35" s="16" t="n">
        <v>66085.8</v>
      </c>
      <c r="AA35" s="16" t="n">
        <v>14374.26</v>
      </c>
      <c r="AB35" s="16" t="n">
        <v>14374.26</v>
      </c>
      <c r="AC35" s="16" t="n">
        <v>2074.8</v>
      </c>
      <c r="AD35" s="16" t="n">
        <v>4.3</v>
      </c>
      <c r="AE35" s="16" t="n">
        <v>40</v>
      </c>
      <c r="AF35" s="16" t="n">
        <v>5.99</v>
      </c>
      <c r="AG35" s="16" t="n">
        <v>0.1</v>
      </c>
      <c r="AH35" s="16" t="n">
        <v>1.44</v>
      </c>
      <c r="AI35" s="16" t="n">
        <v>7.22</v>
      </c>
      <c r="AJ35" s="16" t="n">
        <v>54.74</v>
      </c>
      <c r="AK35" s="16" t="n">
        <v>2020.06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2026-08-12</t>
        </is>
      </c>
      <c r="B36" s="17" t="inlineStr">
        <is>
          <t>BANKNIFTY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Price↑(57885.85&gt;57446.25) &amp; EMA9↑(57681.81&gt;57672.99)</t>
        </is>
      </c>
      <c r="H36" s="17" t="n">
        <v>57681.81</v>
      </c>
      <c r="I36" s="17" t="n">
        <v>57672.99</v>
      </c>
      <c r="J36" s="17" t="inlineStr">
        <is>
          <t>2026-08-27</t>
        </is>
      </c>
      <c r="K36" s="17" t="inlineStr">
        <is>
          <t>MONTHLY</t>
        </is>
      </c>
      <c r="L36" s="17" t="n">
        <v>15</v>
      </c>
      <c r="M36" s="17" t="inlineStr">
        <is>
          <t>09:20 IST</t>
        </is>
      </c>
      <c r="N36" s="17" t="inlineStr">
        <is>
          <t>10:38 IST</t>
        </is>
      </c>
      <c r="O36" s="17" t="n">
        <v>57885.85</v>
      </c>
      <c r="P36" s="17" t="n">
        <v>57446.25</v>
      </c>
      <c r="Q36" s="17" t="inlineStr">
        <is>
          <t>57800 CE</t>
        </is>
      </c>
      <c r="R36" s="17" t="inlineStr">
        <is>
          <t>58000 CE</t>
        </is>
      </c>
      <c r="S36" s="17" t="n">
        <v>16</v>
      </c>
      <c r="T36" s="17" t="n">
        <v>30</v>
      </c>
      <c r="U36" s="17" t="n">
        <v>480</v>
      </c>
      <c r="V36" s="17" t="n">
        <v>97.59</v>
      </c>
      <c r="W36" s="17" t="n">
        <v>126.87</v>
      </c>
      <c r="X36" s="17" t="n">
        <v>46843.2</v>
      </c>
      <c r="Y36" s="17" t="n">
        <v>46897.77</v>
      </c>
      <c r="Z36" s="17" t="n">
        <v>49156.8</v>
      </c>
      <c r="AA36" s="17" t="n">
        <v>14052.96</v>
      </c>
      <c r="AB36" s="17" t="n">
        <v>14052.96</v>
      </c>
      <c r="AC36" s="17" t="n">
        <v>14054.4</v>
      </c>
      <c r="AD36" s="17" t="n">
        <v>30</v>
      </c>
      <c r="AE36" s="17" t="n">
        <v>40</v>
      </c>
      <c r="AF36" s="17" t="n">
        <v>5.86</v>
      </c>
      <c r="AG36" s="17" t="n">
        <v>0.09</v>
      </c>
      <c r="AH36" s="17" t="n">
        <v>1.41</v>
      </c>
      <c r="AI36" s="17" t="n">
        <v>7.22</v>
      </c>
      <c r="AJ36" s="17" t="n">
        <v>54.57</v>
      </c>
      <c r="AK36" s="17" t="n">
        <v>13999.83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8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45" customWidth="1" min="4" max="4"/>
    <col width="10" customWidth="1" min="5" max="5"/>
    <col width="10" customWidth="1" min="6" max="6"/>
    <col width="25" customWidth="1" min="7" max="7"/>
  </cols>
  <sheetData>
    <row r="1" ht="28" customHeight="1">
      <c r="A1" s="1" t="inlineStr">
        <is>
          <t>Skipped Days — Smart Strategy Conflicting Signals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Trend</t>
        </is>
      </c>
      <c r="D2" s="2" t="inlineStr">
        <is>
          <t>Reason</t>
        </is>
      </c>
      <c r="E2" s="2" t="inlineStr">
        <is>
          <t>EMA9</t>
        </is>
      </c>
      <c r="F2" s="2" t="inlineStr">
        <is>
          <t>EMA21</t>
        </is>
      </c>
      <c r="G2" s="2" t="inlineStr">
        <is>
          <t>Action</t>
        </is>
      </c>
    </row>
    <row r="3">
      <c r="A3" s="18" t="inlineStr">
        <is>
          <t>2026-06-16</t>
        </is>
      </c>
      <c r="B3" s="18" t="inlineStr">
        <is>
          <t>NIFTY</t>
        </is>
      </c>
      <c r="C3" s="18" t="inlineStr">
        <is>
          <t>SKIP</t>
        </is>
      </c>
      <c r="D3" s="18" t="inlineStr">
        <is>
          <t>Conflicting — Price:BULLISH EMA:BEARISH</t>
        </is>
      </c>
      <c r="E3" s="18" t="n">
        <v>23385.72</v>
      </c>
      <c r="F3" s="18" t="n">
        <v>23538</v>
      </c>
      <c r="G3" s="18" t="inlineStr">
        <is>
          <t>NO TRADE — Conflicting signals</t>
        </is>
      </c>
    </row>
    <row r="4">
      <c r="A4" s="18" t="inlineStr">
        <is>
          <t>2026-06-19</t>
        </is>
      </c>
      <c r="B4" s="18" t="inlineStr">
        <is>
          <t>NIFTY</t>
        </is>
      </c>
      <c r="C4" s="18" t="inlineStr">
        <is>
          <t>SKIP</t>
        </is>
      </c>
      <c r="D4" s="18" t="inlineStr">
        <is>
          <t>Conflicting — Price:BEARISH EMA:BULLISH</t>
        </is>
      </c>
      <c r="E4" s="18" t="n">
        <v>23824.67</v>
      </c>
      <c r="F4" s="18" t="n">
        <v>23712.22</v>
      </c>
      <c r="G4" s="18" t="inlineStr">
        <is>
          <t>NO TRADE — Conflicting signals</t>
        </is>
      </c>
    </row>
    <row r="5">
      <c r="A5" s="18" t="inlineStr">
        <is>
          <t>2026-06-19</t>
        </is>
      </c>
      <c r="B5" s="18" t="inlineStr">
        <is>
          <t>BANKNIFTY</t>
        </is>
      </c>
      <c r="C5" s="18" t="inlineStr">
        <is>
          <t>SKIP</t>
        </is>
      </c>
      <c r="D5" s="18" t="inlineStr">
        <is>
          <t>Conflicting — Price:BEARISH EMA:BULLISH</t>
        </is>
      </c>
      <c r="E5" s="18" t="n">
        <v>56788.95</v>
      </c>
      <c r="F5" s="18" t="n">
        <v>55679.28</v>
      </c>
      <c r="G5" s="18" t="inlineStr">
        <is>
          <t>NO TRADE — Conflicting signals</t>
        </is>
      </c>
    </row>
    <row r="6">
      <c r="A6" s="18" t="inlineStr">
        <is>
          <t>2026-06-23</t>
        </is>
      </c>
      <c r="B6" s="18" t="inlineStr">
        <is>
          <t>NIFTY</t>
        </is>
      </c>
      <c r="C6" s="18" t="inlineStr">
        <is>
          <t>SKIP</t>
        </is>
      </c>
      <c r="D6" s="18" t="inlineStr">
        <is>
          <t>Conflicting — Price:BEARISH EMA:BULLISH</t>
        </is>
      </c>
      <c r="E6" s="18" t="n">
        <v>23824.22</v>
      </c>
      <c r="F6" s="18" t="n">
        <v>23714.31</v>
      </c>
      <c r="G6" s="18" t="inlineStr">
        <is>
          <t>NO TRADE — Conflicting signals</t>
        </is>
      </c>
    </row>
    <row r="7">
      <c r="A7" s="18" t="inlineStr">
        <is>
          <t>2026-06-23</t>
        </is>
      </c>
      <c r="B7" s="18" t="inlineStr">
        <is>
          <t>BANKNIFTY</t>
        </is>
      </c>
      <c r="C7" s="18" t="inlineStr">
        <is>
          <t>SKIP</t>
        </is>
      </c>
      <c r="D7" s="18" t="inlineStr">
        <is>
          <t>Conflicting — Price:BEARISH EMA:BULLISH</t>
        </is>
      </c>
      <c r="E7" s="18" t="n">
        <v>56787.29</v>
      </c>
      <c r="F7" s="18" t="n">
        <v>55649.38</v>
      </c>
      <c r="G7" s="18" t="inlineStr">
        <is>
          <t>NO TRADE — Conflicting signals</t>
        </is>
      </c>
    </row>
    <row r="8">
      <c r="A8" s="18" t="inlineStr">
        <is>
          <t>2026-06-23</t>
        </is>
      </c>
      <c r="B8" s="18" t="inlineStr">
        <is>
          <t>NIFTY</t>
        </is>
      </c>
      <c r="C8" s="18" t="inlineStr">
        <is>
          <t>SKIP</t>
        </is>
      </c>
      <c r="D8" s="18" t="inlineStr">
        <is>
          <t>Conflicting — Price:BEARISH EMA:BULLISH</t>
        </is>
      </c>
      <c r="E8" s="18" t="n">
        <v>23824.22</v>
      </c>
      <c r="F8" s="18" t="n">
        <v>23714.31</v>
      </c>
      <c r="G8" s="18" t="inlineStr">
        <is>
          <t>NO TRADE — Conflicting signals</t>
        </is>
      </c>
    </row>
    <row r="9">
      <c r="A9" s="18" t="inlineStr">
        <is>
          <t>2026-06-23</t>
        </is>
      </c>
      <c r="B9" s="18" t="inlineStr">
        <is>
          <t>BANKNIFTY</t>
        </is>
      </c>
      <c r="C9" s="18" t="inlineStr">
        <is>
          <t>SKIP</t>
        </is>
      </c>
      <c r="D9" s="18" t="inlineStr">
        <is>
          <t>Conflicting — Price:BEARISH EMA:BULLISH</t>
        </is>
      </c>
      <c r="E9" s="18" t="n">
        <v>56787.29</v>
      </c>
      <c r="F9" s="18" t="n">
        <v>55649.38</v>
      </c>
      <c r="G9" s="18" t="inlineStr">
        <is>
          <t>NO TRADE — Conflicting signals</t>
        </is>
      </c>
    </row>
    <row r="10">
      <c r="A10" s="18" t="inlineStr">
        <is>
          <t>2026-06-23</t>
        </is>
      </c>
      <c r="B10" s="18" t="inlineStr">
        <is>
          <t>NIFTY</t>
        </is>
      </c>
      <c r="C10" s="18" t="inlineStr">
        <is>
          <t>SKIP</t>
        </is>
      </c>
      <c r="D10" s="18" t="inlineStr">
        <is>
          <t>Conflicting — Price:BEARISH EMA:BULLISH</t>
        </is>
      </c>
      <c r="E10" s="18" t="n">
        <v>23868.63</v>
      </c>
      <c r="F10" s="18" t="n">
        <v>23767.86</v>
      </c>
      <c r="G10" s="18" t="inlineStr">
        <is>
          <t>NO TRADE — Conflicting signals</t>
        </is>
      </c>
    </row>
    <row r="11">
      <c r="A11" s="18" t="inlineStr">
        <is>
          <t>2026-06-23</t>
        </is>
      </c>
      <c r="B11" s="18" t="inlineStr">
        <is>
          <t>BANKNIFTY</t>
        </is>
      </c>
      <c r="C11" s="18" t="inlineStr">
        <is>
          <t>SKIP</t>
        </is>
      </c>
      <c r="D11" s="18" t="inlineStr">
        <is>
          <t>Conflicting — Price:BEARISH EMA:BULLISH</t>
        </is>
      </c>
      <c r="E11" s="18" t="n">
        <v>57048.75</v>
      </c>
      <c r="F11" s="18" t="n">
        <v>55970.07</v>
      </c>
      <c r="G11" s="18" t="inlineStr">
        <is>
          <t>NO TRADE — Conflicting signals</t>
        </is>
      </c>
    </row>
    <row r="12">
      <c r="A12" s="18" t="inlineStr">
        <is>
          <t>2026-06-25</t>
        </is>
      </c>
      <c r="B12" s="18" t="inlineStr">
        <is>
          <t>NIFTY</t>
        </is>
      </c>
      <c r="C12" s="18" t="inlineStr">
        <is>
          <t>SKIP</t>
        </is>
      </c>
      <c r="D12" s="18" t="inlineStr">
        <is>
          <t>Conflicting — Price:BEARISH EMA:BULLISH</t>
        </is>
      </c>
      <c r="E12" s="18" t="n">
        <v>23868.74</v>
      </c>
      <c r="F12" s="18" t="n">
        <v>23768.91</v>
      </c>
      <c r="G12" s="18" t="inlineStr">
        <is>
          <t>NO TRADE — Conflicting signals</t>
        </is>
      </c>
    </row>
    <row r="13">
      <c r="A13" s="18" t="inlineStr">
        <is>
          <t>2026-06-25</t>
        </is>
      </c>
      <c r="B13" s="18" t="inlineStr">
        <is>
          <t>BANKNIFTY</t>
        </is>
      </c>
      <c r="C13" s="18" t="inlineStr">
        <is>
          <t>SKIP</t>
        </is>
      </c>
      <c r="D13" s="18" t="inlineStr">
        <is>
          <t>Conflicting — Price:BEARISH EMA:BULLISH</t>
        </is>
      </c>
      <c r="E13" s="18" t="n">
        <v>57047.77</v>
      </c>
      <c r="F13" s="18" t="n">
        <v>55931.18</v>
      </c>
      <c r="G13" s="18" t="inlineStr">
        <is>
          <t>NO TRADE — Conflicting signals</t>
        </is>
      </c>
    </row>
    <row r="14">
      <c r="A14" s="18" t="inlineStr">
        <is>
          <t>2026-06-29</t>
        </is>
      </c>
      <c r="B14" s="18" t="inlineStr">
        <is>
          <t>NIFTY</t>
        </is>
      </c>
      <c r="C14" s="18" t="inlineStr">
        <is>
          <t>SKIP</t>
        </is>
      </c>
      <c r="D14" s="18" t="inlineStr">
        <is>
          <t>Conflicting — Price:BEARISH EMA:BULLISH</t>
        </is>
      </c>
      <c r="E14" s="18" t="n">
        <v>23934.65</v>
      </c>
      <c r="F14" s="18" t="n">
        <v>23794.94</v>
      </c>
      <c r="G14" s="18" t="inlineStr">
        <is>
          <t>NO TRADE — Conflicting signals</t>
        </is>
      </c>
    </row>
    <row r="15">
      <c r="A15" s="18" t="inlineStr">
        <is>
          <t>2026-06-29</t>
        </is>
      </c>
      <c r="B15" s="18" t="inlineStr">
        <is>
          <t>BANKNIFTY</t>
        </is>
      </c>
      <c r="C15" s="18" t="inlineStr">
        <is>
          <t>SKIP</t>
        </is>
      </c>
      <c r="D15" s="18" t="inlineStr">
        <is>
          <t>Conflicting — Price:BEARISH EMA:BULLISH</t>
        </is>
      </c>
      <c r="E15" s="18" t="n">
        <v>57506.76</v>
      </c>
      <c r="F15" s="18" t="n">
        <v>56326.72</v>
      </c>
      <c r="G15" s="18" t="inlineStr">
        <is>
          <t>NO TRADE — Conflicting signals</t>
        </is>
      </c>
    </row>
    <row r="16">
      <c r="A16" s="18" t="inlineStr">
        <is>
          <t>2026-06-30</t>
        </is>
      </c>
      <c r="B16" s="18" t="inlineStr">
        <is>
          <t>NIFTY</t>
        </is>
      </c>
      <c r="C16" s="18" t="inlineStr">
        <is>
          <t>SKIP</t>
        </is>
      </c>
      <c r="D16" s="18" t="inlineStr">
        <is>
          <t>Conflicting — Price:BEARISH EMA:BULLISH</t>
        </is>
      </c>
      <c r="E16" s="18" t="n">
        <v>23921.32</v>
      </c>
      <c r="F16" s="18" t="n">
        <v>23787.88</v>
      </c>
      <c r="G16" s="18" t="inlineStr">
        <is>
          <t>NO TRADE — Conflicting signals</t>
        </is>
      </c>
    </row>
    <row r="17">
      <c r="A17" s="18" t="inlineStr">
        <is>
          <t>2026-06-30</t>
        </is>
      </c>
      <c r="B17" s="18" t="inlineStr">
        <is>
          <t>BANKNIFTY</t>
        </is>
      </c>
      <c r="C17" s="18" t="inlineStr">
        <is>
          <t>SKIP</t>
        </is>
      </c>
      <c r="D17" s="18" t="inlineStr">
        <is>
          <t>Conflicting — Price:BEARISH EMA:BULLISH</t>
        </is>
      </c>
      <c r="E17" s="18" t="n">
        <v>57515.81</v>
      </c>
      <c r="F17" s="18" t="n">
        <v>56405.26</v>
      </c>
      <c r="G17" s="18" t="inlineStr">
        <is>
          <t>NO TRADE — Conflicting signals</t>
        </is>
      </c>
    </row>
    <row r="18">
      <c r="A18" s="18" t="inlineStr">
        <is>
          <t>2026-07-01</t>
        </is>
      </c>
      <c r="B18" s="18" t="inlineStr">
        <is>
          <t>NIFTY</t>
        </is>
      </c>
      <c r="C18" s="18" t="inlineStr">
        <is>
          <t>SKIP</t>
        </is>
      </c>
      <c r="D18" s="18" t="inlineStr">
        <is>
          <t>Conflicting — Price:BEARISH EMA:BULLISH</t>
        </is>
      </c>
      <c r="E18" s="18" t="n">
        <v>23935.21</v>
      </c>
      <c r="F18" s="18" t="n">
        <v>23780.09</v>
      </c>
      <c r="G18" s="18" t="inlineStr">
        <is>
          <t>NO TRADE — Conflicting signals</t>
        </is>
      </c>
    </row>
    <row r="19">
      <c r="A19" s="18" t="inlineStr">
        <is>
          <t>2026-07-01</t>
        </is>
      </c>
      <c r="B19" s="18" t="inlineStr">
        <is>
          <t>BANKNIFTY</t>
        </is>
      </c>
      <c r="C19" s="18" t="inlineStr">
        <is>
          <t>SKIP</t>
        </is>
      </c>
      <c r="D19" s="18" t="inlineStr">
        <is>
          <t>Conflicting — Price:BEARISH EMA:BULLISH</t>
        </is>
      </c>
      <c r="E19" s="18" t="n">
        <v>57509.03</v>
      </c>
      <c r="F19" s="18" t="n">
        <v>56291.5</v>
      </c>
      <c r="G19" s="18" t="inlineStr">
        <is>
          <t>NO TRADE — Conflicting signals</t>
        </is>
      </c>
    </row>
    <row r="20">
      <c r="A20" s="18" t="inlineStr">
        <is>
          <t>2026-07-02</t>
        </is>
      </c>
      <c r="B20" s="18" t="inlineStr">
        <is>
          <t>NIFTY</t>
        </is>
      </c>
      <c r="C20" s="18" t="inlineStr">
        <is>
          <t>SKIP</t>
        </is>
      </c>
      <c r="D20" s="18" t="inlineStr">
        <is>
          <t>Conflicting — Price:BEARISH EMA:BULLISH</t>
        </is>
      </c>
      <c r="E20" s="18" t="n">
        <v>23921.87</v>
      </c>
      <c r="F20" s="18" t="n">
        <v>23777.05</v>
      </c>
      <c r="G20" s="18" t="inlineStr">
        <is>
          <t>NO TRADE — Conflicting signals</t>
        </is>
      </c>
    </row>
    <row r="21">
      <c r="A21" s="18" t="inlineStr">
        <is>
          <t>2026-07-02</t>
        </is>
      </c>
      <c r="B21" s="18" t="inlineStr">
        <is>
          <t>BANKNIFTY</t>
        </is>
      </c>
      <c r="C21" s="18" t="inlineStr">
        <is>
          <t>SKIP</t>
        </is>
      </c>
      <c r="D21" s="18" t="inlineStr">
        <is>
          <t>Conflicting — Price:BEARISH EMA:BULLISH</t>
        </is>
      </c>
      <c r="E21" s="18" t="n">
        <v>57517.14</v>
      </c>
      <c r="F21" s="18" t="n">
        <v>56383.85</v>
      </c>
      <c r="G21" s="18" t="inlineStr">
        <is>
          <t>NO TRADE — Conflicting signals</t>
        </is>
      </c>
    </row>
    <row r="22">
      <c r="A22" s="18" t="inlineStr">
        <is>
          <t>2026-07-02</t>
        </is>
      </c>
      <c r="B22" s="18" t="inlineStr">
        <is>
          <t>BANKNIFTY</t>
        </is>
      </c>
      <c r="C22" s="18" t="inlineStr">
        <is>
          <t>SKIP</t>
        </is>
      </c>
      <c r="D22" s="18" t="inlineStr">
        <is>
          <t>Conflicting — Price:BEARISH EMA:BULLISH</t>
        </is>
      </c>
      <c r="E22" s="18" t="n">
        <v>57703.9</v>
      </c>
      <c r="F22" s="18" t="n">
        <v>56657.09</v>
      </c>
      <c r="G22" s="18" t="inlineStr">
        <is>
          <t>NO TRADE — Conflicting signals</t>
        </is>
      </c>
    </row>
    <row r="23">
      <c r="A23" s="18" t="inlineStr">
        <is>
          <t>2026-07-03</t>
        </is>
      </c>
      <c r="B23" s="18" t="inlineStr">
        <is>
          <t>BANKNIFTY</t>
        </is>
      </c>
      <c r="C23" s="18" t="inlineStr">
        <is>
          <t>SKIP</t>
        </is>
      </c>
      <c r="D23" s="18" t="inlineStr">
        <is>
          <t>Conflicting — Price:BEARISH EMA:BULLISH</t>
        </is>
      </c>
      <c r="E23" s="18" t="n">
        <v>57751.18</v>
      </c>
      <c r="F23" s="18" t="n">
        <v>56772.37</v>
      </c>
      <c r="G23" s="18" t="inlineStr">
        <is>
          <t>NO TRADE — Conflicting signals</t>
        </is>
      </c>
    </row>
    <row r="24">
      <c r="A24" s="18" t="inlineStr">
        <is>
          <t>2026-07-04</t>
        </is>
      </c>
      <c r="B24" s="18" t="inlineStr">
        <is>
          <t>BANKNIFTY</t>
        </is>
      </c>
      <c r="C24" s="18" t="inlineStr">
        <is>
          <t>SKIP</t>
        </is>
      </c>
      <c r="D24" s="18" t="inlineStr">
        <is>
          <t>Conflicting — Price:BEARISH EMA:BULLISH</t>
        </is>
      </c>
      <c r="E24" s="18" t="n">
        <v>57704.35</v>
      </c>
      <c r="F24" s="18" t="n">
        <v>56655.75</v>
      </c>
      <c r="G24" s="18" t="inlineStr">
        <is>
          <t>NO TRADE — Conflicting signals</t>
        </is>
      </c>
    </row>
    <row r="25">
      <c r="A25" s="18" t="inlineStr">
        <is>
          <t>2026-07-07</t>
        </is>
      </c>
      <c r="B25" s="18" t="inlineStr">
        <is>
          <t>BANKNIFTY</t>
        </is>
      </c>
      <c r="C25" s="18" t="inlineStr">
        <is>
          <t>SKIP</t>
        </is>
      </c>
      <c r="D25" s="18" t="inlineStr">
        <is>
          <t>Conflicting — Price:BEARISH EMA:BULLISH</t>
        </is>
      </c>
      <c r="E25" s="18" t="n">
        <v>57750.02</v>
      </c>
      <c r="F25" s="18" t="n">
        <v>56721.77</v>
      </c>
      <c r="G25" s="18" t="inlineStr">
        <is>
          <t>NO TRADE — Conflicting signals</t>
        </is>
      </c>
    </row>
    <row r="26">
      <c r="A26" s="18" t="inlineStr">
        <is>
          <t>2026-07-07</t>
        </is>
      </c>
      <c r="B26" s="18" t="inlineStr">
        <is>
          <t>NIFTY</t>
        </is>
      </c>
      <c r="C26" s="18" t="inlineStr">
        <is>
          <t>SKIP</t>
        </is>
      </c>
      <c r="D26" s="18" t="inlineStr">
        <is>
          <t>Conflicting — Price:BEARISH EMA:BULLISH</t>
        </is>
      </c>
      <c r="E26" s="18" t="n">
        <v>24176.1</v>
      </c>
      <c r="F26" s="18" t="n">
        <v>23922.87</v>
      </c>
      <c r="G26" s="18" t="inlineStr">
        <is>
          <t>NO TRADE — Conflicting signals</t>
        </is>
      </c>
    </row>
    <row r="27">
      <c r="A27" s="18" t="inlineStr">
        <is>
          <t>2026-07-07</t>
        </is>
      </c>
      <c r="B27" s="18" t="inlineStr">
        <is>
          <t>BANKNIFTY</t>
        </is>
      </c>
      <c r="C27" s="18" t="inlineStr">
        <is>
          <t>SKIP</t>
        </is>
      </c>
      <c r="D27" s="18" t="inlineStr">
        <is>
          <t>Conflicting — Price:BEARISH EMA:BULLISH</t>
        </is>
      </c>
      <c r="E27" s="18" t="n">
        <v>57924.34</v>
      </c>
      <c r="F27" s="18" t="n">
        <v>56950.61</v>
      </c>
      <c r="G27" s="18" t="inlineStr">
        <is>
          <t>NO TRADE — Conflicting signals</t>
        </is>
      </c>
    </row>
    <row r="28">
      <c r="A28" s="18" t="inlineStr">
        <is>
          <t>2026-07-08</t>
        </is>
      </c>
      <c r="B28" s="18" t="inlineStr">
        <is>
          <t>NIFTY</t>
        </is>
      </c>
      <c r="C28" s="18" t="inlineStr">
        <is>
          <t>SKIP</t>
        </is>
      </c>
      <c r="D28" s="18" t="inlineStr">
        <is>
          <t>Conflicting — Price:BEARISH EMA:BULLISH</t>
        </is>
      </c>
      <c r="E28" s="18" t="n">
        <v>24116.8</v>
      </c>
      <c r="F28" s="18" t="n">
        <v>23907.04</v>
      </c>
      <c r="G28" s="18" t="inlineStr">
        <is>
          <t>NO TRADE — Conflicting signals</t>
        </is>
      </c>
    </row>
    <row r="29">
      <c r="A29" s="18" t="inlineStr">
        <is>
          <t>2026-07-08</t>
        </is>
      </c>
      <c r="B29" s="18" t="inlineStr">
        <is>
          <t>BANKNIFTY</t>
        </is>
      </c>
      <c r="C29" s="18" t="inlineStr">
        <is>
          <t>SKIP</t>
        </is>
      </c>
      <c r="D29" s="18" t="inlineStr">
        <is>
          <t>Conflicting — Price:BEARISH EMA:BULLISH</t>
        </is>
      </c>
      <c r="E29" s="18" t="n">
        <v>57686.08</v>
      </c>
      <c r="F29" s="18" t="n">
        <v>56919.04</v>
      </c>
      <c r="G29" s="18" t="inlineStr">
        <is>
          <t>NO TRADE — Conflicting signals</t>
        </is>
      </c>
    </row>
    <row r="30">
      <c r="A30" s="18" t="inlineStr">
        <is>
          <t>2026-07-09</t>
        </is>
      </c>
      <c r="B30" s="18" t="inlineStr">
        <is>
          <t>NIFTY</t>
        </is>
      </c>
      <c r="C30" s="18" t="inlineStr">
        <is>
          <t>SKIP</t>
        </is>
      </c>
      <c r="D30" s="18" t="inlineStr">
        <is>
          <t>Conflicting — Price:BEARISH EMA:BULLISH</t>
        </is>
      </c>
      <c r="E30" s="18" t="n">
        <v>24175.49</v>
      </c>
      <c r="F30" s="18" t="n">
        <v>23909.54</v>
      </c>
      <c r="G30" s="18" t="inlineStr">
        <is>
          <t>NO TRADE — Conflicting signals</t>
        </is>
      </c>
    </row>
    <row r="31">
      <c r="A31" s="18" t="inlineStr">
        <is>
          <t>2026-07-09</t>
        </is>
      </c>
      <c r="B31" s="18" t="inlineStr">
        <is>
          <t>BANKNIFTY</t>
        </is>
      </c>
      <c r="C31" s="18" t="inlineStr">
        <is>
          <t>SKIP</t>
        </is>
      </c>
      <c r="D31" s="18" t="inlineStr">
        <is>
          <t>Conflicting — Price:BEARISH EMA:BULLISH</t>
        </is>
      </c>
      <c r="E31" s="18" t="n">
        <v>57921.95</v>
      </c>
      <c r="F31" s="18" t="n">
        <v>56936.69</v>
      </c>
      <c r="G31" s="18" t="inlineStr">
        <is>
          <t>NO TRADE — Conflicting signals</t>
        </is>
      </c>
    </row>
    <row r="32">
      <c r="A32" s="18" t="inlineStr">
        <is>
          <t>2026-07-10</t>
        </is>
      </c>
      <c r="B32" s="18" t="inlineStr">
        <is>
          <t>NIFTY</t>
        </is>
      </c>
      <c r="C32" s="18" t="inlineStr">
        <is>
          <t>SKIP</t>
        </is>
      </c>
      <c r="D32" s="18" t="inlineStr">
        <is>
          <t>Conflicting — Price:BEARISH EMA:BULLISH</t>
        </is>
      </c>
      <c r="E32" s="18" t="n">
        <v>24116.8</v>
      </c>
      <c r="F32" s="18" t="n">
        <v>23907.04</v>
      </c>
      <c r="G32" s="18" t="inlineStr">
        <is>
          <t>NO TRADE — Conflicting signals</t>
        </is>
      </c>
    </row>
    <row r="33">
      <c r="A33" s="18" t="inlineStr">
        <is>
          <t>2026-07-10</t>
        </is>
      </c>
      <c r="B33" s="18" t="inlineStr">
        <is>
          <t>BANKNIFTY</t>
        </is>
      </c>
      <c r="C33" s="18" t="inlineStr">
        <is>
          <t>SKIP</t>
        </is>
      </c>
      <c r="D33" s="18" t="inlineStr">
        <is>
          <t>Conflicting — Price:BEARISH EMA:BULLISH</t>
        </is>
      </c>
      <c r="E33" s="18" t="n">
        <v>57686.08</v>
      </c>
      <c r="F33" s="18" t="n">
        <v>56919.04</v>
      </c>
      <c r="G33" s="18" t="inlineStr">
        <is>
          <t>NO TRADE — Conflicting signals</t>
        </is>
      </c>
    </row>
    <row r="34">
      <c r="A34" s="18" t="inlineStr">
        <is>
          <t>2026-07-14</t>
        </is>
      </c>
      <c r="B34" s="18" t="inlineStr">
        <is>
          <t>NIFTY</t>
        </is>
      </c>
      <c r="C34" s="18" t="inlineStr">
        <is>
          <t>SKIP</t>
        </is>
      </c>
      <c r="D34" s="18" t="inlineStr">
        <is>
          <t>Conflicting — Price:BEARISH EMA:BULLISH</t>
        </is>
      </c>
      <c r="E34" s="18" t="n">
        <v>24131.43</v>
      </c>
      <c r="F34" s="18" t="n">
        <v>23974.58</v>
      </c>
      <c r="G34" s="18" t="inlineStr">
        <is>
          <t>NO TRADE — Conflicting signals</t>
        </is>
      </c>
    </row>
    <row r="35">
      <c r="A35" s="18" t="inlineStr">
        <is>
          <t>2026-07-14</t>
        </is>
      </c>
      <c r="B35" s="18" t="inlineStr">
        <is>
          <t>BANKNIFTY</t>
        </is>
      </c>
      <c r="C35" s="18" t="inlineStr">
        <is>
          <t>SKIP</t>
        </is>
      </c>
      <c r="D35" s="18" t="inlineStr">
        <is>
          <t>Conflicting — Price:BEARISH EMA:BULLISH</t>
        </is>
      </c>
      <c r="E35" s="18" t="n">
        <v>57746.15</v>
      </c>
      <c r="F35" s="18" t="n">
        <v>57250.18</v>
      </c>
      <c r="G35" s="18" t="inlineStr">
        <is>
          <t>NO TRADE — Conflicting signals</t>
        </is>
      </c>
    </row>
    <row r="36">
      <c r="A36" s="18" t="inlineStr">
        <is>
          <t>2026-07-14</t>
        </is>
      </c>
      <c r="B36" s="18" t="inlineStr">
        <is>
          <t>NIFTY</t>
        </is>
      </c>
      <c r="C36" s="18" t="inlineStr">
        <is>
          <t>SKIP</t>
        </is>
      </c>
      <c r="D36" s="18" t="inlineStr">
        <is>
          <t>Conflicting — Price:BEARISH EMA:BULLISH</t>
        </is>
      </c>
      <c r="E36" s="18" t="n">
        <v>24113.61</v>
      </c>
      <c r="F36" s="18" t="n">
        <v>23966.48</v>
      </c>
      <c r="G36" s="18" t="inlineStr">
        <is>
          <t>NO TRADE — Conflicting signals</t>
        </is>
      </c>
    </row>
    <row r="37">
      <c r="A37" s="18" t="inlineStr">
        <is>
          <t>2026-07-14</t>
        </is>
      </c>
      <c r="B37" s="18" t="inlineStr">
        <is>
          <t>BANKNIFTY</t>
        </is>
      </c>
      <c r="C37" s="18" t="inlineStr">
        <is>
          <t>SKIP</t>
        </is>
      </c>
      <c r="D37" s="18" t="inlineStr">
        <is>
          <t>Conflicting — Price:BEARISH EMA:BULLISH</t>
        </is>
      </c>
      <c r="E37" s="18" t="n">
        <v>57711.5</v>
      </c>
      <c r="F37" s="18" t="n">
        <v>57234.43</v>
      </c>
      <c r="G37" s="18" t="inlineStr">
        <is>
          <t>NO TRADE — Conflicting signals</t>
        </is>
      </c>
    </row>
    <row r="38">
      <c r="A38" s="18" t="inlineStr">
        <is>
          <t>2026-07-15</t>
        </is>
      </c>
      <c r="B38" s="18" t="inlineStr">
        <is>
          <t>NIFTY</t>
        </is>
      </c>
      <c r="C38" s="18" t="inlineStr">
        <is>
          <t>SKIP</t>
        </is>
      </c>
      <c r="D38" s="18" t="inlineStr">
        <is>
          <t>Conflicting — Price:BEARISH EMA:BULLISH</t>
        </is>
      </c>
      <c r="E38" s="18" t="n">
        <v>24143.29</v>
      </c>
      <c r="F38" s="18" t="n">
        <v>23977</v>
      </c>
      <c r="G38" s="18" t="inlineStr">
        <is>
          <t>NO TRADE — Conflicting signals</t>
        </is>
      </c>
    </row>
    <row r="39">
      <c r="A39" s="18" t="inlineStr">
        <is>
          <t>2026-07-15</t>
        </is>
      </c>
      <c r="B39" s="18" t="inlineStr">
        <is>
          <t>BANKNIFTY</t>
        </is>
      </c>
      <c r="C39" s="18" t="inlineStr">
        <is>
          <t>SKIP</t>
        </is>
      </c>
      <c r="D39" s="18" t="inlineStr">
        <is>
          <t>Conflicting — Price:BEARISH EMA:BULLISH</t>
        </is>
      </c>
      <c r="E39" s="18" t="n">
        <v>57832.62</v>
      </c>
      <c r="F39" s="18" t="n">
        <v>57322.04</v>
      </c>
      <c r="G39" s="18" t="inlineStr">
        <is>
          <t>NO TRADE — Conflicting signals</t>
        </is>
      </c>
    </row>
    <row r="40">
      <c r="A40" s="18" t="inlineStr">
        <is>
          <t>2026-07-15</t>
        </is>
      </c>
      <c r="B40" s="18" t="inlineStr">
        <is>
          <t>NIFTY</t>
        </is>
      </c>
      <c r="C40" s="18" t="inlineStr">
        <is>
          <t>SKIP</t>
        </is>
      </c>
      <c r="D40" s="18" t="inlineStr">
        <is>
          <t>Conflicting — Price:BEARISH EMA:BULLISH</t>
        </is>
      </c>
      <c r="E40" s="18" t="n">
        <v>24118.07</v>
      </c>
      <c r="F40" s="18" t="n">
        <v>23965.53</v>
      </c>
      <c r="G40" s="18" t="inlineStr">
        <is>
          <t>NO TRADE — Conflicting signals</t>
        </is>
      </c>
    </row>
    <row r="41">
      <c r="A41" s="18" t="inlineStr">
        <is>
          <t>2026-07-15</t>
        </is>
      </c>
      <c r="B41" s="18" t="inlineStr">
        <is>
          <t>BANKNIFTY</t>
        </is>
      </c>
      <c r="C41" s="18" t="inlineStr">
        <is>
          <t>SKIP</t>
        </is>
      </c>
      <c r="D41" s="18" t="inlineStr">
        <is>
          <t>Conflicting — Price:BEARISH EMA:BULLISH</t>
        </is>
      </c>
      <c r="E41" s="18" t="n">
        <v>57769.47</v>
      </c>
      <c r="F41" s="18" t="n">
        <v>57293.33</v>
      </c>
      <c r="G41" s="18" t="inlineStr">
        <is>
          <t>NO TRADE — Conflicting signals</t>
        </is>
      </c>
    </row>
    <row r="42">
      <c r="A42" s="18" t="inlineStr">
        <is>
          <t>2026-07-16</t>
        </is>
      </c>
      <c r="B42" s="18" t="inlineStr">
        <is>
          <t>BANKNIFTY</t>
        </is>
      </c>
      <c r="C42" s="18" t="inlineStr">
        <is>
          <t>SKIP</t>
        </is>
      </c>
      <c r="D42" s="18" t="inlineStr">
        <is>
          <t>Conflicting — Price:BEARISH EMA:BULLISH</t>
        </is>
      </c>
      <c r="E42" s="18" t="n">
        <v>57711.42</v>
      </c>
      <c r="F42" s="18" t="n">
        <v>57371.59</v>
      </c>
      <c r="G42" s="18" t="inlineStr">
        <is>
          <t>NO TRADE — Conflicting signals</t>
        </is>
      </c>
    </row>
    <row r="43">
      <c r="A43" s="18" t="inlineStr">
        <is>
          <t>2026-07-16</t>
        </is>
      </c>
      <c r="B43" s="18" t="inlineStr">
        <is>
          <t>NIFTY</t>
        </is>
      </c>
      <c r="C43" s="18" t="inlineStr">
        <is>
          <t>SKIP</t>
        </is>
      </c>
      <c r="D43" s="18" t="inlineStr">
        <is>
          <t>Conflicting — Price:BEARISH EMA:BULLISH</t>
        </is>
      </c>
      <c r="E43" s="18" t="n">
        <v>24098.67</v>
      </c>
      <c r="F43" s="18" t="n">
        <v>23977.87</v>
      </c>
      <c r="G43" s="18" t="inlineStr">
        <is>
          <t>NO TRADE — Conflicting signals</t>
        </is>
      </c>
    </row>
    <row r="44">
      <c r="A44" s="18" t="inlineStr">
        <is>
          <t>2026-07-16</t>
        </is>
      </c>
      <c r="B44" s="18" t="inlineStr">
        <is>
          <t>BANKNIFTY</t>
        </is>
      </c>
      <c r="C44" s="18" t="inlineStr">
        <is>
          <t>SKIP</t>
        </is>
      </c>
      <c r="D44" s="18" t="inlineStr">
        <is>
          <t>Conflicting — Price:BEARISH EMA:BULLISH</t>
        </is>
      </c>
      <c r="E44" s="18" t="n">
        <v>57691.76</v>
      </c>
      <c r="F44" s="18" t="n">
        <v>57362.65</v>
      </c>
      <c r="G44" s="18" t="inlineStr">
        <is>
          <t>NO TRADE — Conflicting signals</t>
        </is>
      </c>
    </row>
    <row r="45">
      <c r="A45" s="18" t="inlineStr">
        <is>
          <t>2026-07-20</t>
        </is>
      </c>
      <c r="B45" s="18" t="inlineStr">
        <is>
          <t>NIFTY</t>
        </is>
      </c>
      <c r="C45" s="18" t="inlineStr">
        <is>
          <t>SKIP</t>
        </is>
      </c>
      <c r="D45" s="18" t="inlineStr">
        <is>
          <t>Conflicting — Price:BEARISH EMA:BULLISH</t>
        </is>
      </c>
      <c r="E45" s="18" t="n">
        <v>24152.5</v>
      </c>
      <c r="F45" s="18" t="n">
        <v>24041.8</v>
      </c>
      <c r="G45" s="18" t="inlineStr">
        <is>
          <t>NO TRADE — Conflicting signals</t>
        </is>
      </c>
    </row>
    <row r="46">
      <c r="A46" s="18" t="inlineStr">
        <is>
          <t>2026-07-20</t>
        </is>
      </c>
      <c r="B46" s="18" t="inlineStr">
        <is>
          <t>BANKNIFTY</t>
        </is>
      </c>
      <c r="C46" s="18" t="inlineStr">
        <is>
          <t>SKIP</t>
        </is>
      </c>
      <c r="D46" s="18" t="inlineStr">
        <is>
          <t>Conflicting — Price:BEARISH EMA:BULLISH</t>
        </is>
      </c>
      <c r="E46" s="18" t="n">
        <v>57821.95</v>
      </c>
      <c r="F46" s="18" t="n">
        <v>57595.38</v>
      </c>
      <c r="G46" s="18" t="inlineStr">
        <is>
          <t>NO TRADE — Conflicting signals</t>
        </is>
      </c>
    </row>
    <row r="47">
      <c r="A47" s="18" t="inlineStr">
        <is>
          <t>2026-07-20</t>
        </is>
      </c>
      <c r="B47" s="18" t="inlineStr">
        <is>
          <t>NIFTY</t>
        </is>
      </c>
      <c r="C47" s="18" t="inlineStr">
        <is>
          <t>SKIP</t>
        </is>
      </c>
      <c r="D47" s="18" t="inlineStr">
        <is>
          <t>Conflicting — Price:BEARISH EMA:BULLISH</t>
        </is>
      </c>
      <c r="E47" s="18" t="n">
        <v>24164.16</v>
      </c>
      <c r="F47" s="18" t="n">
        <v>24047.1</v>
      </c>
      <c r="G47" s="18" t="inlineStr">
        <is>
          <t>NO TRADE — Conflicting signals</t>
        </is>
      </c>
    </row>
    <row r="48">
      <c r="A48" s="18" t="inlineStr">
        <is>
          <t>2026-07-20</t>
        </is>
      </c>
      <c r="B48" s="18" t="inlineStr">
        <is>
          <t>BANKNIFTY</t>
        </is>
      </c>
      <c r="C48" s="18" t="inlineStr">
        <is>
          <t>SKIP</t>
        </is>
      </c>
      <c r="D48" s="18" t="inlineStr">
        <is>
          <t>Conflicting — Price:BEARISH EMA:BULLISH</t>
        </is>
      </c>
      <c r="E48" s="18" t="n">
        <v>57876.23</v>
      </c>
      <c r="F48" s="18" t="n">
        <v>57620.05</v>
      </c>
      <c r="G48" s="18" t="inlineStr">
        <is>
          <t>NO TRADE — Conflicting signals</t>
        </is>
      </c>
    </row>
    <row r="49">
      <c r="A49" s="18" t="inlineStr">
        <is>
          <t>2026-07-21</t>
        </is>
      </c>
      <c r="B49" s="18" t="inlineStr">
        <is>
          <t>NIFTY</t>
        </is>
      </c>
      <c r="C49" s="18" t="inlineStr">
        <is>
          <t>SKIP</t>
        </is>
      </c>
      <c r="D49" s="18" t="inlineStr">
        <is>
          <t>Conflicting — Price:BEARISH EMA:BULLISH</t>
        </is>
      </c>
      <c r="E49" s="18" t="n">
        <v>24164.13</v>
      </c>
      <c r="F49" s="18" t="n">
        <v>24071.86</v>
      </c>
      <c r="G49" s="18" t="inlineStr">
        <is>
          <t>NO TRADE — Conflicting signals</t>
        </is>
      </c>
    </row>
    <row r="50">
      <c r="A50" s="18" t="inlineStr">
        <is>
          <t>2026-07-21</t>
        </is>
      </c>
      <c r="B50" s="18" t="inlineStr">
        <is>
          <t>BANKNIFTY</t>
        </is>
      </c>
      <c r="C50" s="18" t="inlineStr">
        <is>
          <t>SKIP</t>
        </is>
      </c>
      <c r="D50" s="18" t="inlineStr">
        <is>
          <t>Conflicting — Price:BEARISH EMA:BULLISH</t>
        </is>
      </c>
      <c r="E50" s="18" t="n">
        <v>57869.66</v>
      </c>
      <c r="F50" s="18" t="n">
        <v>57689.18</v>
      </c>
      <c r="G50" s="18" t="inlineStr">
        <is>
          <t>NO TRADE — Conflicting signals</t>
        </is>
      </c>
    </row>
    <row r="51">
      <c r="A51" s="18" t="inlineStr">
        <is>
          <t>2026-07-21</t>
        </is>
      </c>
      <c r="B51" s="18" t="inlineStr">
        <is>
          <t>NIFTY</t>
        </is>
      </c>
      <c r="C51" s="18" t="inlineStr">
        <is>
          <t>SKIP</t>
        </is>
      </c>
      <c r="D51" s="18" t="inlineStr">
        <is>
          <t>Conflicting — Price:BEARISH EMA:BULLISH</t>
        </is>
      </c>
      <c r="E51" s="18" t="n">
        <v>24169.05</v>
      </c>
      <c r="F51" s="18" t="n">
        <v>24074.1</v>
      </c>
      <c r="G51" s="18" t="inlineStr">
        <is>
          <t>NO TRADE — Conflicting signals</t>
        </is>
      </c>
    </row>
    <row r="52">
      <c r="A52" s="18" t="inlineStr">
        <is>
          <t>2026-07-21</t>
        </is>
      </c>
      <c r="B52" s="18" t="inlineStr">
        <is>
          <t>BANKNIFTY</t>
        </is>
      </c>
      <c r="C52" s="18" t="inlineStr">
        <is>
          <t>SKIP</t>
        </is>
      </c>
      <c r="D52" s="18" t="inlineStr">
        <is>
          <t>Conflicting — Price:BEARISH EMA:BULLISH</t>
        </is>
      </c>
      <c r="E52" s="18" t="n">
        <v>57868.64</v>
      </c>
      <c r="F52" s="18" t="n">
        <v>57688.71</v>
      </c>
      <c r="G52" s="18" t="inlineStr">
        <is>
          <t>NO TRADE — Conflicting signals</t>
        </is>
      </c>
    </row>
    <row r="53">
      <c r="A53" s="18" t="inlineStr">
        <is>
          <t>2026-07-22</t>
        </is>
      </c>
      <c r="B53" s="18" t="inlineStr">
        <is>
          <t>NIFTY</t>
        </is>
      </c>
      <c r="C53" s="18" t="inlineStr">
        <is>
          <t>SKIP</t>
        </is>
      </c>
      <c r="D53" s="18" t="inlineStr">
        <is>
          <t>Conflicting — Price:BEARISH EMA:BULLISH</t>
        </is>
      </c>
      <c r="E53" s="18" t="n">
        <v>24145.08</v>
      </c>
      <c r="F53" s="18" t="n">
        <v>24082.85</v>
      </c>
      <c r="G53" s="18" t="inlineStr">
        <is>
          <t>NO TRADE — Conflicting signals</t>
        </is>
      </c>
    </row>
    <row r="54">
      <c r="A54" s="18" t="inlineStr">
        <is>
          <t>2026-07-22</t>
        </is>
      </c>
      <c r="B54" s="18" t="inlineStr">
        <is>
          <t>BANKNIFTY</t>
        </is>
      </c>
      <c r="C54" s="18" t="inlineStr">
        <is>
          <t>SKIP</t>
        </is>
      </c>
      <c r="D54" s="18" t="inlineStr">
        <is>
          <t>Conflicting — Price:BEARISH EMA:BULLISH</t>
        </is>
      </c>
      <c r="E54" s="18" t="n">
        <v>57751.03</v>
      </c>
      <c r="F54" s="18" t="n">
        <v>57689.93</v>
      </c>
      <c r="G54" s="18" t="inlineStr">
        <is>
          <t>NO TRADE — Conflicting signals</t>
        </is>
      </c>
    </row>
    <row r="55">
      <c r="A55" s="18" t="inlineStr">
        <is>
          <t>2026-07-22</t>
        </is>
      </c>
      <c r="B55" s="18" t="inlineStr">
        <is>
          <t>NIFTY</t>
        </is>
      </c>
      <c r="C55" s="18" t="inlineStr">
        <is>
          <t>SKIP</t>
        </is>
      </c>
      <c r="D55" s="18" t="inlineStr">
        <is>
          <t>Conflicting — Price:BEARISH EMA:BULLISH</t>
        </is>
      </c>
      <c r="E55" s="18" t="n">
        <v>24135.22</v>
      </c>
      <c r="F55" s="18" t="n">
        <v>24078.37</v>
      </c>
      <c r="G55" s="18" t="inlineStr">
        <is>
          <t>NO TRADE — Conflicting signals</t>
        </is>
      </c>
    </row>
    <row r="56">
      <c r="A56" s="18" t="inlineStr">
        <is>
          <t>2026-07-22</t>
        </is>
      </c>
      <c r="B56" s="18" t="inlineStr">
        <is>
          <t>BANKNIFTY</t>
        </is>
      </c>
      <c r="C56" s="18" t="inlineStr">
        <is>
          <t>SKIP</t>
        </is>
      </c>
      <c r="D56" s="18" t="inlineStr">
        <is>
          <t>Conflicting — Price:BEARISH EMA:BULLISH</t>
        </is>
      </c>
      <c r="E56" s="18" t="n">
        <v>57722.46</v>
      </c>
      <c r="F56" s="18" t="n">
        <v>57676.95</v>
      </c>
      <c r="G56" s="18" t="inlineStr">
        <is>
          <t>NO TRADE — Conflicting signals</t>
        </is>
      </c>
    </row>
    <row r="57">
      <c r="A57" s="18" t="inlineStr">
        <is>
          <t>2026-07-23</t>
        </is>
      </c>
      <c r="B57" s="18" t="inlineStr">
        <is>
          <t>NIFTY</t>
        </is>
      </c>
      <c r="C57" s="18" t="inlineStr">
        <is>
          <t>SKIP</t>
        </is>
      </c>
      <c r="D57" s="18" t="inlineStr">
        <is>
          <t>Conflicting — Price:BEARISH EMA:BULLISH</t>
        </is>
      </c>
      <c r="E57" s="18" t="n">
        <v>24097.47</v>
      </c>
      <c r="F57" s="18" t="n">
        <v>24080.49</v>
      </c>
      <c r="G57" s="18" t="inlineStr">
        <is>
          <t>NO TRADE — Conflicting signals</t>
        </is>
      </c>
    </row>
    <row r="58">
      <c r="A58" s="18" t="inlineStr">
        <is>
          <t>2026-07-23</t>
        </is>
      </c>
      <c r="B58" s="18" t="inlineStr">
        <is>
          <t>NIFTY</t>
        </is>
      </c>
      <c r="C58" s="18" t="inlineStr">
        <is>
          <t>SKIP</t>
        </is>
      </c>
      <c r="D58" s="18" t="inlineStr">
        <is>
          <t>Conflicting — Price:BEARISH EMA:BULLISH</t>
        </is>
      </c>
      <c r="E58" s="18" t="n">
        <v>24082.85</v>
      </c>
      <c r="F58" s="18" t="n">
        <v>24073.84</v>
      </c>
      <c r="G58" s="18" t="inlineStr">
        <is>
          <t>NO TRADE — Conflicting signals</t>
        </is>
      </c>
    </row>
    <row r="59">
      <c r="A59" s="18" t="inlineStr">
        <is>
          <t>2026-07-24</t>
        </is>
      </c>
      <c r="B59" s="18" t="inlineStr">
        <is>
          <t>BANKNIFTY</t>
        </is>
      </c>
      <c r="C59" s="18" t="inlineStr">
        <is>
          <t>SKIP</t>
        </is>
      </c>
      <c r="D59" s="18" t="inlineStr">
        <is>
          <t>Conflicting — Price:BULLISH EMA:BEARISH</t>
        </is>
      </c>
      <c r="E59" s="18" t="n">
        <v>57337.36</v>
      </c>
      <c r="F59" s="18" t="n">
        <v>57560.84</v>
      </c>
      <c r="G59" s="18" t="inlineStr">
        <is>
          <t>NO TRADE — Conflicting signals</t>
        </is>
      </c>
    </row>
    <row r="60">
      <c r="A60" s="18" t="inlineStr">
        <is>
          <t>2026-07-27</t>
        </is>
      </c>
      <c r="B60" s="18" t="inlineStr">
        <is>
          <t>NIFTY</t>
        </is>
      </c>
      <c r="C60" s="18" t="inlineStr">
        <is>
          <t>SKIP</t>
        </is>
      </c>
      <c r="D60" s="18" t="inlineStr">
        <is>
          <t>Conflicting — Price:BULLISH EMA:BEARISH</t>
        </is>
      </c>
      <c r="E60" s="18" t="n">
        <v>24007.53</v>
      </c>
      <c r="F60" s="18" t="n">
        <v>24051.2</v>
      </c>
      <c r="G60" s="18" t="inlineStr">
        <is>
          <t>NO TRADE — Conflicting signals</t>
        </is>
      </c>
    </row>
    <row r="61">
      <c r="A61" s="18" t="inlineStr">
        <is>
          <t>2026-07-27</t>
        </is>
      </c>
      <c r="B61" s="18" t="inlineStr">
        <is>
          <t>BANKNIFTY</t>
        </is>
      </c>
      <c r="C61" s="18" t="inlineStr">
        <is>
          <t>SKIP</t>
        </is>
      </c>
      <c r="D61" s="18" t="inlineStr">
        <is>
          <t>Conflicting — Price:BULLISH EMA:BEARISH</t>
        </is>
      </c>
      <c r="E61" s="18" t="n">
        <v>57288.3</v>
      </c>
      <c r="F61" s="18" t="n">
        <v>57529.7</v>
      </c>
      <c r="G61" s="18" t="inlineStr">
        <is>
          <t>NO TRADE — Conflicting signals</t>
        </is>
      </c>
    </row>
    <row r="62">
      <c r="A62" s="18" t="inlineStr">
        <is>
          <t>2026-07-27</t>
        </is>
      </c>
      <c r="B62" s="18" t="inlineStr">
        <is>
          <t>NIFTY</t>
        </is>
      </c>
      <c r="C62" s="18" t="inlineStr">
        <is>
          <t>SKIP</t>
        </is>
      </c>
      <c r="D62" s="18" t="inlineStr">
        <is>
          <t>Conflicting — Price:BULLISH EMA:BEARISH</t>
        </is>
      </c>
      <c r="E62" s="18" t="n">
        <v>24015.55</v>
      </c>
      <c r="F62" s="18" t="n">
        <v>24054.84</v>
      </c>
      <c r="G62" s="18" t="inlineStr">
        <is>
          <t>NO TRADE — Conflicting signals</t>
        </is>
      </c>
    </row>
    <row r="63">
      <c r="A63" s="18" t="inlineStr">
        <is>
          <t>2026-07-27</t>
        </is>
      </c>
      <c r="B63" s="18" t="inlineStr">
        <is>
          <t>BANKNIFTY</t>
        </is>
      </c>
      <c r="C63" s="18" t="inlineStr">
        <is>
          <t>SKIP</t>
        </is>
      </c>
      <c r="D63" s="18" t="inlineStr">
        <is>
          <t>Conflicting — Price:BULLISH EMA:BEARISH</t>
        </is>
      </c>
      <c r="E63" s="18" t="n">
        <v>57287.91</v>
      </c>
      <c r="F63" s="18" t="n">
        <v>57529.52</v>
      </c>
      <c r="G63" s="18" t="inlineStr">
        <is>
          <t>NO TRADE — Conflicting signals</t>
        </is>
      </c>
    </row>
    <row r="64">
      <c r="A64" s="18" t="inlineStr">
        <is>
          <t>2026-07-28</t>
        </is>
      </c>
      <c r="B64" s="18" t="inlineStr">
        <is>
          <t>NIFTY</t>
        </is>
      </c>
      <c r="C64" s="18" t="inlineStr">
        <is>
          <t>SKIP</t>
        </is>
      </c>
      <c r="D64" s="18" t="inlineStr">
        <is>
          <t>Conflicting — Price:BULLISH EMA:BEARISH</t>
        </is>
      </c>
      <c r="E64" s="18" t="n">
        <v>24057.44</v>
      </c>
      <c r="F64" s="18" t="n">
        <v>24078.56</v>
      </c>
      <c r="G64" s="18" t="inlineStr">
        <is>
          <t>NO TRADE — Conflicting signals</t>
        </is>
      </c>
    </row>
    <row r="65">
      <c r="A65" s="18" t="inlineStr">
        <is>
          <t>2026-07-29</t>
        </is>
      </c>
      <c r="B65" s="18" t="inlineStr">
        <is>
          <t>BANKNIFTY</t>
        </is>
      </c>
      <c r="C65" s="18" t="inlineStr">
        <is>
          <t>SKIP</t>
        </is>
      </c>
      <c r="D65" s="18" t="inlineStr">
        <is>
          <t>Conflicting — Price:BULLISH EMA:BEARISH</t>
        </is>
      </c>
      <c r="E65" s="18" t="n">
        <v>57177</v>
      </c>
      <c r="F65" s="18" t="n">
        <v>57434</v>
      </c>
      <c r="G65" s="18" t="inlineStr">
        <is>
          <t>NO TRADE — Conflicting signals</t>
        </is>
      </c>
    </row>
    <row r="66">
      <c r="A66" s="18" t="inlineStr">
        <is>
          <t>2026-07-29</t>
        </is>
      </c>
      <c r="B66" s="18" t="inlineStr">
        <is>
          <t>NIFTY</t>
        </is>
      </c>
      <c r="C66" s="18" t="inlineStr">
        <is>
          <t>SKIP</t>
        </is>
      </c>
      <c r="D66" s="18" t="inlineStr">
        <is>
          <t>Conflicting — Price:BULLISH EMA:BEARISH</t>
        </is>
      </c>
      <c r="E66" s="18" t="n">
        <v>24057.72</v>
      </c>
      <c r="F66" s="18" t="n">
        <v>24063.99</v>
      </c>
      <c r="G66" s="18" t="inlineStr">
        <is>
          <t>NO TRADE — Conflicting signals</t>
        </is>
      </c>
    </row>
    <row r="67">
      <c r="A67" s="18" t="inlineStr">
        <is>
          <t>2026-07-29</t>
        </is>
      </c>
      <c r="B67" s="18" t="inlineStr">
        <is>
          <t>BANKNIFTY</t>
        </is>
      </c>
      <c r="C67" s="18" t="inlineStr">
        <is>
          <t>SKIP</t>
        </is>
      </c>
      <c r="D67" s="18" t="inlineStr">
        <is>
          <t>Conflicting — Price:BULLISH EMA:BEARISH</t>
        </is>
      </c>
      <c r="E67" s="18" t="n">
        <v>57186.94</v>
      </c>
      <c r="F67" s="18" t="n">
        <v>57438.52</v>
      </c>
      <c r="G67" s="18" t="inlineStr">
        <is>
          <t>NO TRADE — Conflicting signals</t>
        </is>
      </c>
    </row>
    <row r="68">
      <c r="A68" s="18" t="inlineStr">
        <is>
          <t>2026-07-31</t>
        </is>
      </c>
      <c r="B68" s="18" t="inlineStr">
        <is>
          <t>BANKNIFTY</t>
        </is>
      </c>
      <c r="C68" s="18" t="inlineStr">
        <is>
          <t>SKIP</t>
        </is>
      </c>
      <c r="D68" s="18" t="inlineStr">
        <is>
          <t>Conflicting — Price:BULLISH EMA:BEARISH</t>
        </is>
      </c>
      <c r="E68" s="18" t="n">
        <v>57179.29</v>
      </c>
      <c r="F68" s="18" t="n">
        <v>57389.06</v>
      </c>
      <c r="G68" s="18" t="inlineStr">
        <is>
          <t>NO TRADE — Conflicting signals</t>
        </is>
      </c>
    </row>
    <row r="69">
      <c r="A69" s="18" t="inlineStr">
        <is>
          <t>2026-07-31</t>
        </is>
      </c>
      <c r="B69" s="18" t="inlineStr">
        <is>
          <t>BANKNIFTY</t>
        </is>
      </c>
      <c r="C69" s="18" t="inlineStr">
        <is>
          <t>SKIP</t>
        </is>
      </c>
      <c r="D69" s="18" t="inlineStr">
        <is>
          <t>Conflicting — Price:BULLISH EMA:BEARISH</t>
        </is>
      </c>
      <c r="E69" s="18" t="n">
        <v>57195.97</v>
      </c>
      <c r="F69" s="18" t="n">
        <v>57396.65</v>
      </c>
      <c r="G69" s="18" t="inlineStr">
        <is>
          <t>NO TRADE — Conflicting signals</t>
        </is>
      </c>
    </row>
    <row r="70">
      <c r="A70" s="18" t="inlineStr">
        <is>
          <t>2026-08-03</t>
        </is>
      </c>
      <c r="B70" s="18" t="inlineStr">
        <is>
          <t>BANKNIFTY</t>
        </is>
      </c>
      <c r="C70" s="18" t="inlineStr">
        <is>
          <t>SKIP</t>
        </is>
      </c>
      <c r="D70" s="18" t="inlineStr">
        <is>
          <t>Conflicting — Price:BULLISH EMA:BEARISH</t>
        </is>
      </c>
      <c r="E70" s="18" t="n">
        <v>57316.56</v>
      </c>
      <c r="F70" s="18" t="n">
        <v>57445.44</v>
      </c>
      <c r="G70" s="18" t="inlineStr">
        <is>
          <t>NO TRADE — Conflicting signals</t>
        </is>
      </c>
    </row>
    <row r="71">
      <c r="A71" s="18" t="inlineStr">
        <is>
          <t>2026-08-03</t>
        </is>
      </c>
      <c r="B71" s="18" t="inlineStr">
        <is>
          <t>BANKNIFTY</t>
        </is>
      </c>
      <c r="C71" s="18" t="inlineStr">
        <is>
          <t>SKIP</t>
        </is>
      </c>
      <c r="D71" s="18" t="inlineStr">
        <is>
          <t>Conflicting — Price:BULLISH EMA:BEARISH</t>
        </is>
      </c>
      <c r="E71" s="18" t="n">
        <v>57405.82</v>
      </c>
      <c r="F71" s="18" t="n">
        <v>57486.01</v>
      </c>
      <c r="G71" s="18" t="inlineStr">
        <is>
          <t>NO TRADE — Conflicting signals</t>
        </is>
      </c>
    </row>
    <row r="72">
      <c r="A72" s="18" t="inlineStr">
        <is>
          <t>2026-08-04</t>
        </is>
      </c>
      <c r="B72" s="18" t="inlineStr">
        <is>
          <t>BANKNIFTY</t>
        </is>
      </c>
      <c r="C72" s="18" t="inlineStr">
        <is>
          <t>SKIP</t>
        </is>
      </c>
      <c r="D72" s="18" t="inlineStr">
        <is>
          <t>Conflicting — Price:BULLISH EMA:BEARISH</t>
        </is>
      </c>
      <c r="E72" s="18" t="n">
        <v>57270.75</v>
      </c>
      <c r="F72" s="18" t="n">
        <v>57465.9</v>
      </c>
      <c r="G72" s="18" t="inlineStr">
        <is>
          <t>NO TRADE — Conflicting signals</t>
        </is>
      </c>
    </row>
    <row r="73">
      <c r="A73" s="18" t="inlineStr">
        <is>
          <t>2026-08-04</t>
        </is>
      </c>
      <c r="B73" s="18" t="inlineStr">
        <is>
          <t>NIFTY</t>
        </is>
      </c>
      <c r="C73" s="18" t="inlineStr">
        <is>
          <t>SKIP</t>
        </is>
      </c>
      <c r="D73" s="18" t="inlineStr">
        <is>
          <t>Conflicting — Price:BEARISH EMA:BULLISH</t>
        </is>
      </c>
      <c r="E73" s="18" t="n">
        <v>24351.26</v>
      </c>
      <c r="F73" s="18" t="n">
        <v>24224.31</v>
      </c>
      <c r="G73" s="18" t="inlineStr">
        <is>
          <t>NO TRADE — Conflicting signals</t>
        </is>
      </c>
    </row>
    <row r="74">
      <c r="A74" s="18" t="inlineStr">
        <is>
          <t>2026-08-05</t>
        </is>
      </c>
      <c r="B74" s="18" t="inlineStr">
        <is>
          <t>NIFTY</t>
        </is>
      </c>
      <c r="C74" s="18" t="inlineStr">
        <is>
          <t>SKIP</t>
        </is>
      </c>
      <c r="D74" s="18" t="inlineStr">
        <is>
          <t>Conflicting — Price:BEARISH EMA:BULLISH</t>
        </is>
      </c>
      <c r="E74" s="18" t="n">
        <v>24401.02</v>
      </c>
      <c r="F74" s="18" t="n">
        <v>24267.08</v>
      </c>
      <c r="G74" s="18" t="inlineStr">
        <is>
          <t>NO TRADE — Conflicting signals</t>
        </is>
      </c>
    </row>
    <row r="75">
      <c r="A75" s="18" t="inlineStr">
        <is>
          <t>2026-08-06</t>
        </is>
      </c>
      <c r="B75" s="18" t="inlineStr">
        <is>
          <t>BANKNIFTY</t>
        </is>
      </c>
      <c r="C75" s="18" t="inlineStr">
        <is>
          <t>SKIP</t>
        </is>
      </c>
      <c r="D75" s="18" t="inlineStr">
        <is>
          <t>Conflicting — Price:BULLISH EMA:BEARISH</t>
        </is>
      </c>
      <c r="E75" s="18" t="n">
        <v>57614.31</v>
      </c>
      <c r="F75" s="18" t="n">
        <v>57616.82</v>
      </c>
      <c r="G75" s="18" t="inlineStr">
        <is>
          <t>NO TRADE — Conflicting signals</t>
        </is>
      </c>
    </row>
    <row r="76">
      <c r="A76" s="18" t="inlineStr">
        <is>
          <t>2026-08-07</t>
        </is>
      </c>
      <c r="B76" s="18" t="inlineStr">
        <is>
          <t>NIFTY</t>
        </is>
      </c>
      <c r="C76" s="18" t="inlineStr">
        <is>
          <t>SKIP</t>
        </is>
      </c>
      <c r="D76" s="18" t="inlineStr">
        <is>
          <t>Conflicting — Price:BEARISH EMA:BULLISH</t>
        </is>
      </c>
      <c r="E76" s="18" t="n">
        <v>24478.6</v>
      </c>
      <c r="F76" s="18" t="n">
        <v>24330.91</v>
      </c>
      <c r="G76" s="18" t="inlineStr">
        <is>
          <t>NO TRADE — Conflicting signals</t>
        </is>
      </c>
    </row>
    <row r="77">
      <c r="A77" s="18" t="inlineStr">
        <is>
          <t>2026-08-07</t>
        </is>
      </c>
      <c r="B77" s="18" t="inlineStr">
        <is>
          <t>BANKNIFTY</t>
        </is>
      </c>
      <c r="C77" s="18" t="inlineStr">
        <is>
          <t>SKIP</t>
        </is>
      </c>
      <c r="D77" s="18" t="inlineStr">
        <is>
          <t>Conflicting — Price:BEARISH EMA:BULLISH</t>
        </is>
      </c>
      <c r="E77" s="18" t="n">
        <v>57693.7</v>
      </c>
      <c r="F77" s="18" t="n">
        <v>57654.77</v>
      </c>
      <c r="G77" s="18" t="inlineStr">
        <is>
          <t>NO TRADE — Conflicting signals</t>
        </is>
      </c>
    </row>
    <row r="78">
      <c r="A78" s="18" t="inlineStr">
        <is>
          <t>2026-08-07</t>
        </is>
      </c>
      <c r="B78" s="18" t="inlineStr">
        <is>
          <t>NIFTY</t>
        </is>
      </c>
      <c r="C78" s="18" t="inlineStr">
        <is>
          <t>SKIP</t>
        </is>
      </c>
      <c r="D78" s="18" t="inlineStr">
        <is>
          <t>Conflicting — Price:BEARISH EMA:BULLISH</t>
        </is>
      </c>
      <c r="E78" s="18" t="n">
        <v>24476.13</v>
      </c>
      <c r="F78" s="18" t="n">
        <v>24329.79</v>
      </c>
      <c r="G78" s="18" t="inlineStr">
        <is>
          <t>NO TRADE — Conflicting signals</t>
        </is>
      </c>
    </row>
    <row r="79">
      <c r="A79" s="18" t="inlineStr">
        <is>
          <t>2026-08-07</t>
        </is>
      </c>
      <c r="B79" s="18" t="inlineStr">
        <is>
          <t>BANKNIFTY</t>
        </is>
      </c>
      <c r="C79" s="18" t="inlineStr">
        <is>
          <t>SKIP</t>
        </is>
      </c>
      <c r="D79" s="18" t="inlineStr">
        <is>
          <t>Conflicting — Price:BEARISH EMA:BULLISH</t>
        </is>
      </c>
      <c r="E79" s="18" t="n">
        <v>57674.5</v>
      </c>
      <c r="F79" s="18" t="n">
        <v>57646.04</v>
      </c>
      <c r="G79" s="18" t="inlineStr">
        <is>
          <t>NO TRADE — Conflicting signals</t>
        </is>
      </c>
    </row>
    <row r="80">
      <c r="A80" s="18" t="inlineStr">
        <is>
          <t>2026-08-10</t>
        </is>
      </c>
      <c r="B80" s="18" t="inlineStr">
        <is>
          <t>BANKNIFTY</t>
        </is>
      </c>
      <c r="C80" s="18" t="inlineStr">
        <is>
          <t>SKIP</t>
        </is>
      </c>
      <c r="D80" s="18" t="inlineStr">
        <is>
          <t>Conflicting — Price:BEARISH EMA:BULLISH</t>
        </is>
      </c>
      <c r="E80" s="18" t="n">
        <v>57681.12</v>
      </c>
      <c r="F80" s="18" t="n">
        <v>57666.4</v>
      </c>
      <c r="G80" s="18" t="inlineStr">
        <is>
          <t>NO TRADE — Conflicting signals</t>
        </is>
      </c>
    </row>
    <row r="81">
      <c r="A81" s="18" t="inlineStr">
        <is>
          <t>2026-08-10</t>
        </is>
      </c>
      <c r="B81" s="18" t="inlineStr">
        <is>
          <t>BANKNIFTY</t>
        </is>
      </c>
      <c r="C81" s="18" t="inlineStr">
        <is>
          <t>SKIP</t>
        </is>
      </c>
      <c r="D81" s="18" t="inlineStr">
        <is>
          <t>Conflicting — Price:BEARISH EMA:BULLISH</t>
        </is>
      </c>
      <c r="E81" s="18" t="n">
        <v>57676.77</v>
      </c>
      <c r="F81" s="18" t="n">
        <v>57664.42</v>
      </c>
      <c r="G81" s="18" t="inlineStr">
        <is>
          <t>NO TRADE — Conflicting signals</t>
        </is>
      </c>
    </row>
    <row r="82">
      <c r="A82" s="18" t="inlineStr">
        <is>
          <t>2026-08-11</t>
        </is>
      </c>
      <c r="B82" s="18" t="inlineStr">
        <is>
          <t>NIFTY</t>
        </is>
      </c>
      <c r="C82" s="18" t="inlineStr">
        <is>
          <t>SKIP</t>
        </is>
      </c>
      <c r="D82" s="18" t="inlineStr">
        <is>
          <t>Conflicting — Price:BEARISH EMA:BULLISH</t>
        </is>
      </c>
      <c r="E82" s="18" t="n">
        <v>24492.52</v>
      </c>
      <c r="F82" s="18" t="n">
        <v>24369.84</v>
      </c>
      <c r="G82" s="18" t="inlineStr">
        <is>
          <t>NO TRADE — Conflicting signals</t>
        </is>
      </c>
    </row>
    <row r="83">
      <c r="A83" s="18" t="inlineStr">
        <is>
          <t>2026-08-11</t>
        </is>
      </c>
      <c r="B83" s="18" t="inlineStr">
        <is>
          <t>NIFTY</t>
        </is>
      </c>
      <c r="C83" s="18" t="inlineStr">
        <is>
          <t>SKIP</t>
        </is>
      </c>
      <c r="D83" s="18" t="inlineStr">
        <is>
          <t>Conflicting — Price:BEARISH EMA:BULLISH</t>
        </is>
      </c>
      <c r="E83" s="18" t="n">
        <v>24492.74</v>
      </c>
      <c r="F83" s="18" t="n">
        <v>24369.94</v>
      </c>
      <c r="G83" s="18" t="inlineStr">
        <is>
          <t>NO TRADE — Conflicting signals</t>
        </is>
      </c>
    </row>
    <row r="84">
      <c r="A84" s="18" t="inlineStr">
        <is>
          <t>2026-08-12</t>
        </is>
      </c>
      <c r="B84" s="18" t="inlineStr">
        <is>
          <t>NIFTY</t>
        </is>
      </c>
      <c r="C84" s="18" t="inlineStr">
        <is>
          <t>SKIP</t>
        </is>
      </c>
      <c r="D84" s="18" t="inlineStr">
        <is>
          <t>Conflicting — Price:BEARISH EMA:BULLISH</t>
        </is>
      </c>
      <c r="E84" s="18" t="n">
        <v>24465.48</v>
      </c>
      <c r="F84" s="18" t="n">
        <v>24367</v>
      </c>
      <c r="G84" s="18" t="inlineStr">
        <is>
          <t>NO TRADE — Conflicting signals</t>
        </is>
      </c>
    </row>
    <row r="85">
      <c r="A85" s="18" t="inlineStr">
        <is>
          <t>2026-08-12</t>
        </is>
      </c>
      <c r="B85" s="18" t="inlineStr">
        <is>
          <t>BANKNIFTY</t>
        </is>
      </c>
      <c r="C85" s="18" t="inlineStr">
        <is>
          <t>SKIP</t>
        </is>
      </c>
      <c r="D85" s="18" t="inlineStr">
        <is>
          <t>Conflicting — Price:BULLISH EMA:BEARISH</t>
        </is>
      </c>
      <c r="E85" s="18" t="n">
        <v>57635.76</v>
      </c>
      <c r="F85" s="18" t="n">
        <v>57652.05</v>
      </c>
      <c r="G85" s="18" t="inlineStr">
        <is>
          <t>NO TRADE — Conflicting signals</t>
        </is>
      </c>
    </row>
    <row r="86">
      <c r="A86" s="18" t="inlineStr">
        <is>
          <t>2026-08-12</t>
        </is>
      </c>
      <c r="B86" s="18" t="inlineStr">
        <is>
          <t>NIFTY</t>
        </is>
      </c>
      <c r="C86" s="18" t="inlineStr">
        <is>
          <t>SKIP</t>
        </is>
      </c>
      <c r="D86" s="18" t="inlineStr">
        <is>
          <t>Conflicting — Price:BEARISH EMA:BULLISH</t>
        </is>
      </c>
      <c r="E86" s="18" t="n">
        <v>24474.32</v>
      </c>
      <c r="F86" s="18" t="n">
        <v>24340.75</v>
      </c>
      <c r="G86" s="18" t="inlineStr">
        <is>
          <t>NO TRADE — Conflicting signals</t>
        </is>
      </c>
    </row>
    <row r="87">
      <c r="A87" s="18" t="inlineStr">
        <is>
          <t>2026-08-13</t>
        </is>
      </c>
      <c r="B87" s="18" t="inlineStr">
        <is>
          <t>NIFTY</t>
        </is>
      </c>
      <c r="C87" s="18" t="inlineStr">
        <is>
          <t>SKIP</t>
        </is>
      </c>
      <c r="D87" s="18" t="inlineStr">
        <is>
          <t>Conflicting — Price:BEARISH EMA:BULLISH</t>
        </is>
      </c>
      <c r="E87" s="18" t="n">
        <v>24454.35</v>
      </c>
      <c r="F87" s="18" t="n">
        <v>24366</v>
      </c>
      <c r="G87" s="18" t="inlineStr">
        <is>
          <t>NO TRADE — Conflicting signals</t>
        </is>
      </c>
    </row>
    <row r="88">
      <c r="A88" s="18" t="inlineStr">
        <is>
          <t>2026-08-13</t>
        </is>
      </c>
      <c r="B88" s="18" t="inlineStr">
        <is>
          <t>BANKNIFTY</t>
        </is>
      </c>
      <c r="C88" s="18" t="inlineStr">
        <is>
          <t>SKIP</t>
        </is>
      </c>
      <c r="D88" s="18" t="inlineStr">
        <is>
          <t>Conflicting — Price:BEARISH EMA:BULLISH</t>
        </is>
      </c>
      <c r="E88" s="18" t="n">
        <v>57674.11</v>
      </c>
      <c r="F88" s="18" t="n">
        <v>57665.53</v>
      </c>
      <c r="G88" s="18" t="inlineStr">
        <is>
          <t>NO TRADE — Conflicting signals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2026-06-15T19:07:33Z</dcterms:created>
  <dcterms:modified xsi:type="dcterms:W3CDTF">2026-08-13T05:23:49Z</dcterms:modified>
</cp:coreProperties>
</file>