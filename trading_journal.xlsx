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Q_Trades" sheetId="1" state="visible" r:id="rId1"/>
    <sheet name="MNQ_Trades" sheetId="2" state="visible" r:id="rId2"/>
    <sheet name="US_Stocks" sheetId="3" state="visible" r:id="rId3"/>
    <sheet name="Fee_Breakdown" sheetId="4" state="visible" r:id="rId4"/>
    <sheet name="Summary" sheetId="5" state="visible" r:id="rId5"/>
    <sheet name="NIFTY_BullCall" sheetId="6" state="visible" r:id="rId6"/>
    <sheet name="NIFTY_BearPut" sheetId="7" state="visible" r:id="rId7"/>
    <sheet name="NIFTY_Both" sheetId="8" state="visible" r:id="rId8"/>
    <sheet name="NIFTY_Smart" sheetId="9" state="visible" r:id="rId9"/>
    <sheet name="BANKNIFTY_BullCall" sheetId="10" state="visible" r:id="rId10"/>
    <sheet name="BANKNIFTY_BearPut" sheetId="11" state="visible" r:id="rId11"/>
    <sheet name="BANKNIFTY_Both" sheetId="12" state="visible" r:id="rId12"/>
    <sheet name="BANKNIFTY_Smart" sheetId="13" state="visible" r:id="rId13"/>
    <sheet name="Skipped_Day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FFFFFF"/>
      <sz val="13"/>
    </font>
    <font>
      <name val="Arial"/>
      <b val="1"/>
      <color rgb="00FFFFFF"/>
      <sz val="14"/>
    </font>
    <font>
      <name val="Arial"/>
      <b val="1"/>
      <color rgb="001F4E79"/>
      <sz val="11"/>
    </font>
    <font>
      <name val="Arial"/>
      <b val="1"/>
      <sz val="10"/>
    </font>
    <font>
      <name val="Arial"/>
      <sz val="10"/>
    </font>
  </fonts>
  <fills count="1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0D2137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1A5276"/>
      </patternFill>
    </fill>
    <fill>
      <patternFill patternType="solid">
        <fgColor rgb="00922B21"/>
      </patternFill>
    </fill>
    <fill>
      <patternFill patternType="solid">
        <fgColor rgb="001E8449"/>
      </patternFill>
    </fill>
    <fill>
      <patternFill patternType="solid">
        <fgColor rgb="006C3483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E2EFDA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4" fillId="4" borderId="1" applyAlignment="1" pivotButton="0" quotePrefix="0" xfId="0">
      <alignment horizontal="left" vertical="center"/>
    </xf>
    <xf numFmtId="0" fontId="2" fillId="6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10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2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15:28 ET</t>
        </is>
      </c>
      <c r="H3" s="16" t="n">
        <v>30863</v>
      </c>
      <c r="I3" s="16" t="n">
        <v>30850</v>
      </c>
      <c r="J3" s="16" t="n">
        <v>30875</v>
      </c>
      <c r="K3" s="16" t="n">
        <v>7</v>
      </c>
      <c r="L3" s="16" t="n">
        <v>121.65</v>
      </c>
      <c r="M3" s="16" t="n">
        <v>125.64</v>
      </c>
      <c r="N3" s="16" t="n">
        <v>903.35</v>
      </c>
      <c r="O3" s="16" t="n">
        <v>2648.45</v>
      </c>
      <c r="P3" s="16" t="n">
        <v>255.46</v>
      </c>
      <c r="Q3" s="16" t="n">
        <v>255.46</v>
      </c>
      <c r="R3" s="16" t="n">
        <v>27.93</v>
      </c>
      <c r="S3" s="16" t="n">
        <v>3.3</v>
      </c>
      <c r="T3" s="16" t="n">
        <v>16.52</v>
      </c>
      <c r="U3" s="16" t="n">
        <v>35</v>
      </c>
      <c r="V3" s="16" t="n">
        <v>0.28</v>
      </c>
      <c r="W3" s="16" t="n">
        <v>51.8</v>
      </c>
      <c r="X3" s="16" t="n">
        <v>-23.87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6" t="inlineStr">
        <is>
          <t>2026-06-17</t>
        </is>
      </c>
      <c r="B4" s="16" t="inlineStr">
        <is>
          <t>NQ</t>
        </is>
      </c>
      <c r="C4" s="16" t="inlineStr">
        <is>
          <t>Bull Call Spread</t>
        </is>
      </c>
      <c r="D4" s="16" t="inlineStr">
        <is>
          <t>2026-06-19</t>
        </is>
      </c>
      <c r="E4" s="16" t="n">
        <v>2</v>
      </c>
      <c r="F4" s="16" t="inlineStr">
        <is>
          <t>10:00 ET</t>
        </is>
      </c>
      <c r="G4" s="16" t="inlineStr">
        <is>
          <t>15:00 ET</t>
        </is>
      </c>
      <c r="H4" s="16" t="n">
        <v>30463.75</v>
      </c>
      <c r="I4" s="16" t="n">
        <v>30450</v>
      </c>
      <c r="J4" s="16" t="n">
        <v>30475</v>
      </c>
      <c r="K4" s="16" t="n">
        <v>6</v>
      </c>
      <c r="L4" s="16" t="n">
        <v>139.72</v>
      </c>
      <c r="M4" s="16" t="n">
        <v>144.35</v>
      </c>
      <c r="N4" s="16" t="n">
        <v>882.72</v>
      </c>
      <c r="O4" s="16" t="n">
        <v>2161.68</v>
      </c>
      <c r="P4" s="16" t="n">
        <v>251.5</v>
      </c>
      <c r="Q4" s="16" t="n">
        <v>251.5</v>
      </c>
      <c r="R4" s="16" t="n">
        <v>27.78</v>
      </c>
      <c r="S4" s="16" t="n">
        <v>3.3</v>
      </c>
      <c r="T4" s="16" t="n">
        <v>14.16</v>
      </c>
      <c r="U4" s="16" t="n">
        <v>30</v>
      </c>
      <c r="V4" s="16" t="n">
        <v>0.24</v>
      </c>
      <c r="W4" s="16" t="n">
        <v>44.4</v>
      </c>
      <c r="X4" s="16" t="n">
        <v>-16.62</v>
      </c>
      <c r="Y4" s="16" t="inlineStr">
        <is>
          <t>FLAT</t>
        </is>
      </c>
      <c r="Z4" s="16" t="n">
        <v>1000</v>
      </c>
      <c r="AA4" s="16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12:26 ET</t>
        </is>
      </c>
      <c r="H5" s="15" t="n">
        <v>30623.75</v>
      </c>
      <c r="I5" s="15" t="n">
        <v>30600</v>
      </c>
      <c r="J5" s="15" t="n">
        <v>30625</v>
      </c>
      <c r="K5" s="15" t="n">
        <v>6</v>
      </c>
      <c r="L5" s="15" t="n">
        <v>148</v>
      </c>
      <c r="M5" s="15" t="n">
        <v>103.6</v>
      </c>
      <c r="N5" s="15" t="n">
        <v>932.4</v>
      </c>
      <c r="O5" s="15" t="n">
        <v>2112</v>
      </c>
      <c r="P5" s="15" t="n">
        <v>266.4</v>
      </c>
      <c r="Q5" s="15" t="n">
        <v>266.4</v>
      </c>
      <c r="R5" s="15" t="n">
        <v>-266.4</v>
      </c>
      <c r="S5" s="15" t="n">
        <v>-30</v>
      </c>
      <c r="T5" s="15" t="n">
        <v>14.16</v>
      </c>
      <c r="U5" s="15" t="n">
        <v>30</v>
      </c>
      <c r="V5" s="15" t="n">
        <v>0.24</v>
      </c>
      <c r="W5" s="15" t="n">
        <v>44.4</v>
      </c>
      <c r="X5" s="15" t="n">
        <v>-310.8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NQ</t>
        </is>
      </c>
      <c r="C6" s="17" t="inlineStr">
        <is>
          <t>Bull Call Spread</t>
        </is>
      </c>
      <c r="D6" s="17" t="inlineStr">
        <is>
          <t>2026-06-19</t>
        </is>
      </c>
      <c r="E6" s="17" t="n">
        <v>1</v>
      </c>
      <c r="F6" s="17" t="inlineStr">
        <is>
          <t>10:00 ET</t>
        </is>
      </c>
      <c r="G6" s="17" t="inlineStr">
        <is>
          <t>11:07 ET</t>
        </is>
      </c>
      <c r="H6" s="17" t="n">
        <v>30542.25</v>
      </c>
      <c r="I6" s="17" t="n">
        <v>30525</v>
      </c>
      <c r="J6" s="17" t="n">
        <v>30550</v>
      </c>
      <c r="K6" s="17" t="n">
        <v>7</v>
      </c>
      <c r="L6" s="17" t="n">
        <v>117.73</v>
      </c>
      <c r="M6" s="17" t="n">
        <v>153.05</v>
      </c>
      <c r="N6" s="17" t="n">
        <v>875.91</v>
      </c>
      <c r="O6" s="17" t="n">
        <v>2675.89</v>
      </c>
      <c r="P6" s="17" t="n">
        <v>247.23</v>
      </c>
      <c r="Q6" s="17" t="n">
        <v>247.23</v>
      </c>
      <c r="R6" s="17" t="n">
        <v>247.24</v>
      </c>
      <c r="S6" s="17" t="n">
        <v>30</v>
      </c>
      <c r="T6" s="17" t="n">
        <v>16.52</v>
      </c>
      <c r="U6" s="17" t="n">
        <v>35</v>
      </c>
      <c r="V6" s="17" t="n">
        <v>0.28</v>
      </c>
      <c r="W6" s="17" t="n">
        <v>51.8</v>
      </c>
      <c r="X6" s="17" t="n">
        <v>195.44</v>
      </c>
      <c r="Y6" s="17" t="inlineStr">
        <is>
          <t>PROFIT</t>
        </is>
      </c>
      <c r="Z6" s="17" t="n">
        <v>1000</v>
      </c>
      <c r="AA6" s="17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15:16 ET</t>
        </is>
      </c>
      <c r="H7" s="16" t="n">
        <v>30506.5</v>
      </c>
      <c r="I7" s="16" t="n">
        <v>30500</v>
      </c>
      <c r="J7" s="16" t="n">
        <v>30525</v>
      </c>
      <c r="K7" s="16" t="n">
        <v>4</v>
      </c>
      <c r="L7" s="16" t="n">
        <v>226.7</v>
      </c>
      <c r="M7" s="16" t="n">
        <v>221.29</v>
      </c>
      <c r="N7" s="16" t="n">
        <v>936.4</v>
      </c>
      <c r="O7" s="16" t="n">
        <v>1093.2</v>
      </c>
      <c r="P7" s="16" t="n">
        <v>272.04</v>
      </c>
      <c r="Q7" s="16" t="n">
        <v>272.04</v>
      </c>
      <c r="R7" s="16" t="n">
        <v>-21.64</v>
      </c>
      <c r="S7" s="16" t="n">
        <v>-2.4</v>
      </c>
      <c r="T7" s="16" t="n">
        <v>9.44</v>
      </c>
      <c r="U7" s="16" t="n">
        <v>20</v>
      </c>
      <c r="V7" s="16" t="n">
        <v>0.16</v>
      </c>
      <c r="W7" s="16" t="n">
        <v>29.6</v>
      </c>
      <c r="X7" s="16" t="n">
        <v>-51.24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11:01 ET</t>
        </is>
      </c>
      <c r="H8" s="15" t="n">
        <v>30506.5</v>
      </c>
      <c r="I8" s="15" t="n">
        <v>30500</v>
      </c>
      <c r="J8" s="15" t="n">
        <v>30525</v>
      </c>
      <c r="K8" s="15" t="n">
        <v>4</v>
      </c>
      <c r="L8" s="15" t="n">
        <v>238.22</v>
      </c>
      <c r="M8" s="15" t="n">
        <v>166.75</v>
      </c>
      <c r="N8" s="15" t="n">
        <v>982.48</v>
      </c>
      <c r="O8" s="15" t="n">
        <v>1047.12</v>
      </c>
      <c r="P8" s="15" t="n">
        <v>285.86</v>
      </c>
      <c r="Q8" s="15" t="n">
        <v>285.86</v>
      </c>
      <c r="R8" s="15" t="n">
        <v>-285.88</v>
      </c>
      <c r="S8" s="15" t="n">
        <v>-30</v>
      </c>
      <c r="T8" s="15" t="n">
        <v>9.44</v>
      </c>
      <c r="U8" s="15" t="n">
        <v>20</v>
      </c>
      <c r="V8" s="15" t="n">
        <v>0.16</v>
      </c>
      <c r="W8" s="15" t="n">
        <v>29.6</v>
      </c>
      <c r="X8" s="15" t="n">
        <v>-315.48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7" t="inlineStr">
        <is>
          <t>2026-06-22</t>
        </is>
      </c>
      <c r="B9" s="17" t="inlineStr">
        <is>
          <t>NQ</t>
        </is>
      </c>
      <c r="C9" s="17" t="inlineStr">
        <is>
          <t>Bull Call Spread</t>
        </is>
      </c>
      <c r="D9" s="17" t="inlineStr">
        <is>
          <t>2026-07-17</t>
        </is>
      </c>
      <c r="E9" s="17" t="n">
        <v>25</v>
      </c>
      <c r="F9" s="17" t="inlineStr">
        <is>
          <t>10:00 ET</t>
        </is>
      </c>
      <c r="G9" s="17" t="inlineStr">
        <is>
          <t>12:16 ET</t>
        </is>
      </c>
      <c r="H9" s="17" t="n">
        <v>30627.75</v>
      </c>
      <c r="I9" s="17" t="n">
        <v>30625</v>
      </c>
      <c r="J9" s="17" t="n">
        <v>30650</v>
      </c>
      <c r="K9" s="17" t="n">
        <v>3</v>
      </c>
      <c r="L9" s="17" t="n">
        <v>267.2</v>
      </c>
      <c r="M9" s="17" t="n">
        <v>347.36</v>
      </c>
      <c r="N9" s="17" t="n">
        <v>823.8</v>
      </c>
      <c r="O9" s="17" t="n">
        <v>698.4</v>
      </c>
      <c r="P9" s="17" t="n">
        <v>240.48</v>
      </c>
      <c r="Q9" s="17" t="n">
        <v>240.48</v>
      </c>
      <c r="R9" s="17" t="n">
        <v>240.48</v>
      </c>
      <c r="S9" s="17" t="n">
        <v>30</v>
      </c>
      <c r="T9" s="17" t="n">
        <v>7.08</v>
      </c>
      <c r="U9" s="17" t="n">
        <v>15</v>
      </c>
      <c r="V9" s="17" t="n">
        <v>0.12</v>
      </c>
      <c r="W9" s="17" t="n">
        <v>22.2</v>
      </c>
      <c r="X9" s="17" t="n">
        <v>218.28</v>
      </c>
      <c r="Y9" s="17" t="inlineStr">
        <is>
          <t>PROFIT</t>
        </is>
      </c>
      <c r="Z9" s="17" t="n">
        <v>1000</v>
      </c>
      <c r="AA9" s="17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11:12 ET</t>
        </is>
      </c>
      <c r="H10" s="17" t="n">
        <v>30662.5</v>
      </c>
      <c r="I10" s="17" t="n">
        <v>30650</v>
      </c>
      <c r="J10" s="17" t="n">
        <v>30675</v>
      </c>
      <c r="K10" s="17" t="n">
        <v>4</v>
      </c>
      <c r="L10" s="17" t="n">
        <v>237.6</v>
      </c>
      <c r="M10" s="17" t="n">
        <v>308.88</v>
      </c>
      <c r="N10" s="17" t="n">
        <v>980</v>
      </c>
      <c r="O10" s="17" t="n">
        <v>1049.6</v>
      </c>
      <c r="P10" s="17" t="n">
        <v>285.12</v>
      </c>
      <c r="Q10" s="17" t="n">
        <v>285.12</v>
      </c>
      <c r="R10" s="17" t="n">
        <v>285.12</v>
      </c>
      <c r="S10" s="17" t="n">
        <v>30</v>
      </c>
      <c r="T10" s="17" t="n">
        <v>9.44</v>
      </c>
      <c r="U10" s="17" t="n">
        <v>20</v>
      </c>
      <c r="V10" s="17" t="n">
        <v>0.16</v>
      </c>
      <c r="W10" s="17" t="n">
        <v>29.6</v>
      </c>
      <c r="X10" s="17" t="n">
        <v>255.52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NQ</t>
        </is>
      </c>
      <c r="C11" s="17" t="inlineStr">
        <is>
          <t>Bull Call Spread</t>
        </is>
      </c>
      <c r="D11" s="17" t="inlineStr">
        <is>
          <t>2026-07-17</t>
        </is>
      </c>
      <c r="E11" s="17" t="n">
        <v>24</v>
      </c>
      <c r="F11" s="17" t="inlineStr">
        <is>
          <t>10:00 ET</t>
        </is>
      </c>
      <c r="G11" s="17" t="inlineStr">
        <is>
          <t>13:39 ET</t>
        </is>
      </c>
      <c r="H11" s="17" t="n">
        <v>29686</v>
      </c>
      <c r="I11" s="17" t="n">
        <v>29675</v>
      </c>
      <c r="J11" s="17" t="n">
        <v>29700</v>
      </c>
      <c r="K11" s="17" t="n">
        <v>3</v>
      </c>
      <c r="L11" s="17" t="n">
        <v>249.78</v>
      </c>
      <c r="M11" s="17" t="n">
        <v>324.71</v>
      </c>
      <c r="N11" s="17" t="n">
        <v>771.54</v>
      </c>
      <c r="O11" s="17" t="n">
        <v>750.66</v>
      </c>
      <c r="P11" s="17" t="n">
        <v>224.8</v>
      </c>
      <c r="Q11" s="17" t="n">
        <v>224.8</v>
      </c>
      <c r="R11" s="17" t="n">
        <v>224.79</v>
      </c>
      <c r="S11" s="17" t="n">
        <v>30</v>
      </c>
      <c r="T11" s="17" t="n">
        <v>7.08</v>
      </c>
      <c r="U11" s="17" t="n">
        <v>15</v>
      </c>
      <c r="V11" s="17" t="n">
        <v>0.12</v>
      </c>
      <c r="W11" s="17" t="n">
        <v>22.2</v>
      </c>
      <c r="X11" s="17" t="n">
        <v>202.59</v>
      </c>
      <c r="Y11" s="17" t="inlineStr">
        <is>
          <t>PROFIT</t>
        </is>
      </c>
      <c r="Z11" s="17" t="n">
        <v>1000</v>
      </c>
      <c r="AA11" s="17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NQ</t>
        </is>
      </c>
      <c r="C12" s="17" t="inlineStr">
        <is>
          <t>Bull Call Spread</t>
        </is>
      </c>
      <c r="D12" s="17" t="inlineStr">
        <is>
          <t>2026-07-17</t>
        </is>
      </c>
      <c r="E12" s="17" t="n">
        <v>24</v>
      </c>
      <c r="F12" s="17" t="inlineStr">
        <is>
          <t>10:00 ET</t>
        </is>
      </c>
      <c r="G12" s="17" t="inlineStr">
        <is>
          <t>11:47 ET</t>
        </is>
      </c>
      <c r="H12" s="17" t="n">
        <v>29732.5</v>
      </c>
      <c r="I12" s="17" t="n">
        <v>29725</v>
      </c>
      <c r="J12" s="17" t="n">
        <v>29750</v>
      </c>
      <c r="K12" s="17" t="n">
        <v>3</v>
      </c>
      <c r="L12" s="17" t="n">
        <v>254.03</v>
      </c>
      <c r="M12" s="17" t="n">
        <v>330.24</v>
      </c>
      <c r="N12" s="17" t="n">
        <v>784.29</v>
      </c>
      <c r="O12" s="17" t="n">
        <v>737.91</v>
      </c>
      <c r="P12" s="17" t="n">
        <v>228.63</v>
      </c>
      <c r="Q12" s="17" t="n">
        <v>228.63</v>
      </c>
      <c r="R12" s="17" t="n">
        <v>228.63</v>
      </c>
      <c r="S12" s="17" t="n">
        <v>30</v>
      </c>
      <c r="T12" s="17" t="n">
        <v>7.08</v>
      </c>
      <c r="U12" s="17" t="n">
        <v>15</v>
      </c>
      <c r="V12" s="17" t="n">
        <v>0.12</v>
      </c>
      <c r="W12" s="17" t="n">
        <v>22.2</v>
      </c>
      <c r="X12" s="17" t="n">
        <v>206.43</v>
      </c>
      <c r="Y12" s="17" t="inlineStr">
        <is>
          <t>PROFIT</t>
        </is>
      </c>
      <c r="Z12" s="17" t="n">
        <v>1000</v>
      </c>
      <c r="AA12" s="17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12:03 ET</t>
        </is>
      </c>
      <c r="H13" s="17" t="n">
        <v>29866.25</v>
      </c>
      <c r="I13" s="17" t="n">
        <v>29850</v>
      </c>
      <c r="J13" s="17" t="n">
        <v>29875</v>
      </c>
      <c r="K13" s="17" t="n">
        <v>3</v>
      </c>
      <c r="L13" s="17" t="n">
        <v>246.52</v>
      </c>
      <c r="M13" s="17" t="n">
        <v>320.48</v>
      </c>
      <c r="N13" s="17" t="n">
        <v>761.76</v>
      </c>
      <c r="O13" s="17" t="n">
        <v>760.4400000000001</v>
      </c>
      <c r="P13" s="17" t="n">
        <v>221.87</v>
      </c>
      <c r="Q13" s="17" t="n">
        <v>221.87</v>
      </c>
      <c r="R13" s="17" t="n">
        <v>221.88</v>
      </c>
      <c r="S13" s="17" t="n">
        <v>30</v>
      </c>
      <c r="T13" s="17" t="n">
        <v>7.08</v>
      </c>
      <c r="U13" s="17" t="n">
        <v>15</v>
      </c>
      <c r="V13" s="17" t="n">
        <v>0.12</v>
      </c>
      <c r="W13" s="17" t="n">
        <v>22.2</v>
      </c>
      <c r="X13" s="17" t="n">
        <v>199.68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7" t="inlineStr">
        <is>
          <t>2026-06-24</t>
        </is>
      </c>
      <c r="B14" s="17" t="inlineStr">
        <is>
          <t>NQ</t>
        </is>
      </c>
      <c r="C14" s="17" t="inlineStr">
        <is>
          <t>Bull Call Spread</t>
        </is>
      </c>
      <c r="D14" s="17" t="inlineStr">
        <is>
          <t>2026-07-17</t>
        </is>
      </c>
      <c r="E14" s="17" t="n">
        <v>23</v>
      </c>
      <c r="F14" s="17" t="inlineStr">
        <is>
          <t>10:00 ET</t>
        </is>
      </c>
      <c r="G14" s="17" t="inlineStr">
        <is>
          <t>13:10 ET</t>
        </is>
      </c>
      <c r="H14" s="17" t="n">
        <v>29838</v>
      </c>
      <c r="I14" s="17" t="n">
        <v>29825</v>
      </c>
      <c r="J14" s="17" t="n">
        <v>29850</v>
      </c>
      <c r="K14" s="17" t="n">
        <v>3</v>
      </c>
      <c r="L14" s="17" t="n">
        <v>268.69</v>
      </c>
      <c r="M14" s="17" t="n">
        <v>349.3</v>
      </c>
      <c r="N14" s="17" t="n">
        <v>828.27</v>
      </c>
      <c r="O14" s="17" t="n">
        <v>693.9299999999999</v>
      </c>
      <c r="P14" s="17" t="n">
        <v>241.82</v>
      </c>
      <c r="Q14" s="17" t="n">
        <v>241.82</v>
      </c>
      <c r="R14" s="17" t="n">
        <v>241.83</v>
      </c>
      <c r="S14" s="17" t="n">
        <v>30</v>
      </c>
      <c r="T14" s="17" t="n">
        <v>7.08</v>
      </c>
      <c r="U14" s="17" t="n">
        <v>15</v>
      </c>
      <c r="V14" s="17" t="n">
        <v>0.12</v>
      </c>
      <c r="W14" s="17" t="n">
        <v>22.2</v>
      </c>
      <c r="X14" s="17" t="n">
        <v>219.63</v>
      </c>
      <c r="Y14" s="17" t="inlineStr">
        <is>
          <t>PROFIT</t>
        </is>
      </c>
      <c r="Z14" s="17" t="n">
        <v>1000</v>
      </c>
      <c r="AA14" s="17" t="inlineStr">
        <is>
          <t>PAPER TRADING</t>
        </is>
      </c>
    </row>
    <row r="15">
      <c r="A15" s="17" t="inlineStr">
        <is>
          <t>2026-06-25</t>
        </is>
      </c>
      <c r="B15" s="17" t="inlineStr">
        <is>
          <t>NQ</t>
        </is>
      </c>
      <c r="C15" s="17" t="inlineStr">
        <is>
          <t>Bull Call Spread</t>
        </is>
      </c>
      <c r="D15" s="17" t="inlineStr">
        <is>
          <t>2026-07-17</t>
        </is>
      </c>
      <c r="E15" s="17" t="n">
        <v>22</v>
      </c>
      <c r="F15" s="17" t="inlineStr">
        <is>
          <t>10:00 ET</t>
        </is>
      </c>
      <c r="G15" s="17" t="inlineStr">
        <is>
          <t>13:51 ET</t>
        </is>
      </c>
      <c r="H15" s="17" t="n">
        <v>30137</v>
      </c>
      <c r="I15" s="17" t="n">
        <v>30125</v>
      </c>
      <c r="J15" s="17" t="n">
        <v>30150</v>
      </c>
      <c r="K15" s="17" t="n">
        <v>4</v>
      </c>
      <c r="L15" s="17" t="n">
        <v>215.94</v>
      </c>
      <c r="M15" s="17" t="n">
        <v>280.72</v>
      </c>
      <c r="N15" s="17" t="n">
        <v>893.36</v>
      </c>
      <c r="O15" s="17" t="n">
        <v>1136.24</v>
      </c>
      <c r="P15" s="17" t="n">
        <v>259.13</v>
      </c>
      <c r="Q15" s="17" t="n">
        <v>259.13</v>
      </c>
      <c r="R15" s="17" t="n">
        <v>259.12</v>
      </c>
      <c r="S15" s="17" t="n">
        <v>30</v>
      </c>
      <c r="T15" s="17" t="n">
        <v>9.44</v>
      </c>
      <c r="U15" s="17" t="n">
        <v>20</v>
      </c>
      <c r="V15" s="17" t="n">
        <v>0.16</v>
      </c>
      <c r="W15" s="17" t="n">
        <v>29.6</v>
      </c>
      <c r="X15" s="17" t="n">
        <v>229.52</v>
      </c>
      <c r="Y15" s="17" t="inlineStr">
        <is>
          <t>PROFIT</t>
        </is>
      </c>
      <c r="Z15" s="17" t="n">
        <v>1000</v>
      </c>
      <c r="AA15" s="17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11:51 ET</t>
        </is>
      </c>
      <c r="H16" s="17" t="n">
        <v>29766</v>
      </c>
      <c r="I16" s="17" t="n">
        <v>29750</v>
      </c>
      <c r="J16" s="17" t="n">
        <v>29775</v>
      </c>
      <c r="K16" s="17" t="n">
        <v>3</v>
      </c>
      <c r="L16" s="17" t="n">
        <v>273.87</v>
      </c>
      <c r="M16" s="17" t="n">
        <v>356.03</v>
      </c>
      <c r="N16" s="17" t="n">
        <v>843.8099999999999</v>
      </c>
      <c r="O16" s="17" t="n">
        <v>678.39</v>
      </c>
      <c r="P16" s="17" t="n">
        <v>246.48</v>
      </c>
      <c r="Q16" s="17" t="n">
        <v>246.48</v>
      </c>
      <c r="R16" s="17" t="n">
        <v>246.48</v>
      </c>
      <c r="S16" s="17" t="n">
        <v>30</v>
      </c>
      <c r="T16" s="17" t="n">
        <v>7.08</v>
      </c>
      <c r="U16" s="17" t="n">
        <v>15</v>
      </c>
      <c r="V16" s="17" t="n">
        <v>0.12</v>
      </c>
      <c r="W16" s="17" t="n">
        <v>22.2</v>
      </c>
      <c r="X16" s="17" t="n">
        <v>224.28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10:57 ET</t>
        </is>
      </c>
      <c r="H17" s="15" t="n">
        <v>29437.25</v>
      </c>
      <c r="I17" s="15" t="n">
        <v>29425</v>
      </c>
      <c r="J17" s="15" t="n">
        <v>29450</v>
      </c>
      <c r="K17" s="15" t="n">
        <v>4</v>
      </c>
      <c r="L17" s="15" t="n">
        <v>223.34</v>
      </c>
      <c r="M17" s="15" t="n">
        <v>156.34</v>
      </c>
      <c r="N17" s="15" t="n">
        <v>922.96</v>
      </c>
      <c r="O17" s="15" t="n">
        <v>1106.64</v>
      </c>
      <c r="P17" s="15" t="n">
        <v>268.01</v>
      </c>
      <c r="Q17" s="15" t="n">
        <v>268.01</v>
      </c>
      <c r="R17" s="15" t="n">
        <v>-268</v>
      </c>
      <c r="S17" s="15" t="n">
        <v>-30</v>
      </c>
      <c r="T17" s="15" t="n">
        <v>9.44</v>
      </c>
      <c r="U17" s="15" t="n">
        <v>20</v>
      </c>
      <c r="V17" s="15" t="n">
        <v>0.16</v>
      </c>
      <c r="W17" s="15" t="n">
        <v>29.6</v>
      </c>
      <c r="X17" s="15" t="n">
        <v>-297.6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5" t="inlineStr">
        <is>
          <t>2026-06-26</t>
        </is>
      </c>
      <c r="B18" s="15" t="inlineStr">
        <is>
          <t>NQ</t>
        </is>
      </c>
      <c r="C18" s="15" t="inlineStr">
        <is>
          <t>Bull Call Spread</t>
        </is>
      </c>
      <c r="D18" s="15" t="inlineStr">
        <is>
          <t>2026-07-17</t>
        </is>
      </c>
      <c r="E18" s="15" t="n">
        <v>21</v>
      </c>
      <c r="F18" s="15" t="inlineStr">
        <is>
          <t>10:00 ET</t>
        </is>
      </c>
      <c r="G18" s="15" t="inlineStr">
        <is>
          <t>10:32 ET</t>
        </is>
      </c>
      <c r="H18" s="15" t="n">
        <v>29317.5</v>
      </c>
      <c r="I18" s="15" t="n">
        <v>29300</v>
      </c>
      <c r="J18" s="15" t="n">
        <v>29325</v>
      </c>
      <c r="K18" s="15" t="n">
        <v>4</v>
      </c>
      <c r="L18" s="15" t="n">
        <v>237.74</v>
      </c>
      <c r="M18" s="15" t="n">
        <v>166.42</v>
      </c>
      <c r="N18" s="15" t="n">
        <v>980.5599999999999</v>
      </c>
      <c r="O18" s="15" t="n">
        <v>1049.04</v>
      </c>
      <c r="P18" s="15" t="n">
        <v>285.29</v>
      </c>
      <c r="Q18" s="15" t="n">
        <v>285.29</v>
      </c>
      <c r="R18" s="15" t="n">
        <v>-285.28</v>
      </c>
      <c r="S18" s="15" t="n">
        <v>-30</v>
      </c>
      <c r="T18" s="15" t="n">
        <v>9.44</v>
      </c>
      <c r="U18" s="15" t="n">
        <v>20</v>
      </c>
      <c r="V18" s="15" t="n">
        <v>0.16</v>
      </c>
      <c r="W18" s="15" t="n">
        <v>29.6</v>
      </c>
      <c r="X18" s="15" t="n">
        <v>-314.88</v>
      </c>
      <c r="Y18" s="15" t="inlineStr">
        <is>
          <t>STOP LOSS</t>
        </is>
      </c>
      <c r="Z18" s="15" t="n">
        <v>1000</v>
      </c>
      <c r="AA18" s="15" t="inlineStr">
        <is>
          <t>PAPER TRADING</t>
        </is>
      </c>
    </row>
    <row r="19">
      <c r="A19" s="15" t="inlineStr">
        <is>
          <t>2026-06-29</t>
        </is>
      </c>
      <c r="B19" s="15" t="inlineStr">
        <is>
          <t>NQ</t>
        </is>
      </c>
      <c r="C19" s="15" t="inlineStr">
        <is>
          <t>Bull Call Spread</t>
        </is>
      </c>
      <c r="D19" s="15" t="inlineStr">
        <is>
          <t>2026-07-17</t>
        </is>
      </c>
      <c r="E19" s="15" t="n">
        <v>18</v>
      </c>
      <c r="F19" s="15" t="inlineStr">
        <is>
          <t>10:00 ET</t>
        </is>
      </c>
      <c r="G19" s="15" t="inlineStr">
        <is>
          <t>10:46 ET</t>
        </is>
      </c>
      <c r="H19" s="15" t="n">
        <v>29856.25</v>
      </c>
      <c r="I19" s="15" t="n">
        <v>29850</v>
      </c>
      <c r="J19" s="15" t="n">
        <v>29875</v>
      </c>
      <c r="K19" s="15" t="n">
        <v>3</v>
      </c>
      <c r="L19" s="15" t="n">
        <v>251.24</v>
      </c>
      <c r="M19" s="15" t="n">
        <v>175.87</v>
      </c>
      <c r="N19" s="15" t="n">
        <v>775.92</v>
      </c>
      <c r="O19" s="15" t="n">
        <v>746.28</v>
      </c>
      <c r="P19" s="15" t="n">
        <v>226.12</v>
      </c>
      <c r="Q19" s="15" t="n">
        <v>226.12</v>
      </c>
      <c r="R19" s="15" t="n">
        <v>-226.11</v>
      </c>
      <c r="S19" s="15" t="n">
        <v>-30</v>
      </c>
      <c r="T19" s="15" t="n">
        <v>7.08</v>
      </c>
      <c r="U19" s="15" t="n">
        <v>15</v>
      </c>
      <c r="V19" s="15" t="n">
        <v>0.12</v>
      </c>
      <c r="W19" s="15" t="n">
        <v>22.2</v>
      </c>
      <c r="X19" s="15" t="n">
        <v>-248.31</v>
      </c>
      <c r="Y19" s="15" t="inlineStr">
        <is>
          <t>STOP LOSS</t>
        </is>
      </c>
      <c r="Z19" s="15" t="n">
        <v>1000</v>
      </c>
      <c r="AA19" s="15" t="inlineStr">
        <is>
          <t>PAPER TRADING</t>
        </is>
      </c>
    </row>
    <row r="20">
      <c r="A20" s="15" t="inlineStr">
        <is>
          <t>2026-06-29</t>
        </is>
      </c>
      <c r="B20" s="15" t="inlineStr">
        <is>
          <t>NQ</t>
        </is>
      </c>
      <c r="C20" s="15" t="inlineStr">
        <is>
          <t>Bull Call Spread</t>
        </is>
      </c>
      <c r="D20" s="15" t="inlineStr">
        <is>
          <t>2026-07-17</t>
        </is>
      </c>
      <c r="E20" s="15" t="n">
        <v>18</v>
      </c>
      <c r="F20" s="15" t="inlineStr">
        <is>
          <t>10:00 ET</t>
        </is>
      </c>
      <c r="G20" s="15" t="inlineStr">
        <is>
          <t>11:26 ET</t>
        </is>
      </c>
      <c r="H20" s="15" t="n">
        <v>30026.5</v>
      </c>
      <c r="I20" s="15" t="n">
        <v>30025</v>
      </c>
      <c r="J20" s="15" t="n">
        <v>30050</v>
      </c>
      <c r="K20" s="15" t="n">
        <v>4</v>
      </c>
      <c r="L20" s="15" t="n">
        <v>239.18</v>
      </c>
      <c r="M20" s="15" t="n">
        <v>167.43</v>
      </c>
      <c r="N20" s="15" t="n">
        <v>986.3200000000001</v>
      </c>
      <c r="O20" s="15" t="n">
        <v>1043.28</v>
      </c>
      <c r="P20" s="15" t="n">
        <v>287.02</v>
      </c>
      <c r="Q20" s="15" t="n">
        <v>287.02</v>
      </c>
      <c r="R20" s="15" t="n">
        <v>-287</v>
      </c>
      <c r="S20" s="15" t="n">
        <v>-30</v>
      </c>
      <c r="T20" s="15" t="n">
        <v>9.44</v>
      </c>
      <c r="U20" s="15" t="n">
        <v>20</v>
      </c>
      <c r="V20" s="15" t="n">
        <v>0.16</v>
      </c>
      <c r="W20" s="15" t="n">
        <v>29.6</v>
      </c>
      <c r="X20" s="15" t="n">
        <v>-316.6</v>
      </c>
      <c r="Y20" s="15" t="inlineStr">
        <is>
          <t>STOP LOSS</t>
        </is>
      </c>
      <c r="Z20" s="15" t="n">
        <v>1000</v>
      </c>
      <c r="AA20" s="15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13:44 ET</t>
        </is>
      </c>
      <c r="H21" s="17" t="n">
        <v>30154.75</v>
      </c>
      <c r="I21" s="17" t="n">
        <v>30150</v>
      </c>
      <c r="J21" s="17" t="n">
        <v>30175</v>
      </c>
      <c r="K21" s="17" t="n">
        <v>4</v>
      </c>
      <c r="L21" s="17" t="n">
        <v>229.86</v>
      </c>
      <c r="M21" s="17" t="n">
        <v>298.82</v>
      </c>
      <c r="N21" s="17" t="n">
        <v>949.04</v>
      </c>
      <c r="O21" s="17" t="n">
        <v>1080.56</v>
      </c>
      <c r="P21" s="17" t="n">
        <v>275.83</v>
      </c>
      <c r="Q21" s="17" t="n">
        <v>275.83</v>
      </c>
      <c r="R21" s="17" t="n">
        <v>275.84</v>
      </c>
      <c r="S21" s="17" t="n">
        <v>30</v>
      </c>
      <c r="T21" s="17" t="n">
        <v>9.44</v>
      </c>
      <c r="U21" s="17" t="n">
        <v>20</v>
      </c>
      <c r="V21" s="17" t="n">
        <v>0.16</v>
      </c>
      <c r="W21" s="17" t="n">
        <v>29.6</v>
      </c>
      <c r="X21" s="17" t="n">
        <v>246.24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11:09 ET</t>
        </is>
      </c>
      <c r="H22" s="17" t="n">
        <v>30503.25</v>
      </c>
      <c r="I22" s="17" t="n">
        <v>30500</v>
      </c>
      <c r="J22" s="17" t="n">
        <v>30525</v>
      </c>
      <c r="K22" s="17" t="n">
        <v>4</v>
      </c>
      <c r="L22" s="17" t="n">
        <v>215.87</v>
      </c>
      <c r="M22" s="17" t="n">
        <v>280.63</v>
      </c>
      <c r="N22" s="17" t="n">
        <v>893.08</v>
      </c>
      <c r="O22" s="17" t="n">
        <v>1136.52</v>
      </c>
      <c r="P22" s="17" t="n">
        <v>259.04</v>
      </c>
      <c r="Q22" s="17" t="n">
        <v>259.04</v>
      </c>
      <c r="R22" s="17" t="n">
        <v>259.04</v>
      </c>
      <c r="S22" s="17" t="n">
        <v>30</v>
      </c>
      <c r="T22" s="17" t="n">
        <v>9.44</v>
      </c>
      <c r="U22" s="17" t="n">
        <v>20</v>
      </c>
      <c r="V22" s="17" t="n">
        <v>0.16</v>
      </c>
      <c r="W22" s="17" t="n">
        <v>29.6</v>
      </c>
      <c r="X22" s="17" t="n">
        <v>229.44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5" t="inlineStr">
        <is>
          <t>2026-07-01</t>
        </is>
      </c>
      <c r="B23" s="15" t="inlineStr">
        <is>
          <t>NQ</t>
        </is>
      </c>
      <c r="C23" s="15" t="inlineStr">
        <is>
          <t>Bull Call Spread</t>
        </is>
      </c>
      <c r="D23" s="15" t="inlineStr">
        <is>
          <t>2026-07-17</t>
        </is>
      </c>
      <c r="E23" s="15" t="n">
        <v>16</v>
      </c>
      <c r="F23" s="15" t="inlineStr">
        <is>
          <t>10:00 ET</t>
        </is>
      </c>
      <c r="G23" s="15" t="inlineStr">
        <is>
          <t>11:14 ET</t>
        </is>
      </c>
      <c r="H23" s="15" t="n">
        <v>30226.25</v>
      </c>
      <c r="I23" s="15" t="n">
        <v>30225</v>
      </c>
      <c r="J23" s="15" t="n">
        <v>30250</v>
      </c>
      <c r="K23" s="15" t="n">
        <v>4</v>
      </c>
      <c r="L23" s="15" t="n">
        <v>219.93</v>
      </c>
      <c r="M23" s="15" t="n">
        <v>153.95</v>
      </c>
      <c r="N23" s="15" t="n">
        <v>909.3200000000001</v>
      </c>
      <c r="O23" s="15" t="n">
        <v>1120.28</v>
      </c>
      <c r="P23" s="15" t="n">
        <v>263.92</v>
      </c>
      <c r="Q23" s="15" t="n">
        <v>263.92</v>
      </c>
      <c r="R23" s="15" t="n">
        <v>-263.92</v>
      </c>
      <c r="S23" s="15" t="n">
        <v>-30</v>
      </c>
      <c r="T23" s="15" t="n">
        <v>9.44</v>
      </c>
      <c r="U23" s="15" t="n">
        <v>20</v>
      </c>
      <c r="V23" s="15" t="n">
        <v>0.16</v>
      </c>
      <c r="W23" s="15" t="n">
        <v>29.6</v>
      </c>
      <c r="X23" s="15" t="n">
        <v>-293.52</v>
      </c>
      <c r="Y23" s="15" t="inlineStr">
        <is>
          <t>STOP LOSS</t>
        </is>
      </c>
      <c r="Z23" s="15" t="n">
        <v>1000</v>
      </c>
      <c r="AA23" s="15" t="inlineStr">
        <is>
          <t>PAPER TRADING</t>
        </is>
      </c>
    </row>
    <row r="24">
      <c r="A24" s="17" t="inlineStr">
        <is>
          <t>2026-07-01</t>
        </is>
      </c>
      <c r="B24" s="17" t="inlineStr">
        <is>
          <t>NQ</t>
        </is>
      </c>
      <c r="C24" s="17" t="inlineStr">
        <is>
          <t>Bull Call Spread</t>
        </is>
      </c>
      <c r="D24" s="17" t="inlineStr">
        <is>
          <t>2026-07-17</t>
        </is>
      </c>
      <c r="E24" s="17" t="n">
        <v>16</v>
      </c>
      <c r="F24" s="17" t="inlineStr">
        <is>
          <t>10:00 ET</t>
        </is>
      </c>
      <c r="G24" s="17" t="inlineStr">
        <is>
          <t>12:12 ET</t>
        </is>
      </c>
      <c r="H24" s="17" t="n">
        <v>30035.25</v>
      </c>
      <c r="I24" s="17" t="n">
        <v>30025</v>
      </c>
      <c r="J24" s="17" t="n">
        <v>30050</v>
      </c>
      <c r="K24" s="17" t="n">
        <v>3</v>
      </c>
      <c r="L24" s="17" t="n">
        <v>270.94</v>
      </c>
      <c r="M24" s="17" t="n">
        <v>352.22</v>
      </c>
      <c r="N24" s="17" t="n">
        <v>835.02</v>
      </c>
      <c r="O24" s="17" t="n">
        <v>687.1799999999999</v>
      </c>
      <c r="P24" s="17" t="n">
        <v>243.85</v>
      </c>
      <c r="Q24" s="17" t="n">
        <v>243.85</v>
      </c>
      <c r="R24" s="17" t="n">
        <v>243.84</v>
      </c>
      <c r="S24" s="17" t="n">
        <v>30</v>
      </c>
      <c r="T24" s="17" t="n">
        <v>7.08</v>
      </c>
      <c r="U24" s="17" t="n">
        <v>15</v>
      </c>
      <c r="V24" s="17" t="n">
        <v>0.12</v>
      </c>
      <c r="W24" s="17" t="n">
        <v>22.2</v>
      </c>
      <c r="X24" s="17" t="n">
        <v>221.64</v>
      </c>
      <c r="Y24" s="17" t="inlineStr">
        <is>
          <t>PROFIT</t>
        </is>
      </c>
      <c r="Z24" s="17" t="n">
        <v>1000</v>
      </c>
      <c r="AA24" s="17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11:06 ET</t>
        </is>
      </c>
      <c r="H25" s="17" t="n">
        <v>30066</v>
      </c>
      <c r="I25" s="17" t="n">
        <v>30050</v>
      </c>
      <c r="J25" s="17" t="n">
        <v>30075</v>
      </c>
      <c r="K25" s="17" t="n">
        <v>4</v>
      </c>
      <c r="L25" s="17" t="n">
        <v>224.56</v>
      </c>
      <c r="M25" s="17" t="n">
        <v>291.93</v>
      </c>
      <c r="N25" s="17" t="n">
        <v>927.84</v>
      </c>
      <c r="O25" s="17" t="n">
        <v>1101.76</v>
      </c>
      <c r="P25" s="17" t="n">
        <v>269.47</v>
      </c>
      <c r="Q25" s="17" t="n">
        <v>269.47</v>
      </c>
      <c r="R25" s="17" t="n">
        <v>269.48</v>
      </c>
      <c r="S25" s="17" t="n">
        <v>30</v>
      </c>
      <c r="T25" s="17" t="n">
        <v>9.44</v>
      </c>
      <c r="U25" s="17" t="n">
        <v>20</v>
      </c>
      <c r="V25" s="17" t="n">
        <v>0.16</v>
      </c>
      <c r="W25" s="17" t="n">
        <v>29.6</v>
      </c>
      <c r="X25" s="17" t="n">
        <v>239.88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10:30 ET</t>
        </is>
      </c>
      <c r="H26" s="15" t="n">
        <v>29504.25</v>
      </c>
      <c r="I26" s="15" t="n">
        <v>29500</v>
      </c>
      <c r="J26" s="15" t="n">
        <v>29525</v>
      </c>
      <c r="K26" s="15" t="n">
        <v>4</v>
      </c>
      <c r="L26" s="15" t="n">
        <v>220.37</v>
      </c>
      <c r="M26" s="15" t="n">
        <v>154.26</v>
      </c>
      <c r="N26" s="15" t="n">
        <v>911.08</v>
      </c>
      <c r="O26" s="15" t="n">
        <v>1118.52</v>
      </c>
      <c r="P26" s="15" t="n">
        <v>264.44</v>
      </c>
      <c r="Q26" s="15" t="n">
        <v>264.44</v>
      </c>
      <c r="R26" s="15" t="n">
        <v>-264.44</v>
      </c>
      <c r="S26" s="15" t="n">
        <v>-30</v>
      </c>
      <c r="T26" s="15" t="n">
        <v>9.44</v>
      </c>
      <c r="U26" s="15" t="n">
        <v>20</v>
      </c>
      <c r="V26" s="15" t="n">
        <v>0.16</v>
      </c>
      <c r="W26" s="15" t="n">
        <v>29.6</v>
      </c>
      <c r="X26" s="15" t="n">
        <v>-294.04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MNQ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MNQ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16:20 ET</t>
        </is>
      </c>
      <c r="H3" s="16" t="n">
        <v>30863.75</v>
      </c>
      <c r="I3" s="16" t="n">
        <v>30850</v>
      </c>
      <c r="J3" s="16" t="n">
        <v>30875</v>
      </c>
      <c r="K3" s="16" t="n">
        <v>78</v>
      </c>
      <c r="L3" s="16" t="n">
        <v>11.14</v>
      </c>
      <c r="M3" s="16" t="n">
        <v>11.18</v>
      </c>
      <c r="N3" s="16" t="n">
        <v>996.84</v>
      </c>
      <c r="O3" s="16" t="n">
        <v>3031.08</v>
      </c>
      <c r="P3" s="16" t="n">
        <v>260.68</v>
      </c>
      <c r="Q3" s="16" t="n">
        <v>260.68</v>
      </c>
      <c r="R3" s="16" t="n">
        <v>3.12</v>
      </c>
      <c r="S3" s="16" t="n">
        <v>0.4</v>
      </c>
      <c r="T3" s="16" t="n">
        <v>46.8</v>
      </c>
      <c r="U3" s="16" t="n">
        <v>78</v>
      </c>
      <c r="V3" s="16" t="n">
        <v>3.12</v>
      </c>
      <c r="W3" s="16" t="n">
        <v>127.92</v>
      </c>
      <c r="X3" s="16" t="n">
        <v>-124.8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5" t="inlineStr">
        <is>
          <t>2026-06-17</t>
        </is>
      </c>
      <c r="B4" s="15" t="inlineStr">
        <is>
          <t>MNQ</t>
        </is>
      </c>
      <c r="C4" s="15" t="inlineStr">
        <is>
          <t>Bull Call Spread</t>
        </is>
      </c>
      <c r="D4" s="15" t="inlineStr">
        <is>
          <t>2026-06-19</t>
        </is>
      </c>
      <c r="E4" s="15" t="n">
        <v>2</v>
      </c>
      <c r="F4" s="15" t="inlineStr">
        <is>
          <t>10:00 ET</t>
        </is>
      </c>
      <c r="G4" s="15" t="inlineStr">
        <is>
          <t>11:01 ET</t>
        </is>
      </c>
      <c r="H4" s="15" t="n">
        <v>30463.75</v>
      </c>
      <c r="I4" s="15" t="n">
        <v>30450</v>
      </c>
      <c r="J4" s="15" t="n">
        <v>30475</v>
      </c>
      <c r="K4" s="15" t="n">
        <v>60</v>
      </c>
      <c r="L4" s="15" t="n">
        <v>14.8</v>
      </c>
      <c r="M4" s="15" t="n">
        <v>10.36</v>
      </c>
      <c r="N4" s="15" t="n">
        <v>986.4</v>
      </c>
      <c r="O4" s="15" t="n">
        <v>2112</v>
      </c>
      <c r="P4" s="15" t="n">
        <v>266.4</v>
      </c>
      <c r="Q4" s="15" t="n">
        <v>266.4</v>
      </c>
      <c r="R4" s="15" t="n">
        <v>-266.4</v>
      </c>
      <c r="S4" s="15" t="n">
        <v>-30</v>
      </c>
      <c r="T4" s="15" t="n">
        <v>36</v>
      </c>
      <c r="U4" s="15" t="n">
        <v>60</v>
      </c>
      <c r="V4" s="15" t="n">
        <v>2.4</v>
      </c>
      <c r="W4" s="15" t="n">
        <v>98.40000000000001</v>
      </c>
      <c r="X4" s="15" t="n">
        <v>-364.8</v>
      </c>
      <c r="Y4" s="15" t="inlineStr">
        <is>
          <t>STOP LOSS</t>
        </is>
      </c>
      <c r="Z4" s="15" t="n">
        <v>1000</v>
      </c>
      <c r="AA4" s="15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MNQ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10:58 ET</t>
        </is>
      </c>
      <c r="H5" s="15" t="n">
        <v>30623.5</v>
      </c>
      <c r="I5" s="15" t="n">
        <v>30600</v>
      </c>
      <c r="J5" s="15" t="n">
        <v>30625</v>
      </c>
      <c r="K5" s="15" t="n">
        <v>63</v>
      </c>
      <c r="L5" s="15" t="n">
        <v>14.18</v>
      </c>
      <c r="M5" s="15" t="n">
        <v>9.93</v>
      </c>
      <c r="N5" s="15" t="n">
        <v>996.66</v>
      </c>
      <c r="O5" s="15" t="n">
        <v>2256.66</v>
      </c>
      <c r="P5" s="15" t="n">
        <v>268</v>
      </c>
      <c r="Q5" s="15" t="n">
        <v>268</v>
      </c>
      <c r="R5" s="15" t="n">
        <v>-267.75</v>
      </c>
      <c r="S5" s="15" t="n">
        <v>-30</v>
      </c>
      <c r="T5" s="15" t="n">
        <v>37.8</v>
      </c>
      <c r="U5" s="15" t="n">
        <v>63</v>
      </c>
      <c r="V5" s="15" t="n">
        <v>2.52</v>
      </c>
      <c r="W5" s="15" t="n">
        <v>103.32</v>
      </c>
      <c r="X5" s="15" t="n">
        <v>-371.07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MNQ</t>
        </is>
      </c>
      <c r="C6" s="15" t="inlineStr">
        <is>
          <t>Bull Call Spread</t>
        </is>
      </c>
      <c r="D6" s="15" t="inlineStr">
        <is>
          <t>2026-06-19</t>
        </is>
      </c>
      <c r="E6" s="15" t="n">
        <v>1</v>
      </c>
      <c r="F6" s="15" t="inlineStr">
        <is>
          <t>10:00 ET</t>
        </is>
      </c>
      <c r="G6" s="15" t="inlineStr">
        <is>
          <t>12:56 ET</t>
        </is>
      </c>
      <c r="H6" s="15" t="n">
        <v>30546.5</v>
      </c>
      <c r="I6" s="15" t="n">
        <v>30525</v>
      </c>
      <c r="J6" s="15" t="n">
        <v>30550</v>
      </c>
      <c r="K6" s="15" t="n">
        <v>77</v>
      </c>
      <c r="L6" s="15" t="n">
        <v>11.2</v>
      </c>
      <c r="M6" s="15" t="n">
        <v>7.84</v>
      </c>
      <c r="N6" s="15" t="n">
        <v>988.6799999999999</v>
      </c>
      <c r="O6" s="15" t="n">
        <v>2987.6</v>
      </c>
      <c r="P6" s="15" t="n">
        <v>258.72</v>
      </c>
      <c r="Q6" s="15" t="n">
        <v>258.72</v>
      </c>
      <c r="R6" s="15" t="n">
        <v>-258.72</v>
      </c>
      <c r="S6" s="15" t="n">
        <v>-30</v>
      </c>
      <c r="T6" s="15" t="n">
        <v>46.2</v>
      </c>
      <c r="U6" s="15" t="n">
        <v>77</v>
      </c>
      <c r="V6" s="15" t="n">
        <v>3.08</v>
      </c>
      <c r="W6" s="15" t="n">
        <v>126.28</v>
      </c>
      <c r="X6" s="15" t="n">
        <v>-385</v>
      </c>
      <c r="Y6" s="15" t="inlineStr">
        <is>
          <t>STOP LOSS</t>
        </is>
      </c>
      <c r="Z6" s="15" t="n">
        <v>1000</v>
      </c>
      <c r="AA6" s="15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MNQ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15:28 ET</t>
        </is>
      </c>
      <c r="H7" s="16" t="n">
        <v>30508</v>
      </c>
      <c r="I7" s="16" t="n">
        <v>30500</v>
      </c>
      <c r="J7" s="16" t="n">
        <v>30525</v>
      </c>
      <c r="K7" s="16" t="n">
        <v>40</v>
      </c>
      <c r="L7" s="16" t="n">
        <v>23.2</v>
      </c>
      <c r="M7" s="16" t="n">
        <v>22.86</v>
      </c>
      <c r="N7" s="16" t="n">
        <v>993.6</v>
      </c>
      <c r="O7" s="16" t="n">
        <v>1072</v>
      </c>
      <c r="P7" s="16" t="n">
        <v>278.4</v>
      </c>
      <c r="Q7" s="16" t="n">
        <v>278.4</v>
      </c>
      <c r="R7" s="16" t="n">
        <v>-13.6</v>
      </c>
      <c r="S7" s="16" t="n">
        <v>-1.5</v>
      </c>
      <c r="T7" s="16" t="n">
        <v>24</v>
      </c>
      <c r="U7" s="16" t="n">
        <v>40</v>
      </c>
      <c r="V7" s="16" t="n">
        <v>1.6</v>
      </c>
      <c r="W7" s="16" t="n">
        <v>65.59999999999999</v>
      </c>
      <c r="X7" s="16" t="n">
        <v>-79.2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MNQ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11:06 ET</t>
        </is>
      </c>
      <c r="H8" s="15" t="n">
        <v>30508</v>
      </c>
      <c r="I8" s="15" t="n">
        <v>30500</v>
      </c>
      <c r="J8" s="15" t="n">
        <v>30525</v>
      </c>
      <c r="K8" s="15" t="n">
        <v>45</v>
      </c>
      <c r="L8" s="15" t="n">
        <v>20.1</v>
      </c>
      <c r="M8" s="15" t="n">
        <v>14.07</v>
      </c>
      <c r="N8" s="15" t="n">
        <v>978.3</v>
      </c>
      <c r="O8" s="15" t="n">
        <v>1345.5</v>
      </c>
      <c r="P8" s="15" t="n">
        <v>271.35</v>
      </c>
      <c r="Q8" s="15" t="n">
        <v>271.35</v>
      </c>
      <c r="R8" s="15" t="n">
        <v>-271.35</v>
      </c>
      <c r="S8" s="15" t="n">
        <v>-30</v>
      </c>
      <c r="T8" s="15" t="n">
        <v>27</v>
      </c>
      <c r="U8" s="15" t="n">
        <v>45</v>
      </c>
      <c r="V8" s="15" t="n">
        <v>1.8</v>
      </c>
      <c r="W8" s="15" t="n">
        <v>73.8</v>
      </c>
      <c r="X8" s="15" t="n">
        <v>-345.15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6" t="inlineStr">
        <is>
          <t>2026-06-22</t>
        </is>
      </c>
      <c r="B9" s="16" t="inlineStr">
        <is>
          <t>MNQ</t>
        </is>
      </c>
      <c r="C9" s="16" t="inlineStr">
        <is>
          <t>Bull Call Spread</t>
        </is>
      </c>
      <c r="D9" s="16" t="inlineStr">
        <is>
          <t>2026-07-17</t>
        </is>
      </c>
      <c r="E9" s="16" t="n">
        <v>25</v>
      </c>
      <c r="F9" s="16" t="inlineStr">
        <is>
          <t>10:00 ET</t>
        </is>
      </c>
      <c r="G9" s="16" t="inlineStr">
        <is>
          <t>15:44 ET</t>
        </is>
      </c>
      <c r="H9" s="16" t="n">
        <v>30629</v>
      </c>
      <c r="I9" s="16" t="n">
        <v>30625</v>
      </c>
      <c r="J9" s="16" t="n">
        <v>30650</v>
      </c>
      <c r="K9" s="16" t="n">
        <v>40</v>
      </c>
      <c r="L9" s="16" t="n">
        <v>22.98</v>
      </c>
      <c r="M9" s="16" t="n">
        <v>23.14</v>
      </c>
      <c r="N9" s="16" t="n">
        <v>984.8</v>
      </c>
      <c r="O9" s="16" t="n">
        <v>1080.8</v>
      </c>
      <c r="P9" s="16" t="n">
        <v>275.76</v>
      </c>
      <c r="Q9" s="16" t="n">
        <v>275.76</v>
      </c>
      <c r="R9" s="16" t="n">
        <v>6.4</v>
      </c>
      <c r="S9" s="16" t="n">
        <v>0.7</v>
      </c>
      <c r="T9" s="16" t="n">
        <v>24</v>
      </c>
      <c r="U9" s="16" t="n">
        <v>40</v>
      </c>
      <c r="V9" s="16" t="n">
        <v>1.6</v>
      </c>
      <c r="W9" s="16" t="n">
        <v>65.59999999999999</v>
      </c>
      <c r="X9" s="16" t="n">
        <v>-59.2</v>
      </c>
      <c r="Y9" s="16" t="inlineStr">
        <is>
          <t>FLAT</t>
        </is>
      </c>
      <c r="Z9" s="16" t="n">
        <v>1000</v>
      </c>
      <c r="AA9" s="16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MNQ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11:26 ET</t>
        </is>
      </c>
      <c r="H10" s="17" t="n">
        <v>30662</v>
      </c>
      <c r="I10" s="17" t="n">
        <v>30650</v>
      </c>
      <c r="J10" s="17" t="n">
        <v>30675</v>
      </c>
      <c r="K10" s="17" t="n">
        <v>38</v>
      </c>
      <c r="L10" s="17" t="n">
        <v>24.02</v>
      </c>
      <c r="M10" s="17" t="n">
        <v>31.23</v>
      </c>
      <c r="N10" s="17" t="n">
        <v>975.08</v>
      </c>
      <c r="O10" s="17" t="n">
        <v>987.24</v>
      </c>
      <c r="P10" s="17" t="n">
        <v>273.83</v>
      </c>
      <c r="Q10" s="17" t="n">
        <v>273.83</v>
      </c>
      <c r="R10" s="17" t="n">
        <v>273.98</v>
      </c>
      <c r="S10" s="17" t="n">
        <v>30</v>
      </c>
      <c r="T10" s="17" t="n">
        <v>22.8</v>
      </c>
      <c r="U10" s="17" t="n">
        <v>38</v>
      </c>
      <c r="V10" s="17" t="n">
        <v>1.52</v>
      </c>
      <c r="W10" s="17" t="n">
        <v>62.32</v>
      </c>
      <c r="X10" s="17" t="n">
        <v>211.66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MNQ</t>
        </is>
      </c>
      <c r="C11" s="15" t="inlineStr">
        <is>
          <t>Bull Call Spread</t>
        </is>
      </c>
      <c r="D11" s="15" t="inlineStr">
        <is>
          <t>2026-07-17</t>
        </is>
      </c>
      <c r="E11" s="15" t="n">
        <v>24</v>
      </c>
      <c r="F11" s="15" t="inlineStr">
        <is>
          <t>10:00 ET</t>
        </is>
      </c>
      <c r="G11" s="15" t="inlineStr">
        <is>
          <t>12:28 ET</t>
        </is>
      </c>
      <c r="H11" s="15" t="n">
        <v>29673.25</v>
      </c>
      <c r="I11" s="15" t="n">
        <v>29650</v>
      </c>
      <c r="J11" s="15" t="n">
        <v>29675</v>
      </c>
      <c r="K11" s="15" t="n">
        <v>44</v>
      </c>
      <c r="L11" s="15" t="n">
        <v>20.9</v>
      </c>
      <c r="M11" s="15" t="n">
        <v>14.63</v>
      </c>
      <c r="N11" s="15" t="n">
        <v>991.76</v>
      </c>
      <c r="O11" s="15" t="n">
        <v>1280.4</v>
      </c>
      <c r="P11" s="15" t="n">
        <v>275.88</v>
      </c>
      <c r="Q11" s="15" t="n">
        <v>275.88</v>
      </c>
      <c r="R11" s="15" t="n">
        <v>-275.88</v>
      </c>
      <c r="S11" s="15" t="n">
        <v>-30</v>
      </c>
      <c r="T11" s="15" t="n">
        <v>26.4</v>
      </c>
      <c r="U11" s="15" t="n">
        <v>44</v>
      </c>
      <c r="V11" s="15" t="n">
        <v>1.76</v>
      </c>
      <c r="W11" s="15" t="n">
        <v>72.16</v>
      </c>
      <c r="X11" s="15" t="n">
        <v>-348.04</v>
      </c>
      <c r="Y11" s="15" t="inlineStr">
        <is>
          <t>STOP LOSS</t>
        </is>
      </c>
      <c r="Z11" s="15" t="n">
        <v>1000</v>
      </c>
      <c r="AA11" s="15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MNQ</t>
        </is>
      </c>
      <c r="C12" s="16" t="inlineStr">
        <is>
          <t>Bull Call Spread</t>
        </is>
      </c>
      <c r="D12" s="16" t="inlineStr">
        <is>
          <t>2026-07-17</t>
        </is>
      </c>
      <c r="E12" s="16" t="n">
        <v>24</v>
      </c>
      <c r="F12" s="16" t="inlineStr">
        <is>
          <t>10:00 ET</t>
        </is>
      </c>
      <c r="G12" s="16" t="inlineStr">
        <is>
          <t>15:52 ET</t>
        </is>
      </c>
      <c r="H12" s="16" t="n">
        <v>29731.75</v>
      </c>
      <c r="I12" s="16" t="n">
        <v>29725</v>
      </c>
      <c r="J12" s="16" t="n">
        <v>29750</v>
      </c>
      <c r="K12" s="16" t="n">
        <v>35</v>
      </c>
      <c r="L12" s="16" t="n">
        <v>26.55</v>
      </c>
      <c r="M12" s="16" t="n">
        <v>25.24</v>
      </c>
      <c r="N12" s="16" t="n">
        <v>986.65</v>
      </c>
      <c r="O12" s="16" t="n">
        <v>820.75</v>
      </c>
      <c r="P12" s="16" t="n">
        <v>278.77</v>
      </c>
      <c r="Q12" s="16" t="n">
        <v>278.77</v>
      </c>
      <c r="R12" s="16" t="n">
        <v>-45.85</v>
      </c>
      <c r="S12" s="16" t="n">
        <v>-4.9</v>
      </c>
      <c r="T12" s="16" t="n">
        <v>21</v>
      </c>
      <c r="U12" s="16" t="n">
        <v>35</v>
      </c>
      <c r="V12" s="16" t="n">
        <v>1.4</v>
      </c>
      <c r="W12" s="16" t="n">
        <v>57.4</v>
      </c>
      <c r="X12" s="16" t="n">
        <v>-103.25</v>
      </c>
      <c r="Y12" s="16" t="inlineStr">
        <is>
          <t>FLAT</t>
        </is>
      </c>
      <c r="Z12" s="16" t="n">
        <v>1000</v>
      </c>
      <c r="AA12" s="16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MNQ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12:54 ET</t>
        </is>
      </c>
      <c r="H13" s="17" t="n">
        <v>29867.5</v>
      </c>
      <c r="I13" s="17" t="n">
        <v>29850</v>
      </c>
      <c r="J13" s="17" t="n">
        <v>29875</v>
      </c>
      <c r="K13" s="17" t="n">
        <v>37</v>
      </c>
      <c r="L13" s="17" t="n">
        <v>24.81</v>
      </c>
      <c r="M13" s="17" t="n">
        <v>32.25</v>
      </c>
      <c r="N13" s="17" t="n">
        <v>978.65</v>
      </c>
      <c r="O13" s="17" t="n">
        <v>932.03</v>
      </c>
      <c r="P13" s="17" t="n">
        <v>275.39</v>
      </c>
      <c r="Q13" s="17" t="n">
        <v>275.39</v>
      </c>
      <c r="R13" s="17" t="n">
        <v>275.28</v>
      </c>
      <c r="S13" s="17" t="n">
        <v>30</v>
      </c>
      <c r="T13" s="17" t="n">
        <v>22.2</v>
      </c>
      <c r="U13" s="17" t="n">
        <v>37</v>
      </c>
      <c r="V13" s="17" t="n">
        <v>1.48</v>
      </c>
      <c r="W13" s="17" t="n">
        <v>60.68</v>
      </c>
      <c r="X13" s="17" t="n">
        <v>214.6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5" t="inlineStr">
        <is>
          <t>2026-06-24</t>
        </is>
      </c>
      <c r="B14" s="15" t="inlineStr">
        <is>
          <t>MNQ</t>
        </is>
      </c>
      <c r="C14" s="15" t="inlineStr">
        <is>
          <t>Bull Call Spread</t>
        </is>
      </c>
      <c r="D14" s="15" t="inlineStr">
        <is>
          <t>2026-07-17</t>
        </is>
      </c>
      <c r="E14" s="15" t="n">
        <v>23</v>
      </c>
      <c r="F14" s="15" t="inlineStr">
        <is>
          <t>10:00 ET</t>
        </is>
      </c>
      <c r="G14" s="15" t="inlineStr">
        <is>
          <t>10:29 ET</t>
        </is>
      </c>
      <c r="H14" s="15" t="n">
        <v>29836.5</v>
      </c>
      <c r="I14" s="15" t="n">
        <v>29825</v>
      </c>
      <c r="J14" s="15" t="n">
        <v>29850</v>
      </c>
      <c r="K14" s="15" t="n">
        <v>39</v>
      </c>
      <c r="L14" s="15" t="n">
        <v>23.64</v>
      </c>
      <c r="M14" s="15" t="n">
        <v>16.55</v>
      </c>
      <c r="N14" s="15" t="n">
        <v>985.92</v>
      </c>
      <c r="O14" s="15" t="n">
        <v>1028.04</v>
      </c>
      <c r="P14" s="15" t="n">
        <v>276.59</v>
      </c>
      <c r="Q14" s="15" t="n">
        <v>276.59</v>
      </c>
      <c r="R14" s="15" t="n">
        <v>-276.51</v>
      </c>
      <c r="S14" s="15" t="n">
        <v>-30</v>
      </c>
      <c r="T14" s="15" t="n">
        <v>23.4</v>
      </c>
      <c r="U14" s="15" t="n">
        <v>39</v>
      </c>
      <c r="V14" s="15" t="n">
        <v>1.56</v>
      </c>
      <c r="W14" s="15" t="n">
        <v>63.96</v>
      </c>
      <c r="X14" s="15" t="n">
        <v>-340.47</v>
      </c>
      <c r="Y14" s="15" t="inlineStr">
        <is>
          <t>STOP LOSS</t>
        </is>
      </c>
      <c r="Z14" s="15" t="n">
        <v>1000</v>
      </c>
      <c r="AA14" s="15" t="inlineStr">
        <is>
          <t>PAPER TRADING</t>
        </is>
      </c>
    </row>
    <row r="15">
      <c r="A15" s="15" t="inlineStr">
        <is>
          <t>2026-06-25</t>
        </is>
      </c>
      <c r="B15" s="15" t="inlineStr">
        <is>
          <t>MNQ</t>
        </is>
      </c>
      <c r="C15" s="15" t="inlineStr">
        <is>
          <t>Bull Call Spread</t>
        </is>
      </c>
      <c r="D15" s="15" t="inlineStr">
        <is>
          <t>2026-07-17</t>
        </is>
      </c>
      <c r="E15" s="15" t="n">
        <v>22</v>
      </c>
      <c r="F15" s="15" t="inlineStr">
        <is>
          <t>10:00 ET</t>
        </is>
      </c>
      <c r="G15" s="15" t="inlineStr">
        <is>
          <t>12:51 ET</t>
        </is>
      </c>
      <c r="H15" s="15" t="n">
        <v>30122.75</v>
      </c>
      <c r="I15" s="15" t="n">
        <v>30100</v>
      </c>
      <c r="J15" s="15" t="n">
        <v>30125</v>
      </c>
      <c r="K15" s="15" t="n">
        <v>45</v>
      </c>
      <c r="L15" s="15" t="n">
        <v>20.36</v>
      </c>
      <c r="M15" s="15" t="n">
        <v>14.25</v>
      </c>
      <c r="N15" s="15" t="n">
        <v>990</v>
      </c>
      <c r="O15" s="15" t="n">
        <v>1333.8</v>
      </c>
      <c r="P15" s="15" t="n">
        <v>274.86</v>
      </c>
      <c r="Q15" s="15" t="n">
        <v>274.86</v>
      </c>
      <c r="R15" s="15" t="n">
        <v>-274.95</v>
      </c>
      <c r="S15" s="15" t="n">
        <v>-30</v>
      </c>
      <c r="T15" s="15" t="n">
        <v>27</v>
      </c>
      <c r="U15" s="15" t="n">
        <v>45</v>
      </c>
      <c r="V15" s="15" t="n">
        <v>1.8</v>
      </c>
      <c r="W15" s="15" t="n">
        <v>73.8</v>
      </c>
      <c r="X15" s="15" t="n">
        <v>-348.75</v>
      </c>
      <c r="Y15" s="15" t="inlineStr">
        <is>
          <t>STOP LOSS</t>
        </is>
      </c>
      <c r="Z15" s="15" t="n">
        <v>1000</v>
      </c>
      <c r="AA15" s="15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MNQ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11:32 ET</t>
        </is>
      </c>
      <c r="H16" s="17" t="n">
        <v>29766.75</v>
      </c>
      <c r="I16" s="17" t="n">
        <v>29750</v>
      </c>
      <c r="J16" s="17" t="n">
        <v>29775</v>
      </c>
      <c r="K16" s="17" t="n">
        <v>35</v>
      </c>
      <c r="L16" s="17" t="n">
        <v>26.56</v>
      </c>
      <c r="M16" s="17" t="n">
        <v>34.53</v>
      </c>
      <c r="N16" s="17" t="n">
        <v>987</v>
      </c>
      <c r="O16" s="17" t="n">
        <v>820.4</v>
      </c>
      <c r="P16" s="17" t="n">
        <v>278.88</v>
      </c>
      <c r="Q16" s="17" t="n">
        <v>278.88</v>
      </c>
      <c r="R16" s="17" t="n">
        <v>278.95</v>
      </c>
      <c r="S16" s="17" t="n">
        <v>30</v>
      </c>
      <c r="T16" s="17" t="n">
        <v>21</v>
      </c>
      <c r="U16" s="17" t="n">
        <v>35</v>
      </c>
      <c r="V16" s="17" t="n">
        <v>1.4</v>
      </c>
      <c r="W16" s="17" t="n">
        <v>57.4</v>
      </c>
      <c r="X16" s="17" t="n">
        <v>221.55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MNQ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11:00 ET</t>
        </is>
      </c>
      <c r="H17" s="15" t="n">
        <v>29438</v>
      </c>
      <c r="I17" s="15" t="n">
        <v>29425</v>
      </c>
      <c r="J17" s="15" t="n">
        <v>29450</v>
      </c>
      <c r="K17" s="15" t="n">
        <v>36</v>
      </c>
      <c r="L17" s="15" t="n">
        <v>26.03</v>
      </c>
      <c r="M17" s="15" t="n">
        <v>18.22</v>
      </c>
      <c r="N17" s="15" t="n">
        <v>996.12</v>
      </c>
      <c r="O17" s="15" t="n">
        <v>862.92</v>
      </c>
      <c r="P17" s="15" t="n">
        <v>281.12</v>
      </c>
      <c r="Q17" s="15" t="n">
        <v>281.12</v>
      </c>
      <c r="R17" s="15" t="n">
        <v>-281.16</v>
      </c>
      <c r="S17" s="15" t="n">
        <v>-30</v>
      </c>
      <c r="T17" s="15" t="n">
        <v>21.6</v>
      </c>
      <c r="U17" s="15" t="n">
        <v>36</v>
      </c>
      <c r="V17" s="15" t="n">
        <v>1.44</v>
      </c>
      <c r="W17" s="15" t="n">
        <v>59.04</v>
      </c>
      <c r="X17" s="15" t="n">
        <v>-340.2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6" t="inlineStr">
        <is>
          <t>2026-06-26</t>
        </is>
      </c>
      <c r="B18" s="16" t="inlineStr">
        <is>
          <t>MNQ</t>
        </is>
      </c>
      <c r="C18" s="16" t="inlineStr">
        <is>
          <t>Bull Call Spread</t>
        </is>
      </c>
      <c r="D18" s="16" t="inlineStr">
        <is>
          <t>2026-07-17</t>
        </is>
      </c>
      <c r="E18" s="16" t="n">
        <v>21</v>
      </c>
      <c r="F18" s="16" t="inlineStr">
        <is>
          <t>10:00 ET</t>
        </is>
      </c>
      <c r="G18" s="16" t="inlineStr">
        <is>
          <t>15:01 ET</t>
        </is>
      </c>
      <c r="H18" s="16" t="n">
        <v>29317.25</v>
      </c>
      <c r="I18" s="16" t="n">
        <v>29300</v>
      </c>
      <c r="J18" s="16" t="n">
        <v>29325</v>
      </c>
      <c r="K18" s="16" t="n">
        <v>37</v>
      </c>
      <c r="L18" s="16" t="n">
        <v>24.79</v>
      </c>
      <c r="M18" s="16" t="n">
        <v>24.97</v>
      </c>
      <c r="N18" s="16" t="n">
        <v>977.91</v>
      </c>
      <c r="O18" s="16" t="n">
        <v>932.77</v>
      </c>
      <c r="P18" s="16" t="n">
        <v>275.17</v>
      </c>
      <c r="Q18" s="16" t="n">
        <v>275.17</v>
      </c>
      <c r="R18" s="16" t="n">
        <v>6.66</v>
      </c>
      <c r="S18" s="16" t="n">
        <v>0.7</v>
      </c>
      <c r="T18" s="16" t="n">
        <v>22.2</v>
      </c>
      <c r="U18" s="16" t="n">
        <v>37</v>
      </c>
      <c r="V18" s="16" t="n">
        <v>1.48</v>
      </c>
      <c r="W18" s="16" t="n">
        <v>60.68</v>
      </c>
      <c r="X18" s="16" t="n">
        <v>-54.02</v>
      </c>
      <c r="Y18" s="16" t="inlineStr">
        <is>
          <t>FLAT</t>
        </is>
      </c>
      <c r="Z18" s="16" t="n">
        <v>1000</v>
      </c>
      <c r="AA18" s="16" t="inlineStr">
        <is>
          <t>PAPER TRADING</t>
        </is>
      </c>
    </row>
    <row r="19">
      <c r="A19" s="17" t="inlineStr">
        <is>
          <t>2026-06-29</t>
        </is>
      </c>
      <c r="B19" s="17" t="inlineStr">
        <is>
          <t>MNQ</t>
        </is>
      </c>
      <c r="C19" s="17" t="inlineStr">
        <is>
          <t>Bull Call Spread</t>
        </is>
      </c>
      <c r="D19" s="17" t="inlineStr">
        <is>
          <t>2026-07-17</t>
        </is>
      </c>
      <c r="E19" s="17" t="n">
        <v>18</v>
      </c>
      <c r="F19" s="17" t="inlineStr">
        <is>
          <t>10:00 ET</t>
        </is>
      </c>
      <c r="G19" s="17" t="inlineStr">
        <is>
          <t>11:04 ET</t>
        </is>
      </c>
      <c r="H19" s="17" t="n">
        <v>29856</v>
      </c>
      <c r="I19" s="17" t="n">
        <v>29850</v>
      </c>
      <c r="J19" s="17" t="n">
        <v>29875</v>
      </c>
      <c r="K19" s="17" t="n">
        <v>37</v>
      </c>
      <c r="L19" s="17" t="n">
        <v>25.15</v>
      </c>
      <c r="M19" s="17" t="n">
        <v>32.7</v>
      </c>
      <c r="N19" s="17" t="n">
        <v>991.23</v>
      </c>
      <c r="O19" s="17" t="n">
        <v>919.45</v>
      </c>
      <c r="P19" s="17" t="n">
        <v>279.16</v>
      </c>
      <c r="Q19" s="17" t="n">
        <v>279.16</v>
      </c>
      <c r="R19" s="17" t="n">
        <v>279.35</v>
      </c>
      <c r="S19" s="17" t="n">
        <v>30</v>
      </c>
      <c r="T19" s="17" t="n">
        <v>22.2</v>
      </c>
      <c r="U19" s="17" t="n">
        <v>37</v>
      </c>
      <c r="V19" s="17" t="n">
        <v>1.48</v>
      </c>
      <c r="W19" s="17" t="n">
        <v>60.68</v>
      </c>
      <c r="X19" s="17" t="n">
        <v>218.67</v>
      </c>
      <c r="Y19" s="17" t="inlineStr">
        <is>
          <t>PROFIT</t>
        </is>
      </c>
      <c r="Z19" s="17" t="n">
        <v>1000</v>
      </c>
      <c r="AA19" s="17" t="inlineStr">
        <is>
          <t>PAPER TRADING</t>
        </is>
      </c>
    </row>
    <row r="20">
      <c r="A20" s="17" t="inlineStr">
        <is>
          <t>2026-06-29</t>
        </is>
      </c>
      <c r="B20" s="17" t="inlineStr">
        <is>
          <t>MNQ</t>
        </is>
      </c>
      <c r="C20" s="17" t="inlineStr">
        <is>
          <t>Bull Call Spread</t>
        </is>
      </c>
      <c r="D20" s="17" t="inlineStr">
        <is>
          <t>2026-07-17</t>
        </is>
      </c>
      <c r="E20" s="17" t="n">
        <v>18</v>
      </c>
      <c r="F20" s="17" t="inlineStr">
        <is>
          <t>10:00 ET</t>
        </is>
      </c>
      <c r="G20" s="17" t="inlineStr">
        <is>
          <t>13:22 ET</t>
        </is>
      </c>
      <c r="H20" s="17" t="n">
        <v>30026.25</v>
      </c>
      <c r="I20" s="17" t="n">
        <v>30025</v>
      </c>
      <c r="J20" s="17" t="n">
        <v>30050</v>
      </c>
      <c r="K20" s="17" t="n">
        <v>41</v>
      </c>
      <c r="L20" s="17" t="n">
        <v>22.19</v>
      </c>
      <c r="M20" s="17" t="n">
        <v>28.85</v>
      </c>
      <c r="N20" s="17" t="n">
        <v>977.03</v>
      </c>
      <c r="O20" s="17" t="n">
        <v>1140.21</v>
      </c>
      <c r="P20" s="17" t="n">
        <v>272.94</v>
      </c>
      <c r="Q20" s="17" t="n">
        <v>272.94</v>
      </c>
      <c r="R20" s="17" t="n">
        <v>273.06</v>
      </c>
      <c r="S20" s="17" t="n">
        <v>30</v>
      </c>
      <c r="T20" s="17" t="n">
        <v>24.6</v>
      </c>
      <c r="U20" s="17" t="n">
        <v>41</v>
      </c>
      <c r="V20" s="17" t="n">
        <v>1.64</v>
      </c>
      <c r="W20" s="17" t="n">
        <v>67.23999999999999</v>
      </c>
      <c r="X20" s="17" t="n">
        <v>205.82</v>
      </c>
      <c r="Y20" s="17" t="inlineStr">
        <is>
          <t>PROFIT</t>
        </is>
      </c>
      <c r="Z20" s="17" t="n">
        <v>1000</v>
      </c>
      <c r="AA20" s="17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MNQ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12:22 ET</t>
        </is>
      </c>
      <c r="H21" s="17" t="n">
        <v>30154</v>
      </c>
      <c r="I21" s="17" t="n">
        <v>30150</v>
      </c>
      <c r="J21" s="17" t="n">
        <v>30175</v>
      </c>
      <c r="K21" s="17" t="n">
        <v>38</v>
      </c>
      <c r="L21" s="17" t="n">
        <v>24.48</v>
      </c>
      <c r="M21" s="17" t="n">
        <v>31.82</v>
      </c>
      <c r="N21" s="17" t="n">
        <v>992.5599999999999</v>
      </c>
      <c r="O21" s="17" t="n">
        <v>969.76</v>
      </c>
      <c r="P21" s="17" t="n">
        <v>279.07</v>
      </c>
      <c r="Q21" s="17" t="n">
        <v>279.07</v>
      </c>
      <c r="R21" s="17" t="n">
        <v>278.92</v>
      </c>
      <c r="S21" s="17" t="n">
        <v>30</v>
      </c>
      <c r="T21" s="17" t="n">
        <v>22.8</v>
      </c>
      <c r="U21" s="17" t="n">
        <v>38</v>
      </c>
      <c r="V21" s="17" t="n">
        <v>1.52</v>
      </c>
      <c r="W21" s="17" t="n">
        <v>62.32</v>
      </c>
      <c r="X21" s="17" t="n">
        <v>216.6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MNQ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12:12 ET</t>
        </is>
      </c>
      <c r="H22" s="17" t="n">
        <v>30503.5</v>
      </c>
      <c r="I22" s="17" t="n">
        <v>30500</v>
      </c>
      <c r="J22" s="17" t="n">
        <v>30525</v>
      </c>
      <c r="K22" s="17" t="n">
        <v>44</v>
      </c>
      <c r="L22" s="17" t="n">
        <v>20.76</v>
      </c>
      <c r="M22" s="17" t="n">
        <v>26.99</v>
      </c>
      <c r="N22" s="17" t="n">
        <v>985.6</v>
      </c>
      <c r="O22" s="17" t="n">
        <v>1286.56</v>
      </c>
      <c r="P22" s="17" t="n">
        <v>274.03</v>
      </c>
      <c r="Q22" s="17" t="n">
        <v>274.03</v>
      </c>
      <c r="R22" s="17" t="n">
        <v>274.12</v>
      </c>
      <c r="S22" s="17" t="n">
        <v>30</v>
      </c>
      <c r="T22" s="17" t="n">
        <v>26.4</v>
      </c>
      <c r="U22" s="17" t="n">
        <v>44</v>
      </c>
      <c r="V22" s="17" t="n">
        <v>1.76</v>
      </c>
      <c r="W22" s="17" t="n">
        <v>72.16</v>
      </c>
      <c r="X22" s="17" t="n">
        <v>201.96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7" t="inlineStr">
        <is>
          <t>2026-07-01</t>
        </is>
      </c>
      <c r="B23" s="17" t="inlineStr">
        <is>
          <t>MNQ</t>
        </is>
      </c>
      <c r="C23" s="17" t="inlineStr">
        <is>
          <t>Bull Call Spread</t>
        </is>
      </c>
      <c r="D23" s="17" t="inlineStr">
        <is>
          <t>2026-07-17</t>
        </is>
      </c>
      <c r="E23" s="17" t="n">
        <v>16</v>
      </c>
      <c r="F23" s="17" t="inlineStr">
        <is>
          <t>10:00 ET</t>
        </is>
      </c>
      <c r="G23" s="17" t="inlineStr">
        <is>
          <t>13:09 ET</t>
        </is>
      </c>
      <c r="H23" s="17" t="n">
        <v>30226</v>
      </c>
      <c r="I23" s="17" t="n">
        <v>30225</v>
      </c>
      <c r="J23" s="17" t="n">
        <v>30250</v>
      </c>
      <c r="K23" s="17" t="n">
        <v>42</v>
      </c>
      <c r="L23" s="17" t="n">
        <v>21.81</v>
      </c>
      <c r="M23" s="17" t="n">
        <v>28.35</v>
      </c>
      <c r="N23" s="17" t="n">
        <v>984.9</v>
      </c>
      <c r="O23" s="17" t="n">
        <v>1183.98</v>
      </c>
      <c r="P23" s="17" t="n">
        <v>274.81</v>
      </c>
      <c r="Q23" s="17" t="n">
        <v>274.81</v>
      </c>
      <c r="R23" s="17" t="n">
        <v>274.68</v>
      </c>
      <c r="S23" s="17" t="n">
        <v>30</v>
      </c>
      <c r="T23" s="17" t="n">
        <v>25.2</v>
      </c>
      <c r="U23" s="17" t="n">
        <v>42</v>
      </c>
      <c r="V23" s="17" t="n">
        <v>1.68</v>
      </c>
      <c r="W23" s="17" t="n">
        <v>68.88</v>
      </c>
      <c r="X23" s="17" t="n">
        <v>205.8</v>
      </c>
      <c r="Y23" s="17" t="inlineStr">
        <is>
          <t>PROFIT</t>
        </is>
      </c>
      <c r="Z23" s="17" t="n">
        <v>1000</v>
      </c>
      <c r="AA23" s="17" t="inlineStr">
        <is>
          <t>PAPER TRADING</t>
        </is>
      </c>
    </row>
    <row r="24">
      <c r="A24" s="16" t="inlineStr">
        <is>
          <t>2026-07-01</t>
        </is>
      </c>
      <c r="B24" s="16" t="inlineStr">
        <is>
          <t>MNQ</t>
        </is>
      </c>
      <c r="C24" s="16" t="inlineStr">
        <is>
          <t>Bull Call Spread</t>
        </is>
      </c>
      <c r="D24" s="16" t="inlineStr">
        <is>
          <t>2026-07-17</t>
        </is>
      </c>
      <c r="E24" s="16" t="n">
        <v>16</v>
      </c>
      <c r="F24" s="16" t="inlineStr">
        <is>
          <t>10:00 ET</t>
        </is>
      </c>
      <c r="G24" s="16" t="inlineStr">
        <is>
          <t>15:33 ET</t>
        </is>
      </c>
      <c r="H24" s="16" t="n">
        <v>30037</v>
      </c>
      <c r="I24" s="16" t="n">
        <v>30025</v>
      </c>
      <c r="J24" s="16" t="n">
        <v>30050</v>
      </c>
      <c r="K24" s="16" t="n">
        <v>36</v>
      </c>
      <c r="L24" s="16" t="n">
        <v>25.73</v>
      </c>
      <c r="M24" s="16" t="n">
        <v>25.78</v>
      </c>
      <c r="N24" s="16" t="n">
        <v>985.3200000000001</v>
      </c>
      <c r="O24" s="16" t="n">
        <v>873.72</v>
      </c>
      <c r="P24" s="16" t="n">
        <v>277.88</v>
      </c>
      <c r="Q24" s="16" t="n">
        <v>277.88</v>
      </c>
      <c r="R24" s="16" t="n">
        <v>1.8</v>
      </c>
      <c r="S24" s="16" t="n">
        <v>0.2</v>
      </c>
      <c r="T24" s="16" t="n">
        <v>21.6</v>
      </c>
      <c r="U24" s="16" t="n">
        <v>36</v>
      </c>
      <c r="V24" s="16" t="n">
        <v>1.44</v>
      </c>
      <c r="W24" s="16" t="n">
        <v>59.04</v>
      </c>
      <c r="X24" s="16" t="n">
        <v>-57.24</v>
      </c>
      <c r="Y24" s="16" t="inlineStr">
        <is>
          <t>FLAT</t>
        </is>
      </c>
      <c r="Z24" s="16" t="n">
        <v>1000</v>
      </c>
      <c r="AA24" s="16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MNQ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12:30 ET</t>
        </is>
      </c>
      <c r="H25" s="17" t="n">
        <v>30066.5</v>
      </c>
      <c r="I25" s="17" t="n">
        <v>30050</v>
      </c>
      <c r="J25" s="17" t="n">
        <v>30075</v>
      </c>
      <c r="K25" s="17" t="n">
        <v>37</v>
      </c>
      <c r="L25" s="17" t="n">
        <v>24.99</v>
      </c>
      <c r="M25" s="17" t="n">
        <v>32.49</v>
      </c>
      <c r="N25" s="17" t="n">
        <v>985.3099999999999</v>
      </c>
      <c r="O25" s="17" t="n">
        <v>925.37</v>
      </c>
      <c r="P25" s="17" t="n">
        <v>277.39</v>
      </c>
      <c r="Q25" s="17" t="n">
        <v>277.39</v>
      </c>
      <c r="R25" s="17" t="n">
        <v>277.5</v>
      </c>
      <c r="S25" s="17" t="n">
        <v>30</v>
      </c>
      <c r="T25" s="17" t="n">
        <v>22.2</v>
      </c>
      <c r="U25" s="17" t="n">
        <v>37</v>
      </c>
      <c r="V25" s="17" t="n">
        <v>1.48</v>
      </c>
      <c r="W25" s="17" t="n">
        <v>60.68</v>
      </c>
      <c r="X25" s="17" t="n">
        <v>216.82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MNQ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11:00 ET</t>
        </is>
      </c>
      <c r="H26" s="15" t="n">
        <v>29504</v>
      </c>
      <c r="I26" s="15" t="n">
        <v>29500</v>
      </c>
      <c r="J26" s="15" t="n">
        <v>29525</v>
      </c>
      <c r="K26" s="15" t="n">
        <v>34</v>
      </c>
      <c r="L26" s="15" t="n">
        <v>27.07</v>
      </c>
      <c r="M26" s="15" t="n">
        <v>18.95</v>
      </c>
      <c r="N26" s="15" t="n">
        <v>976.14</v>
      </c>
      <c r="O26" s="15" t="n">
        <v>779.62</v>
      </c>
      <c r="P26" s="15" t="n">
        <v>276.11</v>
      </c>
      <c r="Q26" s="15" t="n">
        <v>276.11</v>
      </c>
      <c r="R26" s="15" t="n">
        <v>-276.08</v>
      </c>
      <c r="S26" s="15" t="n">
        <v>-30</v>
      </c>
      <c r="T26" s="15" t="n">
        <v>20.4</v>
      </c>
      <c r="U26" s="15" t="n">
        <v>34</v>
      </c>
      <c r="V26" s="15" t="n">
        <v>1.36</v>
      </c>
      <c r="W26" s="15" t="n">
        <v>55.76</v>
      </c>
      <c r="X26" s="15" t="n">
        <v>-331.84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2" customWidth="1" min="3" max="3"/>
    <col width="10" customWidth="1" min="4" max="4"/>
    <col width="8" customWidth="1" min="5" max="5"/>
    <col width="13" customWidth="1" min="6" max="6"/>
    <col width="12" customWidth="1" min="7" max="7"/>
    <col width="14" customWidth="1" min="8" max="8"/>
    <col width="14" customWidth="1" min="9" max="9"/>
    <col width="13" customWidth="1" min="10" max="10"/>
    <col width="12" customWidth="1" min="11" max="11"/>
    <col width="28" customWidth="1" min="12" max="12"/>
  </cols>
  <sheetData>
    <row r="1" ht="28" customHeight="1">
      <c r="A1" s="1" t="inlineStr">
        <is>
          <t>US Stocks — Paper Trading Journal</t>
        </is>
      </c>
    </row>
    <row r="2">
      <c r="A2" s="2" t="inlineStr">
        <is>
          <t>Date</t>
        </is>
      </c>
      <c r="B2" s="2" t="inlineStr">
        <is>
          <t>Ticker</t>
        </is>
      </c>
      <c r="C2" s="2" t="inlineStr">
        <is>
          <t>Company</t>
        </is>
      </c>
      <c r="D2" s="2" t="inlineStr">
        <is>
          <t>Action</t>
        </is>
      </c>
      <c r="E2" s="2" t="inlineStr">
        <is>
          <t>Qty</t>
        </is>
      </c>
      <c r="F2" s="2" t="inlineStr">
        <is>
          <t>Entry Price</t>
        </is>
      </c>
      <c r="G2" s="2" t="inlineStr">
        <is>
          <t>Exit Price</t>
        </is>
      </c>
      <c r="H2" s="2" t="inlineStr">
        <is>
          <t>Gross P&amp;L ($)</t>
        </is>
      </c>
      <c r="I2" s="2" t="inlineStr">
        <is>
          <t>Broker Fee ($)</t>
        </is>
      </c>
      <c r="J2" s="2" t="inlineStr">
        <is>
          <t>Net P&amp;L ($)</t>
        </is>
      </c>
      <c r="K2" s="2" t="inlineStr">
        <is>
          <t>Outcome</t>
        </is>
      </c>
      <c r="L2" s="2" t="inlineStr">
        <is>
          <t>Notes</t>
        </is>
      </c>
    </row>
  </sheetData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6" customWidth="1" min="4" max="4"/>
    <col width="18" customWidth="1" min="5" max="5"/>
    <col width="16" customWidth="1" min="6" max="6"/>
    <col width="14" customWidth="1" min="7" max="7"/>
    <col width="20" customWidth="1" min="8" max="8"/>
    <col width="30" customWidth="1" min="9" max="9"/>
  </cols>
  <sheetData>
    <row r="1" ht="28" customHeight="1">
      <c r="A1" s="1" t="inlineStr">
        <is>
          <t>Fee Breakdown — All Instruments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Contracts</t>
        </is>
      </c>
      <c r="D2" s="2" t="inlineStr">
        <is>
          <t>CME Fee/Leg ($)</t>
        </is>
      </c>
      <c r="E2" s="2" t="inlineStr">
        <is>
          <t>Broker Fee/Leg ($)</t>
        </is>
      </c>
      <c r="F2" s="2" t="inlineStr">
        <is>
          <t>NFA Fee/Leg ($)</t>
        </is>
      </c>
      <c r="G2" s="2" t="inlineStr">
        <is>
          <t>Total/Leg ($)</t>
        </is>
      </c>
      <c r="H2" s="2" t="inlineStr">
        <is>
          <t>Round-Trip Total ($)</t>
        </is>
      </c>
      <c r="I2" s="2" t="inlineStr">
        <is>
          <t>Notes</t>
        </is>
      </c>
    </row>
    <row r="3">
      <c r="A3" s="19" t="inlineStr">
        <is>
          <t>2026-06-15</t>
        </is>
      </c>
      <c r="B3" s="19" t="inlineStr">
        <is>
          <t>NQ</t>
        </is>
      </c>
      <c r="C3" s="19" t="n">
        <v>7</v>
      </c>
      <c r="D3" s="19" t="n">
        <v>8.26</v>
      </c>
      <c r="E3" s="19" t="n">
        <v>17.5</v>
      </c>
      <c r="F3" s="19" t="n">
        <v>0.14</v>
      </c>
      <c r="G3" s="19" t="n">
        <v>25.9</v>
      </c>
      <c r="H3" s="19" t="n">
        <v>51.8</v>
      </c>
      <c r="I3" s="19" t="inlineStr">
        <is>
          <t>NQ Bull Call Spread — FLAT</t>
        </is>
      </c>
    </row>
    <row r="4">
      <c r="A4" s="19" t="inlineStr">
        <is>
          <t>2026-06-15</t>
        </is>
      </c>
      <c r="B4" s="19" t="inlineStr">
        <is>
          <t>MNQ</t>
        </is>
      </c>
      <c r="C4" s="19" t="n">
        <v>78</v>
      </c>
      <c r="D4" s="19" t="n">
        <v>23.4</v>
      </c>
      <c r="E4" s="19" t="n">
        <v>39</v>
      </c>
      <c r="F4" s="19" t="n">
        <v>1.56</v>
      </c>
      <c r="G4" s="19" t="n">
        <v>63.96</v>
      </c>
      <c r="H4" s="19" t="n">
        <v>127.92</v>
      </c>
      <c r="I4" s="19" t="inlineStr">
        <is>
          <t>MNQ Bull Call Spread — FLAT</t>
        </is>
      </c>
    </row>
    <row r="5">
      <c r="A5" s="19" t="inlineStr">
        <is>
          <t>2026-06-17</t>
        </is>
      </c>
      <c r="B5" s="19" t="inlineStr">
        <is>
          <t>NQ</t>
        </is>
      </c>
      <c r="C5" s="19" t="n">
        <v>6</v>
      </c>
      <c r="D5" s="19" t="n">
        <v>7.08</v>
      </c>
      <c r="E5" s="19" t="n">
        <v>15</v>
      </c>
      <c r="F5" s="19" t="n">
        <v>0.12</v>
      </c>
      <c r="G5" s="19" t="n">
        <v>22.2</v>
      </c>
      <c r="H5" s="19" t="n">
        <v>44.4</v>
      </c>
      <c r="I5" s="19" t="inlineStr">
        <is>
          <t>NQ Bull Call Spread — FLAT</t>
        </is>
      </c>
    </row>
    <row r="6">
      <c r="A6" s="19" t="inlineStr">
        <is>
          <t>2026-06-17</t>
        </is>
      </c>
      <c r="B6" s="19" t="inlineStr">
        <is>
          <t>MNQ</t>
        </is>
      </c>
      <c r="C6" s="19" t="n">
        <v>60</v>
      </c>
      <c r="D6" s="19" t="n">
        <v>18</v>
      </c>
      <c r="E6" s="19" t="n">
        <v>30</v>
      </c>
      <c r="F6" s="19" t="n">
        <v>1.2</v>
      </c>
      <c r="G6" s="19" t="n">
        <v>49.2</v>
      </c>
      <c r="H6" s="19" t="n">
        <v>98.40000000000001</v>
      </c>
      <c r="I6" s="19" t="inlineStr">
        <is>
          <t>MNQ Bull Call Spread — STOP LOSS</t>
        </is>
      </c>
    </row>
    <row r="7">
      <c r="A7" s="19" t="inlineStr">
        <is>
          <t>2026-06-18</t>
        </is>
      </c>
      <c r="B7" s="19" t="inlineStr">
        <is>
          <t>NQ</t>
        </is>
      </c>
      <c r="C7" s="19" t="n">
        <v>6</v>
      </c>
      <c r="D7" s="19" t="n">
        <v>7.08</v>
      </c>
      <c r="E7" s="19" t="n">
        <v>15</v>
      </c>
      <c r="F7" s="19" t="n">
        <v>0.12</v>
      </c>
      <c r="G7" s="19" t="n">
        <v>22.2</v>
      </c>
      <c r="H7" s="19" t="n">
        <v>44.4</v>
      </c>
      <c r="I7" s="19" t="inlineStr">
        <is>
          <t>NQ Bull Call Spread — STOP LOSS</t>
        </is>
      </c>
    </row>
    <row r="8">
      <c r="A8" s="19" t="inlineStr">
        <is>
          <t>2026-06-18</t>
        </is>
      </c>
      <c r="B8" s="19" t="inlineStr">
        <is>
          <t>MNQ</t>
        </is>
      </c>
      <c r="C8" s="19" t="n">
        <v>63</v>
      </c>
      <c r="D8" s="19" t="n">
        <v>18.9</v>
      </c>
      <c r="E8" s="19" t="n">
        <v>31.5</v>
      </c>
      <c r="F8" s="19" t="n">
        <v>1.26</v>
      </c>
      <c r="G8" s="19" t="n">
        <v>51.66</v>
      </c>
      <c r="H8" s="19" t="n">
        <v>103.32</v>
      </c>
      <c r="I8" s="19" t="inlineStr">
        <is>
          <t>MNQ Bull Call Spread — STOP LOSS</t>
        </is>
      </c>
    </row>
    <row r="9">
      <c r="A9" s="19" t="inlineStr">
        <is>
          <t>2026-06-18</t>
        </is>
      </c>
      <c r="B9" s="19" t="inlineStr">
        <is>
          <t>NQ</t>
        </is>
      </c>
      <c r="C9" s="19" t="n">
        <v>7</v>
      </c>
      <c r="D9" s="19" t="n">
        <v>8.26</v>
      </c>
      <c r="E9" s="19" t="n">
        <v>17.5</v>
      </c>
      <c r="F9" s="19" t="n">
        <v>0.14</v>
      </c>
      <c r="G9" s="19" t="n">
        <v>25.9</v>
      </c>
      <c r="H9" s="19" t="n">
        <v>51.8</v>
      </c>
      <c r="I9" s="19" t="inlineStr">
        <is>
          <t>NQ Bull Call Spread — PROFIT</t>
        </is>
      </c>
    </row>
    <row r="10">
      <c r="A10" s="19" t="inlineStr">
        <is>
          <t>2026-06-18</t>
        </is>
      </c>
      <c r="B10" s="19" t="inlineStr">
        <is>
          <t>MNQ</t>
        </is>
      </c>
      <c r="C10" s="19" t="n">
        <v>77</v>
      </c>
      <c r="D10" s="19" t="n">
        <v>23.1</v>
      </c>
      <c r="E10" s="19" t="n">
        <v>38.5</v>
      </c>
      <c r="F10" s="19" t="n">
        <v>1.54</v>
      </c>
      <c r="G10" s="19" t="n">
        <v>63.14</v>
      </c>
      <c r="H10" s="19" t="n">
        <v>126.28</v>
      </c>
      <c r="I10" s="19" t="inlineStr">
        <is>
          <t>MNQ Bull Call Spread — STOP LOSS</t>
        </is>
      </c>
    </row>
    <row r="11">
      <c r="A11" s="19" t="inlineStr">
        <is>
          <t>2026-06-19</t>
        </is>
      </c>
      <c r="B11" s="19" t="inlineStr">
        <is>
          <t>NQ</t>
        </is>
      </c>
      <c r="C11" s="19" t="n">
        <v>4</v>
      </c>
      <c r="D11" s="19" t="n">
        <v>4.72</v>
      </c>
      <c r="E11" s="19" t="n">
        <v>10</v>
      </c>
      <c r="F11" s="19" t="n">
        <v>0.08</v>
      </c>
      <c r="G11" s="19" t="n">
        <v>14.8</v>
      </c>
      <c r="H11" s="19" t="n">
        <v>29.6</v>
      </c>
      <c r="I11" s="19" t="inlineStr">
        <is>
          <t>NQ Bull Call Spread — FLAT</t>
        </is>
      </c>
    </row>
    <row r="12">
      <c r="A12" s="19" t="inlineStr">
        <is>
          <t>2026-06-19</t>
        </is>
      </c>
      <c r="B12" s="19" t="inlineStr">
        <is>
          <t>MNQ</t>
        </is>
      </c>
      <c r="C12" s="19" t="n">
        <v>40</v>
      </c>
      <c r="D12" s="19" t="n">
        <v>12</v>
      </c>
      <c r="E12" s="19" t="n">
        <v>20</v>
      </c>
      <c r="F12" s="19" t="n">
        <v>0.8</v>
      </c>
      <c r="G12" s="19" t="n">
        <v>32.8</v>
      </c>
      <c r="H12" s="19" t="n">
        <v>65.59999999999999</v>
      </c>
      <c r="I12" s="19" t="inlineStr">
        <is>
          <t>MNQ Bull Call Spread — FLAT</t>
        </is>
      </c>
    </row>
    <row r="13">
      <c r="A13" s="19" t="inlineStr">
        <is>
          <t>2026-06-19</t>
        </is>
      </c>
      <c r="B13" s="19" t="inlineStr">
        <is>
          <t>NQ</t>
        </is>
      </c>
      <c r="C13" s="19" t="n">
        <v>4</v>
      </c>
      <c r="D13" s="19" t="n">
        <v>4.72</v>
      </c>
      <c r="E13" s="19" t="n">
        <v>10</v>
      </c>
      <c r="F13" s="19" t="n">
        <v>0.08</v>
      </c>
      <c r="G13" s="19" t="n">
        <v>14.8</v>
      </c>
      <c r="H13" s="19" t="n">
        <v>29.6</v>
      </c>
      <c r="I13" s="19" t="inlineStr">
        <is>
          <t>NQ Bull Call Spread — STOP LOSS</t>
        </is>
      </c>
    </row>
    <row r="14">
      <c r="A14" s="19" t="inlineStr">
        <is>
          <t>2026-06-19</t>
        </is>
      </c>
      <c r="B14" s="19" t="inlineStr">
        <is>
          <t>MNQ</t>
        </is>
      </c>
      <c r="C14" s="19" t="n">
        <v>45</v>
      </c>
      <c r="D14" s="19" t="n">
        <v>13.5</v>
      </c>
      <c r="E14" s="19" t="n">
        <v>22.5</v>
      </c>
      <c r="F14" s="19" t="n">
        <v>0.9</v>
      </c>
      <c r="G14" s="19" t="n">
        <v>36.9</v>
      </c>
      <c r="H14" s="19" t="n">
        <v>73.8</v>
      </c>
      <c r="I14" s="19" t="inlineStr">
        <is>
          <t>MNQ Bull Call Spread — STOP LOSS</t>
        </is>
      </c>
    </row>
    <row r="15">
      <c r="A15" s="19" t="inlineStr">
        <is>
          <t>2026-06-22</t>
        </is>
      </c>
      <c r="B15" s="19" t="inlineStr">
        <is>
          <t>NQ</t>
        </is>
      </c>
      <c r="C15" s="19" t="n">
        <v>3</v>
      </c>
      <c r="D15" s="19" t="n">
        <v>3.54</v>
      </c>
      <c r="E15" s="19" t="n">
        <v>7.5</v>
      </c>
      <c r="F15" s="19" t="n">
        <v>0.06</v>
      </c>
      <c r="G15" s="19" t="n">
        <v>11.1</v>
      </c>
      <c r="H15" s="19" t="n">
        <v>22.2</v>
      </c>
      <c r="I15" s="19" t="inlineStr">
        <is>
          <t>NQ Bull Call Spread — PROFIT</t>
        </is>
      </c>
    </row>
    <row r="16">
      <c r="A16" s="19" t="inlineStr">
        <is>
          <t>2026-06-22</t>
        </is>
      </c>
      <c r="B16" s="19" t="inlineStr">
        <is>
          <t>MNQ</t>
        </is>
      </c>
      <c r="C16" s="19" t="n">
        <v>40</v>
      </c>
      <c r="D16" s="19" t="n">
        <v>12</v>
      </c>
      <c r="E16" s="19" t="n">
        <v>20</v>
      </c>
      <c r="F16" s="19" t="n">
        <v>0.8</v>
      </c>
      <c r="G16" s="19" t="n">
        <v>32.8</v>
      </c>
      <c r="H16" s="19" t="n">
        <v>65.59999999999999</v>
      </c>
      <c r="I16" s="19" t="inlineStr">
        <is>
          <t>MNQ Bull Call Spread — FLAT</t>
        </is>
      </c>
    </row>
    <row r="17">
      <c r="A17" s="19" t="inlineStr">
        <is>
          <t>2026-06-22</t>
        </is>
      </c>
      <c r="B17" s="19" t="inlineStr">
        <is>
          <t>NQ</t>
        </is>
      </c>
      <c r="C17" s="19" t="n">
        <v>4</v>
      </c>
      <c r="D17" s="19" t="n">
        <v>4.72</v>
      </c>
      <c r="E17" s="19" t="n">
        <v>10</v>
      </c>
      <c r="F17" s="19" t="n">
        <v>0.08</v>
      </c>
      <c r="G17" s="19" t="n">
        <v>14.8</v>
      </c>
      <c r="H17" s="19" t="n">
        <v>29.6</v>
      </c>
      <c r="I17" s="19" t="inlineStr">
        <is>
          <t>NQ Bull Call Spread — PROFIT</t>
        </is>
      </c>
    </row>
    <row r="18">
      <c r="A18" s="19" t="inlineStr">
        <is>
          <t>2026-06-22</t>
        </is>
      </c>
      <c r="B18" s="19" t="inlineStr">
        <is>
          <t>MNQ</t>
        </is>
      </c>
      <c r="C18" s="19" t="n">
        <v>38</v>
      </c>
      <c r="D18" s="19" t="n">
        <v>11.4</v>
      </c>
      <c r="E18" s="19" t="n">
        <v>19</v>
      </c>
      <c r="F18" s="19" t="n">
        <v>0.76</v>
      </c>
      <c r="G18" s="19" t="n">
        <v>31.16</v>
      </c>
      <c r="H18" s="19" t="n">
        <v>62.32</v>
      </c>
      <c r="I18" s="19" t="inlineStr">
        <is>
          <t>MNQ Bull Call Spread — PROFIT</t>
        </is>
      </c>
    </row>
    <row r="19">
      <c r="A19" s="19" t="inlineStr">
        <is>
          <t>2026-06-23</t>
        </is>
      </c>
      <c r="B19" s="19" t="inlineStr">
        <is>
          <t>NQ</t>
        </is>
      </c>
      <c r="C19" s="19" t="n">
        <v>3</v>
      </c>
      <c r="D19" s="19" t="n">
        <v>3.54</v>
      </c>
      <c r="E19" s="19" t="n">
        <v>7.5</v>
      </c>
      <c r="F19" s="19" t="n">
        <v>0.06</v>
      </c>
      <c r="G19" s="19" t="n">
        <v>11.1</v>
      </c>
      <c r="H19" s="19" t="n">
        <v>22.2</v>
      </c>
      <c r="I19" s="19" t="inlineStr">
        <is>
          <t>NQ Bull Call Spread — PROFIT</t>
        </is>
      </c>
    </row>
    <row r="20">
      <c r="A20" s="19" t="inlineStr">
        <is>
          <t>2026-06-23</t>
        </is>
      </c>
      <c r="B20" s="19" t="inlineStr">
        <is>
          <t>MNQ</t>
        </is>
      </c>
      <c r="C20" s="19" t="n">
        <v>44</v>
      </c>
      <c r="D20" s="19" t="n">
        <v>13.2</v>
      </c>
      <c r="E20" s="19" t="n">
        <v>22</v>
      </c>
      <c r="F20" s="19" t="n">
        <v>0.88</v>
      </c>
      <c r="G20" s="19" t="n">
        <v>36.08</v>
      </c>
      <c r="H20" s="19" t="n">
        <v>72.16</v>
      </c>
      <c r="I20" s="19" t="inlineStr">
        <is>
          <t>MNQ Bull Call Spread — STOP LOSS</t>
        </is>
      </c>
    </row>
    <row r="21">
      <c r="A21" s="19" t="inlineStr">
        <is>
          <t>2026-06-23</t>
        </is>
      </c>
      <c r="B21" s="19" t="inlineStr">
        <is>
          <t>NQ</t>
        </is>
      </c>
      <c r="C21" s="19" t="n">
        <v>3</v>
      </c>
      <c r="D21" s="19" t="n">
        <v>3.54</v>
      </c>
      <c r="E21" s="19" t="n">
        <v>7.5</v>
      </c>
      <c r="F21" s="19" t="n">
        <v>0.06</v>
      </c>
      <c r="G21" s="19" t="n">
        <v>11.1</v>
      </c>
      <c r="H21" s="19" t="n">
        <v>22.2</v>
      </c>
      <c r="I21" s="19" t="inlineStr">
        <is>
          <t>NQ Bull Call Spread — PROFIT</t>
        </is>
      </c>
    </row>
    <row r="22">
      <c r="A22" s="19" t="inlineStr">
        <is>
          <t>2026-06-23</t>
        </is>
      </c>
      <c r="B22" s="19" t="inlineStr">
        <is>
          <t>MNQ</t>
        </is>
      </c>
      <c r="C22" s="19" t="n">
        <v>35</v>
      </c>
      <c r="D22" s="19" t="n">
        <v>10.5</v>
      </c>
      <c r="E22" s="19" t="n">
        <v>17.5</v>
      </c>
      <c r="F22" s="19" t="n">
        <v>0.7</v>
      </c>
      <c r="G22" s="19" t="n">
        <v>28.7</v>
      </c>
      <c r="H22" s="19" t="n">
        <v>57.4</v>
      </c>
      <c r="I22" s="19" t="inlineStr">
        <is>
          <t>MNQ Bull Call Spread — FLAT</t>
        </is>
      </c>
    </row>
    <row r="23">
      <c r="A23" s="19" t="inlineStr">
        <is>
          <t>2026-06-24</t>
        </is>
      </c>
      <c r="B23" s="19" t="inlineStr">
        <is>
          <t>NQ</t>
        </is>
      </c>
      <c r="C23" s="19" t="n">
        <v>3</v>
      </c>
      <c r="D23" s="19" t="n">
        <v>3.54</v>
      </c>
      <c r="E23" s="19" t="n">
        <v>7.5</v>
      </c>
      <c r="F23" s="19" t="n">
        <v>0.06</v>
      </c>
      <c r="G23" s="19" t="n">
        <v>11.1</v>
      </c>
      <c r="H23" s="19" t="n">
        <v>22.2</v>
      </c>
      <c r="I23" s="19" t="inlineStr">
        <is>
          <t>NQ Bull Call Spread — PROFIT</t>
        </is>
      </c>
    </row>
    <row r="24">
      <c r="A24" s="19" t="inlineStr">
        <is>
          <t>2026-06-24</t>
        </is>
      </c>
      <c r="B24" s="19" t="inlineStr">
        <is>
          <t>MNQ</t>
        </is>
      </c>
      <c r="C24" s="19" t="n">
        <v>37</v>
      </c>
      <c r="D24" s="19" t="n">
        <v>11.1</v>
      </c>
      <c r="E24" s="19" t="n">
        <v>18.5</v>
      </c>
      <c r="F24" s="19" t="n">
        <v>0.74</v>
      </c>
      <c r="G24" s="19" t="n">
        <v>30.34</v>
      </c>
      <c r="H24" s="19" t="n">
        <v>60.68</v>
      </c>
      <c r="I24" s="19" t="inlineStr">
        <is>
          <t>MNQ Bull Call Spread — PROFIT</t>
        </is>
      </c>
    </row>
    <row r="25">
      <c r="A25" s="19" t="inlineStr">
        <is>
          <t>2026-06-24</t>
        </is>
      </c>
      <c r="B25" s="19" t="inlineStr">
        <is>
          <t>NQ</t>
        </is>
      </c>
      <c r="C25" s="19" t="n">
        <v>3</v>
      </c>
      <c r="D25" s="19" t="n">
        <v>3.54</v>
      </c>
      <c r="E25" s="19" t="n">
        <v>7.5</v>
      </c>
      <c r="F25" s="19" t="n">
        <v>0.06</v>
      </c>
      <c r="G25" s="19" t="n">
        <v>11.1</v>
      </c>
      <c r="H25" s="19" t="n">
        <v>22.2</v>
      </c>
      <c r="I25" s="19" t="inlineStr">
        <is>
          <t>NQ Bull Call Spread — PROFIT</t>
        </is>
      </c>
    </row>
    <row r="26">
      <c r="A26" s="19" t="inlineStr">
        <is>
          <t>2026-06-24</t>
        </is>
      </c>
      <c r="B26" s="19" t="inlineStr">
        <is>
          <t>MNQ</t>
        </is>
      </c>
      <c r="C26" s="19" t="n">
        <v>39</v>
      </c>
      <c r="D26" s="19" t="n">
        <v>11.7</v>
      </c>
      <c r="E26" s="19" t="n">
        <v>19.5</v>
      </c>
      <c r="F26" s="19" t="n">
        <v>0.78</v>
      </c>
      <c r="G26" s="19" t="n">
        <v>31.98</v>
      </c>
      <c r="H26" s="19" t="n">
        <v>63.96</v>
      </c>
      <c r="I26" s="19" t="inlineStr">
        <is>
          <t>MNQ Bull Call Spread — STOP LOSS</t>
        </is>
      </c>
    </row>
    <row r="27">
      <c r="A27" s="19" t="inlineStr">
        <is>
          <t>2026-06-25</t>
        </is>
      </c>
      <c r="B27" s="19" t="inlineStr">
        <is>
          <t>NQ</t>
        </is>
      </c>
      <c r="C27" s="19" t="n">
        <v>4</v>
      </c>
      <c r="D27" s="19" t="n">
        <v>4.72</v>
      </c>
      <c r="E27" s="19" t="n">
        <v>10</v>
      </c>
      <c r="F27" s="19" t="n">
        <v>0.08</v>
      </c>
      <c r="G27" s="19" t="n">
        <v>14.8</v>
      </c>
      <c r="H27" s="19" t="n">
        <v>29.6</v>
      </c>
      <c r="I27" s="19" t="inlineStr">
        <is>
          <t>NQ Bull Call Spread — PROFIT</t>
        </is>
      </c>
    </row>
    <row r="28">
      <c r="A28" s="19" t="inlineStr">
        <is>
          <t>2026-06-25</t>
        </is>
      </c>
      <c r="B28" s="19" t="inlineStr">
        <is>
          <t>MNQ</t>
        </is>
      </c>
      <c r="C28" s="19" t="n">
        <v>45</v>
      </c>
      <c r="D28" s="19" t="n">
        <v>13.5</v>
      </c>
      <c r="E28" s="19" t="n">
        <v>22.5</v>
      </c>
      <c r="F28" s="19" t="n">
        <v>0.9</v>
      </c>
      <c r="G28" s="19" t="n">
        <v>36.9</v>
      </c>
      <c r="H28" s="19" t="n">
        <v>73.8</v>
      </c>
      <c r="I28" s="19" t="inlineStr">
        <is>
          <t>MNQ Bull Call Spread — STOP LOSS</t>
        </is>
      </c>
    </row>
    <row r="29">
      <c r="A29" s="19" t="inlineStr">
        <is>
          <t>2026-06-25</t>
        </is>
      </c>
      <c r="B29" s="19" t="inlineStr">
        <is>
          <t>NQ</t>
        </is>
      </c>
      <c r="C29" s="19" t="n">
        <v>3</v>
      </c>
      <c r="D29" s="19" t="n">
        <v>3.54</v>
      </c>
      <c r="E29" s="19" t="n">
        <v>7.5</v>
      </c>
      <c r="F29" s="19" t="n">
        <v>0.06</v>
      </c>
      <c r="G29" s="19" t="n">
        <v>11.1</v>
      </c>
      <c r="H29" s="19" t="n">
        <v>22.2</v>
      </c>
      <c r="I29" s="19" t="inlineStr">
        <is>
          <t>NQ Bull Call Spread — PROFIT</t>
        </is>
      </c>
    </row>
    <row r="30">
      <c r="A30" s="19" t="inlineStr">
        <is>
          <t>2026-06-25</t>
        </is>
      </c>
      <c r="B30" s="19" t="inlineStr">
        <is>
          <t>MNQ</t>
        </is>
      </c>
      <c r="C30" s="19" t="n">
        <v>35</v>
      </c>
      <c r="D30" s="19" t="n">
        <v>10.5</v>
      </c>
      <c r="E30" s="19" t="n">
        <v>17.5</v>
      </c>
      <c r="F30" s="19" t="n">
        <v>0.7</v>
      </c>
      <c r="G30" s="19" t="n">
        <v>28.7</v>
      </c>
      <c r="H30" s="19" t="n">
        <v>57.4</v>
      </c>
      <c r="I30" s="19" t="inlineStr">
        <is>
          <t>MNQ Bull Call Spread — PROFIT</t>
        </is>
      </c>
    </row>
    <row r="31">
      <c r="A31" s="19" t="inlineStr">
        <is>
          <t>2026-06-26</t>
        </is>
      </c>
      <c r="B31" s="19" t="inlineStr">
        <is>
          <t>NQ</t>
        </is>
      </c>
      <c r="C31" s="19" t="n">
        <v>4</v>
      </c>
      <c r="D31" s="19" t="n">
        <v>4.72</v>
      </c>
      <c r="E31" s="19" t="n">
        <v>10</v>
      </c>
      <c r="F31" s="19" t="n">
        <v>0.08</v>
      </c>
      <c r="G31" s="19" t="n">
        <v>14.8</v>
      </c>
      <c r="H31" s="19" t="n">
        <v>29.6</v>
      </c>
      <c r="I31" s="19" t="inlineStr">
        <is>
          <t>NQ Bull Call Spread — STOP LOSS</t>
        </is>
      </c>
    </row>
    <row r="32">
      <c r="A32" s="19" t="inlineStr">
        <is>
          <t>2026-06-26</t>
        </is>
      </c>
      <c r="B32" s="19" t="inlineStr">
        <is>
          <t>MNQ</t>
        </is>
      </c>
      <c r="C32" s="19" t="n">
        <v>36</v>
      </c>
      <c r="D32" s="19" t="n">
        <v>10.8</v>
      </c>
      <c r="E32" s="19" t="n">
        <v>18</v>
      </c>
      <c r="F32" s="19" t="n">
        <v>0.72</v>
      </c>
      <c r="G32" s="19" t="n">
        <v>29.52</v>
      </c>
      <c r="H32" s="19" t="n">
        <v>59.04</v>
      </c>
      <c r="I32" s="19" t="inlineStr">
        <is>
          <t>MNQ Bull Call Spread — STOP LOSS</t>
        </is>
      </c>
    </row>
    <row r="33">
      <c r="A33" s="19" t="inlineStr">
        <is>
          <t>2026-06-26</t>
        </is>
      </c>
      <c r="B33" s="19" t="inlineStr">
        <is>
          <t>NQ</t>
        </is>
      </c>
      <c r="C33" s="19" t="n">
        <v>4</v>
      </c>
      <c r="D33" s="19" t="n">
        <v>4.72</v>
      </c>
      <c r="E33" s="19" t="n">
        <v>10</v>
      </c>
      <c r="F33" s="19" t="n">
        <v>0.08</v>
      </c>
      <c r="G33" s="19" t="n">
        <v>14.8</v>
      </c>
      <c r="H33" s="19" t="n">
        <v>29.6</v>
      </c>
      <c r="I33" s="19" t="inlineStr">
        <is>
          <t>NQ Bull Call Spread — STOP LOSS</t>
        </is>
      </c>
    </row>
    <row r="34">
      <c r="A34" s="19" t="inlineStr">
        <is>
          <t>2026-06-26</t>
        </is>
      </c>
      <c r="B34" s="19" t="inlineStr">
        <is>
          <t>MNQ</t>
        </is>
      </c>
      <c r="C34" s="19" t="n">
        <v>37</v>
      </c>
      <c r="D34" s="19" t="n">
        <v>11.1</v>
      </c>
      <c r="E34" s="19" t="n">
        <v>18.5</v>
      </c>
      <c r="F34" s="19" t="n">
        <v>0.74</v>
      </c>
      <c r="G34" s="19" t="n">
        <v>30.34</v>
      </c>
      <c r="H34" s="19" t="n">
        <v>60.68</v>
      </c>
      <c r="I34" s="19" t="inlineStr">
        <is>
          <t>MNQ Bull Call Spread — FLAT</t>
        </is>
      </c>
    </row>
    <row r="35">
      <c r="A35" s="19" t="inlineStr">
        <is>
          <t>2026-06-29</t>
        </is>
      </c>
      <c r="B35" s="19" t="inlineStr">
        <is>
          <t>NQ</t>
        </is>
      </c>
      <c r="C35" s="19" t="n">
        <v>3</v>
      </c>
      <c r="D35" s="19" t="n">
        <v>3.54</v>
      </c>
      <c r="E35" s="19" t="n">
        <v>7.5</v>
      </c>
      <c r="F35" s="19" t="n">
        <v>0.06</v>
      </c>
      <c r="G35" s="19" t="n">
        <v>11.1</v>
      </c>
      <c r="H35" s="19" t="n">
        <v>22.2</v>
      </c>
      <c r="I35" s="19" t="inlineStr">
        <is>
          <t>NQ Bull Call Spread — STOP LOSS</t>
        </is>
      </c>
    </row>
    <row r="36">
      <c r="A36" s="19" t="inlineStr">
        <is>
          <t>2026-06-29</t>
        </is>
      </c>
      <c r="B36" s="19" t="inlineStr">
        <is>
          <t>MNQ</t>
        </is>
      </c>
      <c r="C36" s="19" t="n">
        <v>37</v>
      </c>
      <c r="D36" s="19" t="n">
        <v>11.1</v>
      </c>
      <c r="E36" s="19" t="n">
        <v>18.5</v>
      </c>
      <c r="F36" s="19" t="n">
        <v>0.74</v>
      </c>
      <c r="G36" s="19" t="n">
        <v>30.34</v>
      </c>
      <c r="H36" s="19" t="n">
        <v>60.68</v>
      </c>
      <c r="I36" s="19" t="inlineStr">
        <is>
          <t>MNQ Bull Call Spread — PROFIT</t>
        </is>
      </c>
    </row>
    <row r="37">
      <c r="A37" s="19" t="inlineStr">
        <is>
          <t>2026-06-29</t>
        </is>
      </c>
      <c r="B37" s="19" t="inlineStr">
        <is>
          <t>NQ</t>
        </is>
      </c>
      <c r="C37" s="19" t="n">
        <v>4</v>
      </c>
      <c r="D37" s="19" t="n">
        <v>4.72</v>
      </c>
      <c r="E37" s="19" t="n">
        <v>10</v>
      </c>
      <c r="F37" s="19" t="n">
        <v>0.08</v>
      </c>
      <c r="G37" s="19" t="n">
        <v>14.8</v>
      </c>
      <c r="H37" s="19" t="n">
        <v>29.6</v>
      </c>
      <c r="I37" s="19" t="inlineStr">
        <is>
          <t>NQ Bull Call Spread — STOP LOSS</t>
        </is>
      </c>
    </row>
    <row r="38">
      <c r="A38" s="19" t="inlineStr">
        <is>
          <t>2026-06-29</t>
        </is>
      </c>
      <c r="B38" s="19" t="inlineStr">
        <is>
          <t>MNQ</t>
        </is>
      </c>
      <c r="C38" s="19" t="n">
        <v>41</v>
      </c>
      <c r="D38" s="19" t="n">
        <v>12.3</v>
      </c>
      <c r="E38" s="19" t="n">
        <v>20.5</v>
      </c>
      <c r="F38" s="19" t="n">
        <v>0.82</v>
      </c>
      <c r="G38" s="19" t="n">
        <v>33.62</v>
      </c>
      <c r="H38" s="19" t="n">
        <v>67.23999999999999</v>
      </c>
      <c r="I38" s="19" t="inlineStr">
        <is>
          <t>MNQ Bull Call Spread — PROFIT</t>
        </is>
      </c>
    </row>
    <row r="39">
      <c r="A39" s="19" t="inlineStr">
        <is>
          <t>2026-06-30</t>
        </is>
      </c>
      <c r="B39" s="19" t="inlineStr">
        <is>
          <t>NQ</t>
        </is>
      </c>
      <c r="C39" s="19" t="n">
        <v>4</v>
      </c>
      <c r="D39" s="19" t="n">
        <v>4.72</v>
      </c>
      <c r="E39" s="19" t="n">
        <v>10</v>
      </c>
      <c r="F39" s="19" t="n">
        <v>0.08</v>
      </c>
      <c r="G39" s="19" t="n">
        <v>14.8</v>
      </c>
      <c r="H39" s="19" t="n">
        <v>29.6</v>
      </c>
      <c r="I39" s="19" t="inlineStr">
        <is>
          <t>NQ Bull Call Spread — PROFIT</t>
        </is>
      </c>
    </row>
    <row r="40">
      <c r="A40" s="19" t="inlineStr">
        <is>
          <t>2026-06-30</t>
        </is>
      </c>
      <c r="B40" s="19" t="inlineStr">
        <is>
          <t>MNQ</t>
        </is>
      </c>
      <c r="C40" s="19" t="n">
        <v>38</v>
      </c>
      <c r="D40" s="19" t="n">
        <v>11.4</v>
      </c>
      <c r="E40" s="19" t="n">
        <v>19</v>
      </c>
      <c r="F40" s="19" t="n">
        <v>0.76</v>
      </c>
      <c r="G40" s="19" t="n">
        <v>31.16</v>
      </c>
      <c r="H40" s="19" t="n">
        <v>62.32</v>
      </c>
      <c r="I40" s="19" t="inlineStr">
        <is>
          <t>MNQ Bull Call Spread — PROFIT</t>
        </is>
      </c>
    </row>
    <row r="41">
      <c r="A41" s="19" t="inlineStr">
        <is>
          <t>2026-06-30</t>
        </is>
      </c>
      <c r="B41" s="19" t="inlineStr">
        <is>
          <t>NQ</t>
        </is>
      </c>
      <c r="C41" s="19" t="n">
        <v>4</v>
      </c>
      <c r="D41" s="19" t="n">
        <v>4.72</v>
      </c>
      <c r="E41" s="19" t="n">
        <v>10</v>
      </c>
      <c r="F41" s="19" t="n">
        <v>0.08</v>
      </c>
      <c r="G41" s="19" t="n">
        <v>14.8</v>
      </c>
      <c r="H41" s="19" t="n">
        <v>29.6</v>
      </c>
      <c r="I41" s="19" t="inlineStr">
        <is>
          <t>NQ Bull Call Spread — PROFIT</t>
        </is>
      </c>
    </row>
    <row r="42">
      <c r="A42" s="19" t="inlineStr">
        <is>
          <t>2026-06-30</t>
        </is>
      </c>
      <c r="B42" s="19" t="inlineStr">
        <is>
          <t>MNQ</t>
        </is>
      </c>
      <c r="C42" s="19" t="n">
        <v>44</v>
      </c>
      <c r="D42" s="19" t="n">
        <v>13.2</v>
      </c>
      <c r="E42" s="19" t="n">
        <v>22</v>
      </c>
      <c r="F42" s="19" t="n">
        <v>0.88</v>
      </c>
      <c r="G42" s="19" t="n">
        <v>36.08</v>
      </c>
      <c r="H42" s="19" t="n">
        <v>72.16</v>
      </c>
      <c r="I42" s="19" t="inlineStr">
        <is>
          <t>MNQ Bull Call Spread — PROFIT</t>
        </is>
      </c>
    </row>
    <row r="43">
      <c r="A43" s="19" t="inlineStr">
        <is>
          <t>2026-07-01</t>
        </is>
      </c>
      <c r="B43" s="19" t="inlineStr">
        <is>
          <t>NQ</t>
        </is>
      </c>
      <c r="C43" s="19" t="n">
        <v>4</v>
      </c>
      <c r="D43" s="19" t="n">
        <v>4.72</v>
      </c>
      <c r="E43" s="19" t="n">
        <v>10</v>
      </c>
      <c r="F43" s="19" t="n">
        <v>0.08</v>
      </c>
      <c r="G43" s="19" t="n">
        <v>14.8</v>
      </c>
      <c r="H43" s="19" t="n">
        <v>29.6</v>
      </c>
      <c r="I43" s="19" t="inlineStr">
        <is>
          <t>NQ Bull Call Spread — STOP LOSS</t>
        </is>
      </c>
    </row>
    <row r="44">
      <c r="A44" s="19" t="inlineStr">
        <is>
          <t>2026-07-01</t>
        </is>
      </c>
      <c r="B44" s="19" t="inlineStr">
        <is>
          <t>MNQ</t>
        </is>
      </c>
      <c r="C44" s="19" t="n">
        <v>42</v>
      </c>
      <c r="D44" s="19" t="n">
        <v>12.6</v>
      </c>
      <c r="E44" s="19" t="n">
        <v>21</v>
      </c>
      <c r="F44" s="19" t="n">
        <v>0.84</v>
      </c>
      <c r="G44" s="19" t="n">
        <v>34.44</v>
      </c>
      <c r="H44" s="19" t="n">
        <v>68.88</v>
      </c>
      <c r="I44" s="19" t="inlineStr">
        <is>
          <t>MNQ Bull Call Spread — PROFIT</t>
        </is>
      </c>
    </row>
    <row r="45">
      <c r="A45" s="19" t="inlineStr">
        <is>
          <t>2026-07-01</t>
        </is>
      </c>
      <c r="B45" s="19" t="inlineStr">
        <is>
          <t>NQ</t>
        </is>
      </c>
      <c r="C45" s="19" t="n">
        <v>3</v>
      </c>
      <c r="D45" s="19" t="n">
        <v>3.54</v>
      </c>
      <c r="E45" s="19" t="n">
        <v>7.5</v>
      </c>
      <c r="F45" s="19" t="n">
        <v>0.06</v>
      </c>
      <c r="G45" s="19" t="n">
        <v>11.1</v>
      </c>
      <c r="H45" s="19" t="n">
        <v>22.2</v>
      </c>
      <c r="I45" s="19" t="inlineStr">
        <is>
          <t>NQ Bull Call Spread — PROFIT</t>
        </is>
      </c>
    </row>
    <row r="46">
      <c r="A46" s="19" t="inlineStr">
        <is>
          <t>2026-07-01</t>
        </is>
      </c>
      <c r="B46" s="19" t="inlineStr">
        <is>
          <t>MNQ</t>
        </is>
      </c>
      <c r="C46" s="19" t="n">
        <v>36</v>
      </c>
      <c r="D46" s="19" t="n">
        <v>10.8</v>
      </c>
      <c r="E46" s="19" t="n">
        <v>18</v>
      </c>
      <c r="F46" s="19" t="n">
        <v>0.72</v>
      </c>
      <c r="G46" s="19" t="n">
        <v>29.52</v>
      </c>
      <c r="H46" s="19" t="n">
        <v>59.04</v>
      </c>
      <c r="I46" s="19" t="inlineStr">
        <is>
          <t>MNQ Bull Call Spread — FLAT</t>
        </is>
      </c>
    </row>
    <row r="47">
      <c r="A47" s="19" t="inlineStr">
        <is>
          <t>2026-07-02</t>
        </is>
      </c>
      <c r="B47" s="19" t="inlineStr">
        <is>
          <t>NQ</t>
        </is>
      </c>
      <c r="C47" s="19" t="n">
        <v>4</v>
      </c>
      <c r="D47" s="19" t="n">
        <v>4.72</v>
      </c>
      <c r="E47" s="19" t="n">
        <v>10</v>
      </c>
      <c r="F47" s="19" t="n">
        <v>0.08</v>
      </c>
      <c r="G47" s="19" t="n">
        <v>14.8</v>
      </c>
      <c r="H47" s="19" t="n">
        <v>29.6</v>
      </c>
      <c r="I47" s="19" t="inlineStr">
        <is>
          <t>NQ Bull Call Spread — PROFIT</t>
        </is>
      </c>
    </row>
    <row r="48">
      <c r="A48" s="19" t="inlineStr">
        <is>
          <t>2026-07-02</t>
        </is>
      </c>
      <c r="B48" s="19" t="inlineStr">
        <is>
          <t>MNQ</t>
        </is>
      </c>
      <c r="C48" s="19" t="n">
        <v>37</v>
      </c>
      <c r="D48" s="19" t="n">
        <v>11.1</v>
      </c>
      <c r="E48" s="19" t="n">
        <v>18.5</v>
      </c>
      <c r="F48" s="19" t="n">
        <v>0.74</v>
      </c>
      <c r="G48" s="19" t="n">
        <v>30.34</v>
      </c>
      <c r="H48" s="19" t="n">
        <v>60.68</v>
      </c>
      <c r="I48" s="19" t="inlineStr">
        <is>
          <t>MNQ Bull Call Spread — PROFIT</t>
        </is>
      </c>
    </row>
    <row r="49">
      <c r="A49" s="19" t="inlineStr">
        <is>
          <t>2026-07-02</t>
        </is>
      </c>
      <c r="B49" s="19" t="inlineStr">
        <is>
          <t>NQ</t>
        </is>
      </c>
      <c r="C49" s="19" t="n">
        <v>4</v>
      </c>
      <c r="D49" s="19" t="n">
        <v>4.72</v>
      </c>
      <c r="E49" s="19" t="n">
        <v>10</v>
      </c>
      <c r="F49" s="19" t="n">
        <v>0.08</v>
      </c>
      <c r="G49" s="19" t="n">
        <v>14.8</v>
      </c>
      <c r="H49" s="19" t="n">
        <v>29.6</v>
      </c>
      <c r="I49" s="19" t="inlineStr">
        <is>
          <t>NQ Bull Call Spread — STOP LOSS</t>
        </is>
      </c>
    </row>
    <row r="50">
      <c r="A50" s="19" t="inlineStr">
        <is>
          <t>2026-07-02</t>
        </is>
      </c>
      <c r="B50" s="19" t="inlineStr">
        <is>
          <t>MNQ</t>
        </is>
      </c>
      <c r="C50" s="19" t="n">
        <v>34</v>
      </c>
      <c r="D50" s="19" t="n">
        <v>10.2</v>
      </c>
      <c r="E50" s="19" t="n">
        <v>17</v>
      </c>
      <c r="F50" s="19" t="n">
        <v>0.68</v>
      </c>
      <c r="G50" s="19" t="n">
        <v>27.88</v>
      </c>
      <c r="H50" s="19" t="n">
        <v>55.76</v>
      </c>
      <c r="I50" s="19" t="inlineStr">
        <is>
          <t>MNQ Bull Call Spread — STOP LOSS</t>
        </is>
      </c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18" customWidth="1" min="4" max="4"/>
  </cols>
  <sheetData>
    <row r="1" ht="32" customHeight="1">
      <c r="A1" s="3" t="inlineStr">
        <is>
          <t>PAPER TRADING — PERFORMANCE SUMMARY</t>
        </is>
      </c>
    </row>
    <row r="2" ht="22" customHeight="1">
      <c r="A2" s="4" t="inlineStr">
        <is>
          <t>NQ — Bull Call Spread</t>
        </is>
      </c>
    </row>
    <row r="3">
      <c r="A3" s="5" t="inlineStr">
        <is>
          <t>Total Trades</t>
        </is>
      </c>
      <c r="B3" s="6">
        <f>COUNTA(NQ_Trades!A3:A1000)</f>
        <v/>
      </c>
      <c r="C3" s="6" t="inlineStr">
        <is>
          <t>NQ</t>
        </is>
      </c>
      <c r="D3" s="6" t="inlineStr"/>
    </row>
    <row r="4">
      <c r="A4" s="5" t="inlineStr">
        <is>
          <t>Wins</t>
        </is>
      </c>
      <c r="B4" s="6">
        <f>COUNTIF(NQ_Trades!Y3:Y1000,"PROFIT")</f>
        <v/>
      </c>
      <c r="C4" s="6" t="inlineStr">
        <is>
          <t>NQ</t>
        </is>
      </c>
      <c r="D4" s="6" t="inlineStr"/>
    </row>
    <row r="5">
      <c r="A5" s="5" t="inlineStr">
        <is>
          <t>Losses</t>
        </is>
      </c>
      <c r="B5" s="6">
        <f>COUNTIF(NQ_Trades!Y3:Y1000,"STOP LOSS")</f>
        <v/>
      </c>
      <c r="C5" s="6" t="inlineStr">
        <is>
          <t>NQ</t>
        </is>
      </c>
      <c r="D5" s="6" t="inlineStr"/>
    </row>
    <row r="6">
      <c r="A6" s="5" t="inlineStr">
        <is>
          <t>Flat</t>
        </is>
      </c>
      <c r="B6" s="6">
        <f>COUNTIF(NQ_Trades!Y3:Y1000,"FLAT")</f>
        <v/>
      </c>
      <c r="C6" s="6" t="inlineStr">
        <is>
          <t>NQ</t>
        </is>
      </c>
      <c r="D6" s="6" t="inlineStr"/>
    </row>
    <row r="7">
      <c r="A7" s="5" t="inlineStr">
        <is>
          <t>Win Rate (%)</t>
        </is>
      </c>
      <c r="B7" s="6">
        <f>IFERROR(B4/B3*100,0)</f>
        <v/>
      </c>
      <c r="C7" s="6" t="inlineStr">
        <is>
          <t>NQ</t>
        </is>
      </c>
      <c r="D7" s="6" t="inlineStr"/>
    </row>
    <row r="8">
      <c r="A8" s="5" t="inlineStr">
        <is>
          <t>Gross P&amp;L ($)</t>
        </is>
      </c>
      <c r="B8" s="6">
        <f>IFERROR(SUM(NQ_Trades!R3:R1000),0)</f>
        <v/>
      </c>
      <c r="C8" s="6" t="inlineStr">
        <is>
          <t>NQ</t>
        </is>
      </c>
      <c r="D8" s="6" t="inlineStr"/>
    </row>
    <row r="9">
      <c r="A9" s="5" t="inlineStr">
        <is>
          <t>Total Fees ($)</t>
        </is>
      </c>
      <c r="B9" s="6">
        <f>IFERROR(SUM(NQ_Trades!V3:V1000),0)</f>
        <v/>
      </c>
      <c r="C9" s="6" t="inlineStr">
        <is>
          <t>NQ</t>
        </is>
      </c>
      <c r="D9" s="6" t="inlineStr"/>
    </row>
    <row r="10">
      <c r="A10" s="5" t="inlineStr">
        <is>
          <t>Net P&amp;L ($)</t>
        </is>
      </c>
      <c r="B10" s="6">
        <f>IFERROR(SUM(NQ_Trades!W3:W1000),0)</f>
        <v/>
      </c>
      <c r="C10" s="6" t="inlineStr">
        <is>
          <t>NQ</t>
        </is>
      </c>
      <c r="D10" s="6" t="inlineStr"/>
    </row>
    <row r="11">
      <c r="A11" s="5" t="inlineStr">
        <is>
          <t>Budget ($)</t>
        </is>
      </c>
      <c r="B11" s="6" t="n">
        <v>1000</v>
      </c>
      <c r="C11" s="6" t="inlineStr">
        <is>
          <t>NQ</t>
        </is>
      </c>
      <c r="D11" s="6" t="inlineStr"/>
    </row>
    <row r="12">
      <c r="A12" s="5" t="inlineStr">
        <is>
          <t>Return on Budget (%)</t>
        </is>
      </c>
      <c r="B12" s="6">
        <f>IFERROR(B10/B11*100,0)</f>
        <v/>
      </c>
      <c r="C12" s="6" t="inlineStr">
        <is>
          <t>NQ</t>
        </is>
      </c>
      <c r="D12" s="6" t="inlineStr"/>
    </row>
    <row r="13">
      <c r="A13" s="7" t="n"/>
      <c r="B13" s="7" t="n"/>
      <c r="C13" s="7" t="n"/>
      <c r="D13" s="7" t="n"/>
    </row>
    <row r="14" ht="22" customHeight="1">
      <c r="A14" s="8" t="inlineStr">
        <is>
          <t>MNQ — Bull Call Spread</t>
        </is>
      </c>
      <c r="B14" s="13" t="n"/>
      <c r="C14" s="13" t="n"/>
      <c r="D14" s="14" t="n"/>
    </row>
    <row r="15">
      <c r="A15" s="5" t="inlineStr">
        <is>
          <t>Total Trades</t>
        </is>
      </c>
      <c r="B15" s="6">
        <f>COUNTA(MNQ_Trades!A3:A1000)</f>
        <v/>
      </c>
      <c r="C15" s="6" t="inlineStr">
        <is>
          <t>MNQ</t>
        </is>
      </c>
      <c r="D15" s="6" t="inlineStr"/>
    </row>
    <row r="16">
      <c r="A16" s="5" t="inlineStr">
        <is>
          <t>Wins</t>
        </is>
      </c>
      <c r="B16" s="6">
        <f>COUNTIF(MNQ_Trades!Y3:Y1000,"PROFIT")</f>
        <v/>
      </c>
      <c r="C16" s="6" t="inlineStr">
        <is>
          <t>MNQ</t>
        </is>
      </c>
      <c r="D16" s="6" t="inlineStr"/>
    </row>
    <row r="17">
      <c r="A17" s="5" t="inlineStr">
        <is>
          <t>Losses</t>
        </is>
      </c>
      <c r="B17" s="6">
        <f>COUNTIF(MNQ_Trades!Y3:Y1000,"STOP LOSS")</f>
        <v/>
      </c>
      <c r="C17" s="6" t="inlineStr">
        <is>
          <t>MNQ</t>
        </is>
      </c>
      <c r="D17" s="6" t="inlineStr"/>
    </row>
    <row r="18">
      <c r="A18" s="5" t="inlineStr">
        <is>
          <t>Flat</t>
        </is>
      </c>
      <c r="B18" s="6">
        <f>COUNTIF(MNQ_Trades!Y3:Y1000,"FLAT")</f>
        <v/>
      </c>
      <c r="C18" s="6" t="inlineStr">
        <is>
          <t>MNQ</t>
        </is>
      </c>
      <c r="D18" s="6" t="inlineStr"/>
    </row>
    <row r="19">
      <c r="A19" s="5" t="inlineStr">
        <is>
          <t>Win Rate (%)</t>
        </is>
      </c>
      <c r="B19" s="6">
        <f>IFERROR(B16/B15*100,0)</f>
        <v/>
      </c>
      <c r="C19" s="6" t="inlineStr">
        <is>
          <t>MNQ</t>
        </is>
      </c>
      <c r="D19" s="6" t="inlineStr"/>
    </row>
    <row r="20">
      <c r="A20" s="5" t="inlineStr">
        <is>
          <t>Gross P&amp;L ($)</t>
        </is>
      </c>
      <c r="B20" s="6">
        <f>IFERROR(SUM(MNQ_Trades!R3:R1000),0)</f>
        <v/>
      </c>
      <c r="C20" s="6" t="inlineStr">
        <is>
          <t>MNQ</t>
        </is>
      </c>
      <c r="D20" s="6" t="inlineStr"/>
    </row>
    <row r="21">
      <c r="A21" s="5" t="inlineStr">
        <is>
          <t>Total Fees ($)</t>
        </is>
      </c>
      <c r="B21" s="6">
        <f>IFERROR(SUM(MNQ_Trades!V3:V1000),0)</f>
        <v/>
      </c>
      <c r="C21" s="6" t="inlineStr">
        <is>
          <t>MNQ</t>
        </is>
      </c>
      <c r="D21" s="6" t="inlineStr"/>
    </row>
    <row r="22">
      <c r="A22" s="5" t="inlineStr">
        <is>
          <t>Net P&amp;L ($)</t>
        </is>
      </c>
      <c r="B22" s="6">
        <f>IFERROR(SUM(MNQ_Trades!W3:W1000),0)</f>
        <v/>
      </c>
      <c r="C22" s="6" t="inlineStr">
        <is>
          <t>MNQ</t>
        </is>
      </c>
      <c r="D22" s="6" t="inlineStr"/>
    </row>
    <row r="23">
      <c r="A23" s="5" t="inlineStr">
        <is>
          <t>Budget ($)</t>
        </is>
      </c>
      <c r="B23" s="6" t="n">
        <v>1000</v>
      </c>
      <c r="C23" s="6" t="inlineStr">
        <is>
          <t>MNQ</t>
        </is>
      </c>
      <c r="D23" s="6" t="inlineStr"/>
    </row>
    <row r="24">
      <c r="A24" s="5" t="inlineStr">
        <is>
          <t>Return on Budget (%)</t>
        </is>
      </c>
      <c r="B24" s="6">
        <f>IFERROR(B22/B23*100,0)</f>
        <v/>
      </c>
      <c r="C24" s="6" t="inlineStr">
        <is>
          <t>MNQ</t>
        </is>
      </c>
      <c r="D24" s="6" t="inlineStr"/>
    </row>
    <row r="25">
      <c r="A25" s="7" t="n"/>
      <c r="B25" s="7" t="n"/>
      <c r="C25" s="7" t="n"/>
      <c r="D25" s="7" t="n"/>
    </row>
    <row r="26" ht="22" customHeight="1">
      <c r="A26" s="8" t="inlineStr">
        <is>
          <t>Combined Totals</t>
        </is>
      </c>
      <c r="B26" s="13" t="n"/>
      <c r="C26" s="13" t="n"/>
      <c r="D26" s="14" t="n"/>
    </row>
    <row r="27">
      <c r="A27" s="5" t="inlineStr">
        <is>
          <t>Total Net P&amp;L ($)</t>
        </is>
      </c>
      <c r="B27" s="6">
        <f>B10+B22</f>
        <v/>
      </c>
      <c r="C27" s="6" t="inlineStr"/>
      <c r="D27" s="6" t="inlineStr"/>
    </row>
    <row r="28">
      <c r="A28" s="5" t="inlineStr">
        <is>
          <t>Total Fees Paid ($)</t>
        </is>
      </c>
      <c r="B28" s="6">
        <f>B9+B21</f>
        <v/>
      </c>
      <c r="C28" s="6" t="inlineStr"/>
      <c r="D28" s="6" t="inlineStr"/>
    </row>
    <row r="29">
      <c r="A29" s="5" t="inlineStr">
        <is>
          <t>Overall Win Rate (%)</t>
        </is>
      </c>
      <c r="B29" s="6">
        <f>IFERROR((B4+B16)/(B3+B15)*100,0)</f>
        <v/>
      </c>
      <c r="C29" s="6" t="inlineStr"/>
      <c r="D29" s="6" t="inlineStr"/>
    </row>
  </sheetData>
  <mergeCells count="4">
    <mergeCell ref="A1:D1"/>
    <mergeCell ref="A14:D14"/>
    <mergeCell ref="A26:D26"/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2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NIFTY</t>
        </is>
      </c>
      <c r="C3" s="15" t="inlineStr">
        <is>
          <t>Bull Call Spread</t>
        </is>
      </c>
      <c r="D3" s="15" t="inlineStr">
        <is>
          <t>Bull Call Spread</t>
        </is>
      </c>
      <c r="E3" s="15" t="inlineStr">
        <is>
          <t>SKIP</t>
        </is>
      </c>
      <c r="F3" s="15" t="inlineStr">
        <is>
          <t>Conflicting — Price:BULLISH EMA:BEARISH</t>
        </is>
      </c>
      <c r="G3" s="15" t="n">
        <v>23385.72</v>
      </c>
      <c r="H3" s="15" t="n">
        <v>23538</v>
      </c>
      <c r="I3" s="15" t="inlineStr">
        <is>
          <t>2026-06-18</t>
        </is>
      </c>
      <c r="J3" s="15" t="inlineStr">
        <is>
          <t>WEEKLY</t>
        </is>
      </c>
      <c r="K3" s="15" t="n">
        <v>3</v>
      </c>
      <c r="L3" s="15" t="inlineStr">
        <is>
          <t>09:20 IST</t>
        </is>
      </c>
      <c r="M3" s="15" t="inlineStr">
        <is>
          <t>11:02 IST</t>
        </is>
      </c>
      <c r="N3" s="15" t="n">
        <v>23622.9</v>
      </c>
      <c r="O3" s="15" t="n">
        <v>23161.6</v>
      </c>
      <c r="P3" s="15" t="inlineStr">
        <is>
          <t>23600 CE</t>
        </is>
      </c>
      <c r="Q3" s="15" t="inlineStr">
        <is>
          <t>23700 CE</t>
        </is>
      </c>
      <c r="R3" s="15" t="n">
        <v>20</v>
      </c>
      <c r="S3" s="15" t="n">
        <v>75</v>
      </c>
      <c r="T3" s="15" t="n">
        <v>1500</v>
      </c>
      <c r="U3" s="15" t="n">
        <v>31.47</v>
      </c>
      <c r="V3" s="15" t="n">
        <v>22.03</v>
      </c>
      <c r="W3" s="15" t="n">
        <v>47205</v>
      </c>
      <c r="X3" s="15" t="n">
        <v>47259.63</v>
      </c>
      <c r="Y3" s="15" t="n">
        <v>102795</v>
      </c>
      <c r="Z3" s="15" t="n">
        <v>14161.5</v>
      </c>
      <c r="AA3" s="15" t="n">
        <v>14161.5</v>
      </c>
      <c r="AB3" s="15" t="n">
        <v>-14160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-14214.63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EMA9↑(23778.35&gt;23687.38)</t>
        </is>
      </c>
      <c r="G4" s="17" t="n">
        <v>23778.35</v>
      </c>
      <c r="H4" s="17" t="n">
        <v>23687.38</v>
      </c>
      <c r="I4" s="17" t="inlineStr">
        <is>
          <t>2026-06-18</t>
        </is>
      </c>
      <c r="J4" s="17" t="inlineStr">
        <is>
          <t>WEEKLY</t>
        </is>
      </c>
      <c r="K4" s="17" t="n">
        <v>0</v>
      </c>
      <c r="L4" s="17" t="inlineStr">
        <is>
          <t>09:20 IST</t>
        </is>
      </c>
      <c r="M4" s="17" t="inlineStr">
        <is>
          <t>10:29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26</v>
      </c>
      <c r="S4" s="17" t="n">
        <v>75</v>
      </c>
      <c r="T4" s="17" t="n">
        <v>1950</v>
      </c>
      <c r="U4" s="17" t="n">
        <v>24.87</v>
      </c>
      <c r="V4" s="17" t="n">
        <v>32.33</v>
      </c>
      <c r="W4" s="17" t="n">
        <v>48496.5</v>
      </c>
      <c r="X4" s="17" t="n">
        <v>48551.33</v>
      </c>
      <c r="Y4" s="17" t="n">
        <v>146503.5</v>
      </c>
      <c r="Z4" s="17" t="n">
        <v>14548.95</v>
      </c>
      <c r="AA4" s="17" t="n">
        <v>14548.95</v>
      </c>
      <c r="AB4" s="17" t="n">
        <v>14547</v>
      </c>
      <c r="AC4" s="17" t="n">
        <v>30</v>
      </c>
      <c r="AD4" s="17" t="n">
        <v>40</v>
      </c>
      <c r="AE4" s="17" t="n">
        <v>6.06</v>
      </c>
      <c r="AF4" s="17" t="n">
        <v>0.1</v>
      </c>
      <c r="AG4" s="17" t="n">
        <v>1.45</v>
      </c>
      <c r="AH4" s="17" t="n">
        <v>7.22</v>
      </c>
      <c r="AI4" s="17" t="n">
        <v>54.83</v>
      </c>
      <c r="AJ4" s="17" t="n">
        <v>14492.17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Bull Call Spread</t>
        </is>
      </c>
      <c r="D5" s="15" t="inlineStr">
        <is>
          <t>Bull Call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10:43 IST</t>
        </is>
      </c>
      <c r="N5" s="15" t="n">
        <v>24013.1</v>
      </c>
      <c r="O5" s="15" t="n">
        <v>24168</v>
      </c>
      <c r="P5" s="15" t="inlineStr">
        <is>
          <t>24000 CE</t>
        </is>
      </c>
      <c r="Q5" s="15" t="inlineStr">
        <is>
          <t>24100 CE</t>
        </is>
      </c>
      <c r="R5" s="15" t="n">
        <v>19</v>
      </c>
      <c r="S5" s="15" t="n">
        <v>75</v>
      </c>
      <c r="T5" s="15" t="n">
        <v>1425</v>
      </c>
      <c r="U5" s="15" t="n">
        <v>33.25</v>
      </c>
      <c r="V5" s="15" t="n">
        <v>23.27</v>
      </c>
      <c r="W5" s="15" t="n">
        <v>47381.25</v>
      </c>
      <c r="X5" s="15" t="n">
        <v>47435.91</v>
      </c>
      <c r="Y5" s="15" t="n">
        <v>95118.75</v>
      </c>
      <c r="Z5" s="15" t="n">
        <v>14214.38</v>
      </c>
      <c r="AA5" s="15" t="n">
        <v>14214.38</v>
      </c>
      <c r="AB5" s="15" t="n">
        <v>-14221.5</v>
      </c>
      <c r="AC5" s="15" t="n">
        <v>-30</v>
      </c>
      <c r="AD5" s="15" t="n">
        <v>40</v>
      </c>
      <c r="AE5" s="15" t="n">
        <v>5.92</v>
      </c>
      <c r="AF5" s="15" t="n">
        <v>0.09</v>
      </c>
      <c r="AG5" s="15" t="n">
        <v>1.42</v>
      </c>
      <c r="AH5" s="15" t="n">
        <v>7.22</v>
      </c>
      <c r="AI5" s="15" t="n">
        <v>54.66</v>
      </c>
      <c r="AJ5" s="15" t="n">
        <v>-14276.16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Price↑(24168.0&gt;24085.7) &amp; EMA9↑(23777.57&gt;23682.14)</t>
        </is>
      </c>
      <c r="G6" s="15" t="n">
        <v>23777.57</v>
      </c>
      <c r="H6" s="15" t="n">
        <v>23682.14</v>
      </c>
      <c r="I6" s="15" t="inlineStr">
        <is>
          <t>2026-06-25</t>
        </is>
      </c>
      <c r="J6" s="15" t="inlineStr">
        <is>
          <t>WEEKLY</t>
        </is>
      </c>
      <c r="K6" s="15" t="n">
        <v>6</v>
      </c>
      <c r="L6" s="15" t="inlineStr">
        <is>
          <t>09:20 IST</t>
        </is>
      </c>
      <c r="M6" s="15" t="inlineStr">
        <is>
          <t>10:31 IST</t>
        </is>
      </c>
      <c r="N6" s="15" t="n">
        <v>24168</v>
      </c>
      <c r="O6" s="15" t="n">
        <v>24085.7</v>
      </c>
      <c r="P6" s="15" t="inlineStr">
        <is>
          <t>24100 CE</t>
        </is>
      </c>
      <c r="Q6" s="15" t="inlineStr">
        <is>
          <t>24200 CE</t>
        </is>
      </c>
      <c r="R6" s="15" t="n">
        <v>23</v>
      </c>
      <c r="S6" s="15" t="n">
        <v>75</v>
      </c>
      <c r="T6" s="15" t="n">
        <v>1725</v>
      </c>
      <c r="U6" s="15" t="n">
        <v>27.64</v>
      </c>
      <c r="V6" s="15" t="n">
        <v>19.35</v>
      </c>
      <c r="W6" s="15" t="n">
        <v>47679</v>
      </c>
      <c r="X6" s="15" t="n">
        <v>47733.7</v>
      </c>
      <c r="Y6" s="15" t="n">
        <v>124821</v>
      </c>
      <c r="Z6" s="15" t="n">
        <v>14303.7</v>
      </c>
      <c r="AA6" s="15" t="n">
        <v>14303.7</v>
      </c>
      <c r="AB6" s="15" t="n">
        <v>-14300.25</v>
      </c>
      <c r="AC6" s="15" t="n">
        <v>-30</v>
      </c>
      <c r="AD6" s="15" t="n">
        <v>40</v>
      </c>
      <c r="AE6" s="15" t="n">
        <v>5.96</v>
      </c>
      <c r="AF6" s="15" t="n">
        <v>0.1</v>
      </c>
      <c r="AG6" s="15" t="n">
        <v>1.43</v>
      </c>
      <c r="AH6" s="15" t="n">
        <v>7.22</v>
      </c>
      <c r="AI6" s="15" t="n">
        <v>54.7</v>
      </c>
      <c r="AJ6" s="15" t="n">
        <v>-14354.95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NIFTY</t>
        </is>
      </c>
      <c r="C7" s="16" t="inlineStr">
        <is>
          <t>Bull Call Spread</t>
        </is>
      </c>
      <c r="D7" s="16" t="inlineStr">
        <is>
          <t>Bull Call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23824.22</v>
      </c>
      <c r="H7" s="16" t="n">
        <v>23714.31</v>
      </c>
      <c r="I7" s="16" t="inlineStr">
        <is>
          <t>2026-06-25</t>
        </is>
      </c>
      <c r="J7" s="16" t="inlineStr">
        <is>
          <t>WEEKLY</t>
        </is>
      </c>
      <c r="K7" s="16" t="n">
        <v>3</v>
      </c>
      <c r="L7" s="16" t="inlineStr">
        <is>
          <t>09:20 IST</t>
        </is>
      </c>
      <c r="M7" s="16" t="inlineStr">
        <is>
          <t>14:04 IST</t>
        </is>
      </c>
      <c r="N7" s="16" t="n">
        <v>24013.1</v>
      </c>
      <c r="O7" s="16" t="n">
        <v>24168</v>
      </c>
      <c r="P7" s="16" t="inlineStr">
        <is>
          <t>24000 CE</t>
        </is>
      </c>
      <c r="Q7" s="16" t="inlineStr">
        <is>
          <t>24100 CE</t>
        </is>
      </c>
      <c r="R7" s="16" t="n">
        <v>21</v>
      </c>
      <c r="S7" s="16" t="n">
        <v>75</v>
      </c>
      <c r="T7" s="16" t="n">
        <v>1575</v>
      </c>
      <c r="U7" s="16" t="n">
        <v>30.13</v>
      </c>
      <c r="V7" s="16" t="n">
        <v>29.89</v>
      </c>
      <c r="W7" s="16" t="n">
        <v>47454.75</v>
      </c>
      <c r="X7" s="16" t="n">
        <v>47509.42</v>
      </c>
      <c r="Y7" s="16" t="n">
        <v>110045.25</v>
      </c>
      <c r="Z7" s="16" t="n">
        <v>14236.42</v>
      </c>
      <c r="AA7" s="16" t="n">
        <v>14236.42</v>
      </c>
      <c r="AB7" s="16" t="n">
        <v>-378</v>
      </c>
      <c r="AC7" s="16" t="n">
        <v>-0.8</v>
      </c>
      <c r="AD7" s="16" t="n">
        <v>40</v>
      </c>
      <c r="AE7" s="16" t="n">
        <v>5.93</v>
      </c>
      <c r="AF7" s="16" t="n">
        <v>0.09</v>
      </c>
      <c r="AG7" s="16" t="n">
        <v>1.42</v>
      </c>
      <c r="AH7" s="16" t="n">
        <v>7.22</v>
      </c>
      <c r="AI7" s="16" t="n">
        <v>54.67</v>
      </c>
      <c r="AJ7" s="16" t="n">
        <v>-432.67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10:18 IST</t>
        </is>
      </c>
      <c r="N8" s="15" t="n">
        <v>24013.1</v>
      </c>
      <c r="O8" s="15" t="n">
        <v>24168</v>
      </c>
      <c r="P8" s="15" t="inlineStr">
        <is>
          <t>24000 CE</t>
        </is>
      </c>
      <c r="Q8" s="15" t="inlineStr">
        <is>
          <t>24100 CE</t>
        </is>
      </c>
      <c r="R8" s="15" t="n">
        <v>18</v>
      </c>
      <c r="S8" s="15" t="n">
        <v>75</v>
      </c>
      <c r="T8" s="15" t="n">
        <v>1350</v>
      </c>
      <c r="U8" s="15" t="n">
        <v>36.35</v>
      </c>
      <c r="V8" s="15" t="n">
        <v>25.45</v>
      </c>
      <c r="W8" s="15" t="n">
        <v>49072.5</v>
      </c>
      <c r="X8" s="15" t="n">
        <v>49127.42</v>
      </c>
      <c r="Y8" s="15" t="n">
        <v>85927.5</v>
      </c>
      <c r="Z8" s="15" t="n">
        <v>14721.75</v>
      </c>
      <c r="AA8" s="15" t="n">
        <v>14721.75</v>
      </c>
      <c r="AB8" s="15" t="n">
        <v>-14715</v>
      </c>
      <c r="AC8" s="15" t="n">
        <v>-30</v>
      </c>
      <c r="AD8" s="15" t="n">
        <v>40</v>
      </c>
      <c r="AE8" s="15" t="n">
        <v>6.13</v>
      </c>
      <c r="AF8" s="15" t="n">
        <v>0.1</v>
      </c>
      <c r="AG8" s="15" t="n">
        <v>1.47</v>
      </c>
      <c r="AH8" s="15" t="n">
        <v>7.22</v>
      </c>
      <c r="AI8" s="15" t="n">
        <v>54.92</v>
      </c>
      <c r="AJ8" s="15" t="n">
        <v>-14769.92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23868.63</v>
      </c>
      <c r="H9" s="17" t="n">
        <v>23767.86</v>
      </c>
      <c r="I9" s="17" t="inlineStr">
        <is>
          <t>2026-06-25</t>
        </is>
      </c>
      <c r="J9" s="17" t="inlineStr">
        <is>
          <t>WEEKLY</t>
        </is>
      </c>
      <c r="K9" s="17" t="n">
        <v>2</v>
      </c>
      <c r="L9" s="17" t="inlineStr">
        <is>
          <t>09:20 IST</t>
        </is>
      </c>
      <c r="M9" s="17" t="inlineStr">
        <is>
          <t>10:03 IST</t>
        </is>
      </c>
      <c r="N9" s="17" t="n">
        <v>23824.1</v>
      </c>
      <c r="O9" s="17" t="n">
        <v>24102.9</v>
      </c>
      <c r="P9" s="17" t="inlineStr">
        <is>
          <t>23800 CE</t>
        </is>
      </c>
      <c r="Q9" s="17" t="inlineStr">
        <is>
          <t>23900 CE</t>
        </is>
      </c>
      <c r="R9" s="17" t="n">
        <v>31</v>
      </c>
      <c r="S9" s="17" t="n">
        <v>75</v>
      </c>
      <c r="T9" s="17" t="n">
        <v>2325</v>
      </c>
      <c r="U9" s="17" t="n">
        <v>20.81</v>
      </c>
      <c r="V9" s="17" t="n">
        <v>27.05</v>
      </c>
      <c r="W9" s="17" t="n">
        <v>48383.25</v>
      </c>
      <c r="X9" s="17" t="n">
        <v>48438.06</v>
      </c>
      <c r="Y9" s="17" t="n">
        <v>184116.75</v>
      </c>
      <c r="Z9" s="17" t="n">
        <v>14514.98</v>
      </c>
      <c r="AA9" s="17" t="n">
        <v>14514.98</v>
      </c>
      <c r="AB9" s="17" t="n">
        <v>14508</v>
      </c>
      <c r="AC9" s="17" t="n">
        <v>30</v>
      </c>
      <c r="AD9" s="17" t="n">
        <v>40</v>
      </c>
      <c r="AE9" s="17" t="n">
        <v>6.05</v>
      </c>
      <c r="AF9" s="17" t="n">
        <v>0.1</v>
      </c>
      <c r="AG9" s="17" t="n">
        <v>1.45</v>
      </c>
      <c r="AH9" s="17" t="n">
        <v>7.22</v>
      </c>
      <c r="AI9" s="17" t="n">
        <v>54.81</v>
      </c>
      <c r="AJ9" s="17" t="n">
        <v>14453.19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11:19 IST</t>
        </is>
      </c>
      <c r="N10" s="17" t="n">
        <v>24102.9</v>
      </c>
      <c r="O10" s="17" t="n">
        <v>24013.1</v>
      </c>
      <c r="P10" s="17" t="inlineStr">
        <is>
          <t>24100 CE</t>
        </is>
      </c>
      <c r="Q10" s="17" t="inlineStr">
        <is>
          <t>24200 CE</t>
        </is>
      </c>
      <c r="R10" s="17" t="n">
        <v>27</v>
      </c>
      <c r="S10" s="17" t="n">
        <v>75</v>
      </c>
      <c r="T10" s="17" t="n">
        <v>2025</v>
      </c>
      <c r="U10" s="17" t="n">
        <v>23.46</v>
      </c>
      <c r="V10" s="17" t="n">
        <v>30.5</v>
      </c>
      <c r="W10" s="17" t="n">
        <v>47506.5</v>
      </c>
      <c r="X10" s="17" t="n">
        <v>47561.18</v>
      </c>
      <c r="Y10" s="17" t="n">
        <v>154993.5</v>
      </c>
      <c r="Z10" s="17" t="n">
        <v>14251.95</v>
      </c>
      <c r="AA10" s="17" t="n">
        <v>14251.95</v>
      </c>
      <c r="AB10" s="17" t="n">
        <v>14256</v>
      </c>
      <c r="AC10" s="17" t="n">
        <v>30</v>
      </c>
      <c r="AD10" s="17" t="n">
        <v>40</v>
      </c>
      <c r="AE10" s="17" t="n">
        <v>5.94</v>
      </c>
      <c r="AF10" s="17" t="n">
        <v>0.1</v>
      </c>
      <c r="AG10" s="17" t="n">
        <v>1.43</v>
      </c>
      <c r="AH10" s="17" t="n">
        <v>7.22</v>
      </c>
      <c r="AI10" s="17" t="n">
        <v>54.68</v>
      </c>
      <c r="AJ10" s="17" t="n">
        <v>14201.32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2026-06-24</t>
        </is>
      </c>
      <c r="B11" s="15" t="inlineStr">
        <is>
          <t>NIFTY</t>
        </is>
      </c>
      <c r="C11" s="15" t="inlineStr">
        <is>
          <t>Bull Call Spread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Price↑(24021.65&gt;23824.1) &amp; EMA9↑(23899.33&gt;23791.89)</t>
        </is>
      </c>
      <c r="H11" s="15" t="n">
        <v>23899.33</v>
      </c>
      <c r="I11" s="15" t="n">
        <v>23791.89</v>
      </c>
      <c r="J11" s="15" t="inlineStr">
        <is>
          <t>2026-06-25</t>
        </is>
      </c>
      <c r="K11" s="15" t="inlineStr">
        <is>
          <t>WEEKLY</t>
        </is>
      </c>
      <c r="L11" s="15" t="n">
        <v>1</v>
      </c>
      <c r="M11" s="15" t="inlineStr">
        <is>
          <t>09:20 IST</t>
        </is>
      </c>
      <c r="N11" s="15" t="inlineStr">
        <is>
          <t>10:51 IST</t>
        </is>
      </c>
      <c r="O11" s="15" t="n">
        <v>24021.65</v>
      </c>
      <c r="P11" s="15" t="n">
        <v>23824.1</v>
      </c>
      <c r="Q11" s="15" t="inlineStr">
        <is>
          <t>24000 CE</t>
        </is>
      </c>
      <c r="R11" s="15" t="inlineStr">
        <is>
          <t>24100 CE</t>
        </is>
      </c>
      <c r="S11" s="15" t="n">
        <v>45</v>
      </c>
      <c r="T11" s="15" t="n">
        <v>65</v>
      </c>
      <c r="U11" s="15" t="n">
        <v>2925</v>
      </c>
      <c r="V11" s="15" t="n">
        <v>16.39</v>
      </c>
      <c r="W11" s="15" t="n">
        <v>11.47</v>
      </c>
      <c r="X11" s="15" t="n">
        <v>47940.75</v>
      </c>
      <c r="Y11" s="15" t="n">
        <v>47995.49</v>
      </c>
      <c r="Z11" s="15" t="n">
        <v>244559.25</v>
      </c>
      <c r="AA11" s="15" t="n">
        <v>14382.23</v>
      </c>
      <c r="AB11" s="15" t="n">
        <v>14382.23</v>
      </c>
      <c r="AC11" s="15" t="n">
        <v>-14391</v>
      </c>
      <c r="AD11" s="15" t="n">
        <v>-30</v>
      </c>
      <c r="AE11" s="15" t="n">
        <v>40</v>
      </c>
      <c r="AF11" s="15" t="n">
        <v>5.99</v>
      </c>
      <c r="AG11" s="15" t="n">
        <v>0.1</v>
      </c>
      <c r="AH11" s="15" t="n">
        <v>1.44</v>
      </c>
      <c r="AI11" s="15" t="n">
        <v>7.22</v>
      </c>
      <c r="AJ11" s="15" t="n">
        <v>54.74</v>
      </c>
      <c r="AK11" s="15" t="n">
        <v>-14445.74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NIFTY</t>
        </is>
      </c>
      <c r="C12" s="16" t="inlineStr">
        <is>
          <t>Bull Call Spread</t>
        </is>
      </c>
      <c r="D12" s="16" t="inlineStr">
        <is>
          <t>Bull Call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23868.74</v>
      </c>
      <c r="I12" s="16" t="n">
        <v>23768.91</v>
      </c>
      <c r="J12" s="16" t="inlineStr">
        <is>
          <t>2026-06-25</t>
        </is>
      </c>
      <c r="K12" s="16" t="inlineStr">
        <is>
          <t>WEEKLY</t>
        </is>
      </c>
      <c r="L12" s="16" t="n">
        <v>1</v>
      </c>
      <c r="M12" s="16" t="inlineStr">
        <is>
          <t>09:20 IST</t>
        </is>
      </c>
      <c r="N12" s="16" t="inlineStr">
        <is>
          <t>15:03 IST</t>
        </is>
      </c>
      <c r="O12" s="16" t="n">
        <v>23824.1</v>
      </c>
      <c r="P12" s="16" t="n">
        <v>24102.9</v>
      </c>
      <c r="Q12" s="16" t="inlineStr">
        <is>
          <t>23800 CE</t>
        </is>
      </c>
      <c r="R12" s="16" t="inlineStr">
        <is>
          <t>23900 CE</t>
        </is>
      </c>
      <c r="S12" s="16" t="n">
        <v>41</v>
      </c>
      <c r="T12" s="16" t="n">
        <v>65</v>
      </c>
      <c r="U12" s="16" t="n">
        <v>2665</v>
      </c>
      <c r="V12" s="16" t="n">
        <v>17.94</v>
      </c>
      <c r="W12" s="16" t="n">
        <v>18.03</v>
      </c>
      <c r="X12" s="16" t="n">
        <v>47810.1</v>
      </c>
      <c r="Y12" s="16" t="n">
        <v>47864.82</v>
      </c>
      <c r="Z12" s="16" t="n">
        <v>218689.9</v>
      </c>
      <c r="AA12" s="16" t="n">
        <v>14343.03</v>
      </c>
      <c r="AB12" s="16" t="n">
        <v>14343.03</v>
      </c>
      <c r="AC12" s="16" t="n">
        <v>239.85</v>
      </c>
      <c r="AD12" s="16" t="n">
        <v>0.5</v>
      </c>
      <c r="AE12" s="16" t="n">
        <v>40</v>
      </c>
      <c r="AF12" s="16" t="n">
        <v>5.98</v>
      </c>
      <c r="AG12" s="16" t="n">
        <v>0.1</v>
      </c>
      <c r="AH12" s="16" t="n">
        <v>1.43</v>
      </c>
      <c r="AI12" s="16" t="n">
        <v>7.22</v>
      </c>
      <c r="AJ12" s="16" t="n">
        <v>54.72</v>
      </c>
      <c r="AK12" s="16" t="n">
        <v>185.13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5" t="inlineStr">
        <is>
          <t>2026-06-25</t>
        </is>
      </c>
      <c r="B13" s="15" t="inlineStr">
        <is>
          <t>NIFTY</t>
        </is>
      </c>
      <c r="C13" s="15" t="inlineStr">
        <is>
          <t>Bull Call Spread</t>
        </is>
      </c>
      <c r="D13" s="15" t="inlineStr">
        <is>
          <t>Bull Call Spread</t>
        </is>
      </c>
      <c r="E13" s="15" t="inlineStr">
        <is>
          <t>SIMULATED</t>
        </is>
      </c>
      <c r="F13" s="15" t="inlineStr">
        <is>
          <t>BULLISH</t>
        </is>
      </c>
      <c r="G13" s="15" t="inlineStr">
        <is>
          <t>Price↑(24056.0&gt;24021.65) &amp; EMA9↑(23930.53&gt;23806.47)</t>
        </is>
      </c>
      <c r="H13" s="15" t="n">
        <v>23930.53</v>
      </c>
      <c r="I13" s="15" t="n">
        <v>23806.47</v>
      </c>
      <c r="J13" s="15" t="inlineStr">
        <is>
          <t>2026-06-25</t>
        </is>
      </c>
      <c r="K13" s="15" t="inlineStr">
        <is>
          <t>WEEKLY</t>
        </is>
      </c>
      <c r="L13" s="15" t="n">
        <v>0</v>
      </c>
      <c r="M13" s="15" t="inlineStr">
        <is>
          <t>09:20 IST</t>
        </is>
      </c>
      <c r="N13" s="15" t="inlineStr">
        <is>
          <t>10:46 IST</t>
        </is>
      </c>
      <c r="O13" s="15" t="n">
        <v>24056</v>
      </c>
      <c r="P13" s="15" t="n">
        <v>24021.65</v>
      </c>
      <c r="Q13" s="15" t="inlineStr">
        <is>
          <t>24000 CE</t>
        </is>
      </c>
      <c r="R13" s="15" t="inlineStr">
        <is>
          <t>24100 CE</t>
        </is>
      </c>
      <c r="S13" s="15" t="n">
        <v>44</v>
      </c>
      <c r="T13" s="15" t="n">
        <v>65</v>
      </c>
      <c r="U13" s="15" t="n">
        <v>2860</v>
      </c>
      <c r="V13" s="15" t="n">
        <v>16.64</v>
      </c>
      <c r="W13" s="15" t="n">
        <v>11.65</v>
      </c>
      <c r="X13" s="15" t="n">
        <v>47590.4</v>
      </c>
      <c r="Y13" s="15" t="n">
        <v>47645.09</v>
      </c>
      <c r="Z13" s="15" t="n">
        <v>238409.6</v>
      </c>
      <c r="AA13" s="15" t="n">
        <v>14277.12</v>
      </c>
      <c r="AB13" s="15" t="n">
        <v>14277.12</v>
      </c>
      <c r="AC13" s="15" t="n">
        <v>-14271.4</v>
      </c>
      <c r="AD13" s="15" t="n">
        <v>-30</v>
      </c>
      <c r="AE13" s="15" t="n">
        <v>40</v>
      </c>
      <c r="AF13" s="15" t="n">
        <v>5.95</v>
      </c>
      <c r="AG13" s="15" t="n">
        <v>0.1</v>
      </c>
      <c r="AH13" s="15" t="n">
        <v>1.43</v>
      </c>
      <c r="AI13" s="15" t="n">
        <v>7.22</v>
      </c>
      <c r="AJ13" s="15" t="n">
        <v>54.69</v>
      </c>
      <c r="AK13" s="15" t="n">
        <v>-14326.09</v>
      </c>
      <c r="AL13" s="15" t="inlineStr">
        <is>
          <t>STOP LOSS</t>
        </is>
      </c>
      <c r="AM13" s="15" t="n">
        <v>50000</v>
      </c>
      <c r="AN13" s="15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Price↑(24021.65&gt;23824.1) &amp; EMA9↑(23899.17&gt;23781.51)</t>
        </is>
      </c>
      <c r="H14" s="17" t="n">
        <v>23899.17</v>
      </c>
      <c r="I14" s="17" t="n">
        <v>23781.51</v>
      </c>
      <c r="J14" s="17" t="inlineStr">
        <is>
          <t>2026-06-25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11:00 IST</t>
        </is>
      </c>
      <c r="O14" s="17" t="n">
        <v>24021.65</v>
      </c>
      <c r="P14" s="17" t="n">
        <v>23824.1</v>
      </c>
      <c r="Q14" s="17" t="inlineStr">
        <is>
          <t>24000 CE</t>
        </is>
      </c>
      <c r="R14" s="17" t="inlineStr">
        <is>
          <t>24100 CE</t>
        </is>
      </c>
      <c r="S14" s="17" t="n">
        <v>37</v>
      </c>
      <c r="T14" s="17" t="n">
        <v>65</v>
      </c>
      <c r="U14" s="17" t="n">
        <v>2405</v>
      </c>
      <c r="V14" s="17" t="n">
        <v>19.87</v>
      </c>
      <c r="W14" s="17" t="n">
        <v>25.83</v>
      </c>
      <c r="X14" s="17" t="n">
        <v>47787.35</v>
      </c>
      <c r="Y14" s="17" t="n">
        <v>47842.07</v>
      </c>
      <c r="Z14" s="17" t="n">
        <v>192712.65</v>
      </c>
      <c r="AA14" s="17" t="n">
        <v>14336.2</v>
      </c>
      <c r="AB14" s="17" t="n">
        <v>14336.2</v>
      </c>
      <c r="AC14" s="17" t="n">
        <v>14333.8</v>
      </c>
      <c r="AD14" s="17" t="n">
        <v>30</v>
      </c>
      <c r="AE14" s="17" t="n">
        <v>40</v>
      </c>
      <c r="AF14" s="17" t="n">
        <v>5.97</v>
      </c>
      <c r="AG14" s="17" t="n">
        <v>0.1</v>
      </c>
      <c r="AH14" s="17" t="n">
        <v>1.43</v>
      </c>
      <c r="AI14" s="17" t="n">
        <v>7.22</v>
      </c>
      <c r="AJ14" s="17" t="n">
        <v>54.72</v>
      </c>
      <c r="AK14" s="17" t="n">
        <v>14279.08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5" t="inlineStr">
        <is>
          <t>2026-06-26</t>
        </is>
      </c>
      <c r="B15" s="15" t="inlineStr">
        <is>
          <t>NIFTY</t>
        </is>
      </c>
      <c r="C15" s="15" t="inlineStr">
        <is>
          <t>Bull Call Spread</t>
        </is>
      </c>
      <c r="D15" s="15" t="inlineStr">
        <is>
          <t>Bull Call Spread</t>
        </is>
      </c>
      <c r="E15" s="15" t="inlineStr">
        <is>
          <t>SIMULATED</t>
        </is>
      </c>
      <c r="F15" s="15" t="inlineStr">
        <is>
          <t>BULLISH</t>
        </is>
      </c>
      <c r="G15" s="15" t="inlineStr">
        <is>
          <t>Price↑(24056.0&gt;24021.65) &amp; EMA9↑(23930.98&gt;23794.58)</t>
        </is>
      </c>
      <c r="H15" s="15" t="n">
        <v>23930.98</v>
      </c>
      <c r="I15" s="15" t="n">
        <v>23794.58</v>
      </c>
      <c r="J15" s="15" t="inlineStr">
        <is>
          <t>2026-07-02</t>
        </is>
      </c>
      <c r="K15" s="15" t="inlineStr">
        <is>
          <t>WEEKLY</t>
        </is>
      </c>
      <c r="L15" s="15" t="n">
        <v>6</v>
      </c>
      <c r="M15" s="15" t="inlineStr">
        <is>
          <t>09:20 IST</t>
        </is>
      </c>
      <c r="N15" s="15" t="inlineStr">
        <is>
          <t>11:06 IST</t>
        </is>
      </c>
      <c r="O15" s="15" t="n">
        <v>24056</v>
      </c>
      <c r="P15" s="15" t="n">
        <v>24021.65</v>
      </c>
      <c r="Q15" s="15" t="inlineStr">
        <is>
          <t>24000 CE</t>
        </is>
      </c>
      <c r="R15" s="15" t="inlineStr">
        <is>
          <t>24100 CE</t>
        </is>
      </c>
      <c r="S15" s="15" t="n">
        <v>22</v>
      </c>
      <c r="T15" s="15" t="n">
        <v>65</v>
      </c>
      <c r="U15" s="15" t="n">
        <v>1430</v>
      </c>
      <c r="V15" s="15" t="n">
        <v>33.82</v>
      </c>
      <c r="W15" s="15" t="n">
        <v>23.67</v>
      </c>
      <c r="X15" s="15" t="n">
        <v>48362.6</v>
      </c>
      <c r="Y15" s="15" t="n">
        <v>48417.41</v>
      </c>
      <c r="Z15" s="15" t="n">
        <v>94637.39999999999</v>
      </c>
      <c r="AA15" s="15" t="n">
        <v>14508.78</v>
      </c>
      <c r="AB15" s="15" t="n">
        <v>14508.78</v>
      </c>
      <c r="AC15" s="15" t="n">
        <v>-14514.5</v>
      </c>
      <c r="AD15" s="15" t="n">
        <v>-30</v>
      </c>
      <c r="AE15" s="15" t="n">
        <v>40</v>
      </c>
      <c r="AF15" s="15" t="n">
        <v>6.05</v>
      </c>
      <c r="AG15" s="15" t="n">
        <v>0.1</v>
      </c>
      <c r="AH15" s="15" t="n">
        <v>1.45</v>
      </c>
      <c r="AI15" s="15" t="n">
        <v>7.22</v>
      </c>
      <c r="AJ15" s="15" t="n">
        <v>54.81</v>
      </c>
      <c r="AK15" s="15" t="n">
        <v>-14569.31</v>
      </c>
      <c r="AL15" s="15" t="inlineStr">
        <is>
          <t>STOP LOSS</t>
        </is>
      </c>
      <c r="AM15" s="15" t="n">
        <v>50000</v>
      </c>
      <c r="AN15" s="15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12:10 IST</t>
        </is>
      </c>
      <c r="O16" s="17" t="n">
        <v>24056</v>
      </c>
      <c r="P16" s="17" t="n">
        <v>24021.65</v>
      </c>
      <c r="Q16" s="17" t="inlineStr">
        <is>
          <t>24000 CE</t>
        </is>
      </c>
      <c r="R16" s="17" t="inlineStr">
        <is>
          <t>24100 CE</t>
        </is>
      </c>
      <c r="S16" s="17" t="n">
        <v>23</v>
      </c>
      <c r="T16" s="17" t="n">
        <v>65</v>
      </c>
      <c r="U16" s="17" t="n">
        <v>1495</v>
      </c>
      <c r="V16" s="17" t="n">
        <v>32.43</v>
      </c>
      <c r="W16" s="17" t="n">
        <v>42.16</v>
      </c>
      <c r="X16" s="17" t="n">
        <v>48482.85</v>
      </c>
      <c r="Y16" s="17" t="n">
        <v>48537.68</v>
      </c>
      <c r="Z16" s="17" t="n">
        <v>101017.15</v>
      </c>
      <c r="AA16" s="17" t="n">
        <v>14544.85</v>
      </c>
      <c r="AB16" s="17" t="n">
        <v>14544.85</v>
      </c>
      <c r="AC16" s="17" t="n">
        <v>14546.35</v>
      </c>
      <c r="AD16" s="17" t="n">
        <v>30</v>
      </c>
      <c r="AE16" s="17" t="n">
        <v>40</v>
      </c>
      <c r="AF16" s="17" t="n">
        <v>6.06</v>
      </c>
      <c r="AG16" s="17" t="n">
        <v>0.1</v>
      </c>
      <c r="AH16" s="17" t="n">
        <v>1.45</v>
      </c>
      <c r="AI16" s="17" t="n">
        <v>7.22</v>
      </c>
      <c r="AJ16" s="17" t="n">
        <v>54.83</v>
      </c>
      <c r="AK16" s="17" t="n">
        <v>14491.52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10:07 IST</t>
        </is>
      </c>
      <c r="O17" s="15" t="n">
        <v>23946.25</v>
      </c>
      <c r="P17" s="15" t="n">
        <v>24056</v>
      </c>
      <c r="Q17" s="15" t="inlineStr">
        <is>
          <t>23900 CE</t>
        </is>
      </c>
      <c r="R17" s="15" t="inlineStr">
        <is>
          <t>24000 CE</t>
        </is>
      </c>
      <c r="S17" s="15" t="n">
        <v>22</v>
      </c>
      <c r="T17" s="15" t="n">
        <v>65</v>
      </c>
      <c r="U17" s="15" t="n">
        <v>1430</v>
      </c>
      <c r="V17" s="15" t="n">
        <v>34.33</v>
      </c>
      <c r="W17" s="15" t="n">
        <v>24.03</v>
      </c>
      <c r="X17" s="15" t="n">
        <v>49091.9</v>
      </c>
      <c r="Y17" s="15" t="n">
        <v>49146.83</v>
      </c>
      <c r="Z17" s="15" t="n">
        <v>93908.10000000001</v>
      </c>
      <c r="AA17" s="15" t="n">
        <v>14727.57</v>
      </c>
      <c r="AB17" s="15" t="n">
        <v>14727.57</v>
      </c>
      <c r="AC17" s="15" t="n">
        <v>-14729</v>
      </c>
      <c r="AD17" s="15" t="n">
        <v>-30</v>
      </c>
      <c r="AE17" s="15" t="n">
        <v>40</v>
      </c>
      <c r="AF17" s="15" t="n">
        <v>6.14</v>
      </c>
      <c r="AG17" s="15" t="n">
        <v>0.1</v>
      </c>
      <c r="AH17" s="15" t="n">
        <v>1.47</v>
      </c>
      <c r="AI17" s="15" t="n">
        <v>7.22</v>
      </c>
      <c r="AJ17" s="15" t="n">
        <v>54.93</v>
      </c>
      <c r="AK17" s="15" t="n">
        <v>-14783.93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2026-06-30</t>
        </is>
      </c>
      <c r="B18" s="17" t="inlineStr">
        <is>
          <t>NIFTY</t>
        </is>
      </c>
      <c r="C18" s="17" t="inlineStr">
        <is>
          <t>Bull Call Spread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Price↑(24056.0&gt;24021.65) &amp; EMA9↑(23931.75&gt;23779.81)</t>
        </is>
      </c>
      <c r="H18" s="17" t="n">
        <v>23931.75</v>
      </c>
      <c r="I18" s="17" t="n">
        <v>23779.81</v>
      </c>
      <c r="J18" s="17" t="inlineStr">
        <is>
          <t>2026-07-02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09:52 IST</t>
        </is>
      </c>
      <c r="O18" s="17" t="n">
        <v>24056</v>
      </c>
      <c r="P18" s="17" t="n">
        <v>24021.65</v>
      </c>
      <c r="Q18" s="17" t="inlineStr">
        <is>
          <t>24000 CE</t>
        </is>
      </c>
      <c r="R18" s="17" t="inlineStr">
        <is>
          <t>24100 CE</t>
        </is>
      </c>
      <c r="S18" s="17" t="n">
        <v>21</v>
      </c>
      <c r="T18" s="17" t="n">
        <v>65</v>
      </c>
      <c r="U18" s="17" t="n">
        <v>1365</v>
      </c>
      <c r="V18" s="17" t="n">
        <v>34.59</v>
      </c>
      <c r="W18" s="17" t="n">
        <v>44.97</v>
      </c>
      <c r="X18" s="17" t="n">
        <v>47215.35</v>
      </c>
      <c r="Y18" s="17" t="n">
        <v>47269.98</v>
      </c>
      <c r="Z18" s="17" t="n">
        <v>89284.64999999999</v>
      </c>
      <c r="AA18" s="17" t="n">
        <v>14164.6</v>
      </c>
      <c r="AB18" s="17" t="n">
        <v>14164.6</v>
      </c>
      <c r="AC18" s="17" t="n">
        <v>14168.7</v>
      </c>
      <c r="AD18" s="17" t="n">
        <v>30</v>
      </c>
      <c r="AE18" s="17" t="n">
        <v>40</v>
      </c>
      <c r="AF18" s="17" t="n">
        <v>5.9</v>
      </c>
      <c r="AG18" s="17" t="n">
        <v>0.09</v>
      </c>
      <c r="AH18" s="17" t="n">
        <v>1.42</v>
      </c>
      <c r="AI18" s="17" t="n">
        <v>7.22</v>
      </c>
      <c r="AJ18" s="17" t="n">
        <v>54.63</v>
      </c>
      <c r="AK18" s="17" t="n">
        <v>14114.07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23921.32</v>
      </c>
      <c r="I19" s="17" t="n">
        <v>23787.88</v>
      </c>
      <c r="J19" s="17" t="inlineStr">
        <is>
          <t>2026-07-02</t>
        </is>
      </c>
      <c r="K19" s="17" t="inlineStr">
        <is>
          <t>WEEKLY</t>
        </is>
      </c>
      <c r="L19" s="17" t="n">
        <v>2</v>
      </c>
      <c r="M19" s="17" t="inlineStr">
        <is>
          <t>09:20 IST</t>
        </is>
      </c>
      <c r="N19" s="17" t="inlineStr">
        <is>
          <t>12:08 IST</t>
        </is>
      </c>
      <c r="O19" s="17" t="n">
        <v>23865.75</v>
      </c>
      <c r="P19" s="17" t="n">
        <v>23946.25</v>
      </c>
      <c r="Q19" s="17" t="inlineStr">
        <is>
          <t>23800 CE</t>
        </is>
      </c>
      <c r="R19" s="17" t="inlineStr">
        <is>
          <t>23900 CE</t>
        </is>
      </c>
      <c r="S19" s="17" t="n">
        <v>37</v>
      </c>
      <c r="T19" s="17" t="n">
        <v>65</v>
      </c>
      <c r="U19" s="17" t="n">
        <v>2405</v>
      </c>
      <c r="V19" s="17" t="n">
        <v>20.13</v>
      </c>
      <c r="W19" s="17" t="n">
        <v>26.17</v>
      </c>
      <c r="X19" s="17" t="n">
        <v>48412.65</v>
      </c>
      <c r="Y19" s="17" t="n">
        <v>48467.47</v>
      </c>
      <c r="Z19" s="17" t="n">
        <v>192087.35</v>
      </c>
      <c r="AA19" s="17" t="n">
        <v>14523.8</v>
      </c>
      <c r="AB19" s="17" t="n">
        <v>14523.8</v>
      </c>
      <c r="AC19" s="17" t="n">
        <v>14526.2</v>
      </c>
      <c r="AD19" s="17" t="n">
        <v>30</v>
      </c>
      <c r="AE19" s="17" t="n">
        <v>40</v>
      </c>
      <c r="AF19" s="17" t="n">
        <v>6.05</v>
      </c>
      <c r="AG19" s="17" t="n">
        <v>0.1</v>
      </c>
      <c r="AH19" s="17" t="n">
        <v>1.45</v>
      </c>
      <c r="AI19" s="17" t="n">
        <v>7.22</v>
      </c>
      <c r="AJ19" s="17" t="n">
        <v>54.82</v>
      </c>
      <c r="AK19" s="17" t="n">
        <v>14471.38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09:56 IST</t>
        </is>
      </c>
      <c r="O20" s="17" t="n">
        <v>23946.25</v>
      </c>
      <c r="P20" s="17" t="n">
        <v>24056</v>
      </c>
      <c r="Q20" s="17" t="inlineStr">
        <is>
          <t>23900 CE</t>
        </is>
      </c>
      <c r="R20" s="17" t="inlineStr">
        <is>
          <t>24000 CE</t>
        </is>
      </c>
      <c r="S20" s="17" t="n">
        <v>48</v>
      </c>
      <c r="T20" s="17" t="n">
        <v>65</v>
      </c>
      <c r="U20" s="17" t="n">
        <v>3120</v>
      </c>
      <c r="V20" s="17" t="n">
        <v>15.17</v>
      </c>
      <c r="W20" s="17" t="n">
        <v>19.72</v>
      </c>
      <c r="X20" s="17" t="n">
        <v>47330.4</v>
      </c>
      <c r="Y20" s="17" t="n">
        <v>47385.05</v>
      </c>
      <c r="Z20" s="17" t="n">
        <v>264669.6</v>
      </c>
      <c r="AA20" s="17" t="n">
        <v>14199.12</v>
      </c>
      <c r="AB20" s="17" t="n">
        <v>14199.12</v>
      </c>
      <c r="AC20" s="17" t="n">
        <v>14196</v>
      </c>
      <c r="AD20" s="17" t="n">
        <v>30</v>
      </c>
      <c r="AE20" s="17" t="n">
        <v>40</v>
      </c>
      <c r="AF20" s="17" t="n">
        <v>5.92</v>
      </c>
      <c r="AG20" s="17" t="n">
        <v>0.09</v>
      </c>
      <c r="AH20" s="17" t="n">
        <v>1.42</v>
      </c>
      <c r="AI20" s="17" t="n">
        <v>7.22</v>
      </c>
      <c r="AJ20" s="17" t="n">
        <v>54.65</v>
      </c>
      <c r="AK20" s="17" t="n">
        <v>14141.35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6" t="inlineStr">
        <is>
          <t>2026-07-01</t>
        </is>
      </c>
      <c r="B21" s="16" t="inlineStr">
        <is>
          <t>NIFTY</t>
        </is>
      </c>
      <c r="C21" s="16" t="inlineStr">
        <is>
          <t>Bull Call Spread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BULLISH</t>
        </is>
      </c>
      <c r="G21" s="16" t="inlineStr">
        <is>
          <t>Price↑(24005.85&gt;23865.75) &amp; EMA9↑(23938.67&gt;23797.85)</t>
        </is>
      </c>
      <c r="H21" s="16" t="n">
        <v>23938.67</v>
      </c>
      <c r="I21" s="16" t="n">
        <v>23797.85</v>
      </c>
      <c r="J21" s="16" t="inlineStr">
        <is>
          <t>2026-07-02</t>
        </is>
      </c>
      <c r="K21" s="16" t="inlineStr">
        <is>
          <t>WEEKLY</t>
        </is>
      </c>
      <c r="L21" s="16" t="n">
        <v>1</v>
      </c>
      <c r="M21" s="16" t="inlineStr">
        <is>
          <t>09:20 IST</t>
        </is>
      </c>
      <c r="N21" s="16" t="inlineStr">
        <is>
          <t>14:25 IST</t>
        </is>
      </c>
      <c r="O21" s="16" t="n">
        <v>24005.85</v>
      </c>
      <c r="P21" s="16" t="n">
        <v>23865.75</v>
      </c>
      <c r="Q21" s="16" t="inlineStr">
        <is>
          <t>24000 CE</t>
        </is>
      </c>
      <c r="R21" s="16" t="inlineStr">
        <is>
          <t>24100 CE</t>
        </is>
      </c>
      <c r="S21" s="16" t="n">
        <v>33</v>
      </c>
      <c r="T21" s="16" t="n">
        <v>65</v>
      </c>
      <c r="U21" s="16" t="n">
        <v>2145</v>
      </c>
      <c r="V21" s="16" t="n">
        <v>22.04</v>
      </c>
      <c r="W21" s="16" t="n">
        <v>21.2</v>
      </c>
      <c r="X21" s="16" t="n">
        <v>47275.8</v>
      </c>
      <c r="Y21" s="16" t="n">
        <v>47330.44</v>
      </c>
      <c r="Z21" s="16" t="n">
        <v>167224.2</v>
      </c>
      <c r="AA21" s="16" t="n">
        <v>14182.74</v>
      </c>
      <c r="AB21" s="16" t="n">
        <v>14182.74</v>
      </c>
      <c r="AC21" s="16" t="n">
        <v>-1801.8</v>
      </c>
      <c r="AD21" s="16" t="n">
        <v>-3.8</v>
      </c>
      <c r="AE21" s="16" t="n">
        <v>40</v>
      </c>
      <c r="AF21" s="16" t="n">
        <v>5.91</v>
      </c>
      <c r="AG21" s="16" t="n">
        <v>0.09</v>
      </c>
      <c r="AH21" s="16" t="n">
        <v>1.42</v>
      </c>
      <c r="AI21" s="16" t="n">
        <v>7.22</v>
      </c>
      <c r="AJ21" s="16" t="n">
        <v>54.64</v>
      </c>
      <c r="AK21" s="16" t="n">
        <v>-1856.44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12:06 IST</t>
        </is>
      </c>
      <c r="O22" s="17" t="n">
        <v>23865.75</v>
      </c>
      <c r="P22" s="17" t="n">
        <v>23946.25</v>
      </c>
      <c r="Q22" s="17" t="inlineStr">
        <is>
          <t>23800 CE</t>
        </is>
      </c>
      <c r="R22" s="17" t="inlineStr">
        <is>
          <t>23900 CE</t>
        </is>
      </c>
      <c r="S22" s="17" t="n">
        <v>46</v>
      </c>
      <c r="T22" s="17" t="n">
        <v>65</v>
      </c>
      <c r="U22" s="17" t="n">
        <v>2990</v>
      </c>
      <c r="V22" s="17" t="n">
        <v>15.79</v>
      </c>
      <c r="W22" s="17" t="n">
        <v>20.53</v>
      </c>
      <c r="X22" s="17" t="n">
        <v>47212.1</v>
      </c>
      <c r="Y22" s="17" t="n">
        <v>47266.73</v>
      </c>
      <c r="Z22" s="17" t="n">
        <v>251787.9</v>
      </c>
      <c r="AA22" s="17" t="n">
        <v>14163.63</v>
      </c>
      <c r="AB22" s="17" t="n">
        <v>14163.63</v>
      </c>
      <c r="AC22" s="17" t="n">
        <v>14172.6</v>
      </c>
      <c r="AD22" s="17" t="n">
        <v>30</v>
      </c>
      <c r="AE22" s="17" t="n">
        <v>40</v>
      </c>
      <c r="AF22" s="17" t="n">
        <v>5.9</v>
      </c>
      <c r="AG22" s="17" t="n">
        <v>0.09</v>
      </c>
      <c r="AH22" s="17" t="n">
        <v>1.42</v>
      </c>
      <c r="AI22" s="17" t="n">
        <v>7.22</v>
      </c>
      <c r="AJ22" s="17" t="n">
        <v>54.63</v>
      </c>
      <c r="AK22" s="17" t="n">
        <v>14117.97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Price↑(24175.7&gt;24005.85) &amp; EMA9↑(23986.43&gt;23821.26)</t>
        </is>
      </c>
      <c r="H23" s="17" t="n">
        <v>23986.43</v>
      </c>
      <c r="I23" s="17" t="n">
        <v>23821.26</v>
      </c>
      <c r="J23" s="17" t="inlineStr">
        <is>
          <t>2026-07-02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11:28 IST</t>
        </is>
      </c>
      <c r="O23" s="17" t="n">
        <v>24175.7</v>
      </c>
      <c r="P23" s="17" t="n">
        <v>24005.85</v>
      </c>
      <c r="Q23" s="17" t="inlineStr">
        <is>
          <t>24100 CE</t>
        </is>
      </c>
      <c r="R23" s="17" t="inlineStr">
        <is>
          <t>24200 CE</t>
        </is>
      </c>
      <c r="S23" s="17" t="n">
        <v>32</v>
      </c>
      <c r="T23" s="17" t="n">
        <v>65</v>
      </c>
      <c r="U23" s="17" t="n">
        <v>2080</v>
      </c>
      <c r="V23" s="17" t="n">
        <v>23.24</v>
      </c>
      <c r="W23" s="17" t="n">
        <v>30.21</v>
      </c>
      <c r="X23" s="17" t="n">
        <v>48339.2</v>
      </c>
      <c r="Y23" s="17" t="n">
        <v>48394.01</v>
      </c>
      <c r="Z23" s="17" t="n">
        <v>159660.8</v>
      </c>
      <c r="AA23" s="17" t="n">
        <v>14501.76</v>
      </c>
      <c r="AB23" s="17" t="n">
        <v>14501.76</v>
      </c>
      <c r="AC23" s="17" t="n">
        <v>14497.6</v>
      </c>
      <c r="AD23" s="17" t="n">
        <v>30</v>
      </c>
      <c r="AE23" s="17" t="n">
        <v>40</v>
      </c>
      <c r="AF23" s="17" t="n">
        <v>6.04</v>
      </c>
      <c r="AG23" s="17" t="n">
        <v>0.1</v>
      </c>
      <c r="AH23" s="17" t="n">
        <v>1.45</v>
      </c>
      <c r="AI23" s="17" t="n">
        <v>7.22</v>
      </c>
      <c r="AJ23" s="17" t="n">
        <v>54.81</v>
      </c>
      <c r="AK23" s="17" t="n">
        <v>14442.79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12:19 IST</t>
        </is>
      </c>
      <c r="O24" s="17" t="n">
        <v>24005.85</v>
      </c>
      <c r="P24" s="17" t="n">
        <v>23865.75</v>
      </c>
      <c r="Q24" s="17" t="inlineStr">
        <is>
          <t>24000 CE</t>
        </is>
      </c>
      <c r="R24" s="17" t="inlineStr">
        <is>
          <t>24100 CE</t>
        </is>
      </c>
      <c r="S24" s="17" t="n">
        <v>48</v>
      </c>
      <c r="T24" s="17" t="n">
        <v>65</v>
      </c>
      <c r="U24" s="17" t="n">
        <v>3120</v>
      </c>
      <c r="V24" s="17" t="n">
        <v>15.26</v>
      </c>
      <c r="W24" s="17" t="n">
        <v>19.84</v>
      </c>
      <c r="X24" s="17" t="n">
        <v>47611.2</v>
      </c>
      <c r="Y24" s="17" t="n">
        <v>47665.89</v>
      </c>
      <c r="Z24" s="17" t="n">
        <v>264388.8</v>
      </c>
      <c r="AA24" s="17" t="n">
        <v>14283.36</v>
      </c>
      <c r="AB24" s="17" t="n">
        <v>14283.36</v>
      </c>
      <c r="AC24" s="17" t="n">
        <v>14289.6</v>
      </c>
      <c r="AD24" s="17" t="n">
        <v>30</v>
      </c>
      <c r="AE24" s="17" t="n">
        <v>40</v>
      </c>
      <c r="AF24" s="17" t="n">
        <v>5.95</v>
      </c>
      <c r="AG24" s="17" t="n">
        <v>0.1</v>
      </c>
      <c r="AH24" s="17" t="n">
        <v>1.43</v>
      </c>
      <c r="AI24" s="17" t="n">
        <v>7.22</v>
      </c>
      <c r="AJ24" s="17" t="n">
        <v>54.69</v>
      </c>
      <c r="AK24" s="17" t="n">
        <v>14234.91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10:39 IST</t>
        </is>
      </c>
      <c r="O25" s="17" t="n">
        <v>24270.85</v>
      </c>
      <c r="P25" s="17" t="n">
        <v>24175.7</v>
      </c>
      <c r="Q25" s="17" t="inlineStr">
        <is>
          <t>24200 CE</t>
        </is>
      </c>
      <c r="R25" s="17" t="inlineStr">
        <is>
          <t>24300 CE</t>
        </is>
      </c>
      <c r="S25" s="17" t="n">
        <v>19</v>
      </c>
      <c r="T25" s="17" t="n">
        <v>65</v>
      </c>
      <c r="U25" s="17" t="n">
        <v>1235</v>
      </c>
      <c r="V25" s="17" t="n">
        <v>38.93</v>
      </c>
      <c r="W25" s="17" t="n">
        <v>50.61</v>
      </c>
      <c r="X25" s="17" t="n">
        <v>48078.55</v>
      </c>
      <c r="Y25" s="17" t="n">
        <v>48133.32</v>
      </c>
      <c r="Z25" s="17" t="n">
        <v>75421.45</v>
      </c>
      <c r="AA25" s="17" t="n">
        <v>14423.57</v>
      </c>
      <c r="AB25" s="17" t="n">
        <v>14423.57</v>
      </c>
      <c r="AC25" s="17" t="n">
        <v>14424.8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54.77</v>
      </c>
      <c r="AK25" s="17" t="n">
        <v>14370.03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N2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NIFTY</t>
        </is>
      </c>
      <c r="C3" s="16" t="inlineStr">
        <is>
          <t>Bear Put Spread</t>
        </is>
      </c>
      <c r="D3" s="16" t="inlineStr">
        <is>
          <t>Bear Put Spread</t>
        </is>
      </c>
      <c r="E3" s="16" t="inlineStr">
        <is>
          <t>SKIP</t>
        </is>
      </c>
      <c r="F3" s="16" t="inlineStr">
        <is>
          <t>Conflicting — Price:BULLISH EMA:BEARISH</t>
        </is>
      </c>
      <c r="G3" s="16" t="n">
        <v>23385.72</v>
      </c>
      <c r="H3" s="16" t="n">
        <v>23538</v>
      </c>
      <c r="I3" s="16" t="inlineStr">
        <is>
          <t>2026-06-18</t>
        </is>
      </c>
      <c r="J3" s="16" t="inlineStr">
        <is>
          <t>WEEKLY</t>
        </is>
      </c>
      <c r="K3" s="16" t="n">
        <v>3</v>
      </c>
      <c r="L3" s="16" t="inlineStr">
        <is>
          <t>09:20 IST</t>
        </is>
      </c>
      <c r="M3" s="16" t="inlineStr">
        <is>
          <t>13:59 IST</t>
        </is>
      </c>
      <c r="N3" s="16" t="n">
        <v>23622.9</v>
      </c>
      <c r="O3" s="16" t="n">
        <v>23161.6</v>
      </c>
      <c r="P3" s="16" t="inlineStr">
        <is>
          <t>23700 PE</t>
        </is>
      </c>
      <c r="Q3" s="16" t="inlineStr">
        <is>
          <t>23600 PE</t>
        </is>
      </c>
      <c r="R3" s="16" t="n">
        <v>17</v>
      </c>
      <c r="S3" s="16" t="n">
        <v>75</v>
      </c>
      <c r="T3" s="16" t="n">
        <v>1275</v>
      </c>
      <c r="U3" s="16" t="n">
        <v>36.99</v>
      </c>
      <c r="V3" s="16" t="n">
        <v>35.75</v>
      </c>
      <c r="W3" s="16" t="n">
        <v>47162.25</v>
      </c>
      <c r="X3" s="16" t="n">
        <v>47216.87</v>
      </c>
      <c r="Y3" s="16" t="n">
        <v>80337.75</v>
      </c>
      <c r="Z3" s="16" t="n">
        <v>14148.67</v>
      </c>
      <c r="AA3" s="16" t="n">
        <v>14148.67</v>
      </c>
      <c r="AB3" s="16" t="n">
        <v>-1581</v>
      </c>
      <c r="AC3" s="16" t="n">
        <v>-3.4</v>
      </c>
      <c r="AD3" s="16" t="n">
        <v>40</v>
      </c>
      <c r="AE3" s="16" t="n">
        <v>5.9</v>
      </c>
      <c r="AF3" s="16" t="n">
        <v>0.09</v>
      </c>
      <c r="AG3" s="16" t="n">
        <v>1.41</v>
      </c>
      <c r="AH3" s="16" t="n">
        <v>7.22</v>
      </c>
      <c r="AI3" s="16" t="n">
        <v>54.62</v>
      </c>
      <c r="AJ3" s="16" t="n">
        <v>-1635.62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5" t="inlineStr">
        <is>
          <t>2026-06-18</t>
        </is>
      </c>
      <c r="B4" s="15" t="inlineStr">
        <is>
          <t>NIFTY</t>
        </is>
      </c>
      <c r="C4" s="15" t="inlineStr">
        <is>
          <t>Bear Put Spread</t>
        </is>
      </c>
      <c r="D4" s="15" t="inlineStr">
        <is>
          <t>Bear Put Spread</t>
        </is>
      </c>
      <c r="E4" s="15" t="inlineStr">
        <is>
          <t>BULLISH</t>
        </is>
      </c>
      <c r="F4" s="15" t="inlineStr">
        <is>
          <t>Price↑(24168.0&gt;24085.7) &amp; EMA9↑(23778.35&gt;23687.38)</t>
        </is>
      </c>
      <c r="G4" s="15" t="n">
        <v>23778.35</v>
      </c>
      <c r="H4" s="15" t="n">
        <v>23687.38</v>
      </c>
      <c r="I4" s="15" t="inlineStr">
        <is>
          <t>2026-06-18</t>
        </is>
      </c>
      <c r="J4" s="15" t="inlineStr">
        <is>
          <t>WEEKLY</t>
        </is>
      </c>
      <c r="K4" s="15" t="n">
        <v>0</v>
      </c>
      <c r="L4" s="15" t="inlineStr">
        <is>
          <t>09:20 IST</t>
        </is>
      </c>
      <c r="M4" s="15" t="inlineStr">
        <is>
          <t>10:22 IST</t>
        </is>
      </c>
      <c r="N4" s="15" t="n">
        <v>24168</v>
      </c>
      <c r="O4" s="15" t="n">
        <v>24085.7</v>
      </c>
      <c r="P4" s="15" t="inlineStr">
        <is>
          <t>24200 PE</t>
        </is>
      </c>
      <c r="Q4" s="15" t="inlineStr">
        <is>
          <t>24100 PE</t>
        </is>
      </c>
      <c r="R4" s="15" t="n">
        <v>26</v>
      </c>
      <c r="S4" s="15" t="n">
        <v>75</v>
      </c>
      <c r="T4" s="15" t="n">
        <v>1950</v>
      </c>
      <c r="U4" s="15" t="n">
        <v>24.91</v>
      </c>
      <c r="V4" s="15" t="n">
        <v>17.44</v>
      </c>
      <c r="W4" s="15" t="n">
        <v>48574.5</v>
      </c>
      <c r="X4" s="15" t="n">
        <v>48629.34</v>
      </c>
      <c r="Y4" s="15" t="n">
        <v>146425.5</v>
      </c>
      <c r="Z4" s="15" t="n">
        <v>14572.35</v>
      </c>
      <c r="AA4" s="15" t="n">
        <v>14572.35</v>
      </c>
      <c r="AB4" s="15" t="n">
        <v>-14566.5</v>
      </c>
      <c r="AC4" s="15" t="n">
        <v>-30</v>
      </c>
      <c r="AD4" s="15" t="n">
        <v>40</v>
      </c>
      <c r="AE4" s="15" t="n">
        <v>6.07</v>
      </c>
      <c r="AF4" s="15" t="n">
        <v>0.1</v>
      </c>
      <c r="AG4" s="15" t="n">
        <v>1.46</v>
      </c>
      <c r="AH4" s="15" t="n">
        <v>7.22</v>
      </c>
      <c r="AI4" s="15" t="n">
        <v>54.84</v>
      </c>
      <c r="AJ4" s="15" t="n">
        <v>-14621.34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10:32 IST</t>
        </is>
      </c>
      <c r="N5" s="15" t="n">
        <v>24013.1</v>
      </c>
      <c r="O5" s="15" t="n">
        <v>24168</v>
      </c>
      <c r="P5" s="15" t="inlineStr">
        <is>
          <t>24100 PE</t>
        </is>
      </c>
      <c r="Q5" s="15" t="inlineStr">
        <is>
          <t>24000 PE</t>
        </is>
      </c>
      <c r="R5" s="15" t="n">
        <v>18</v>
      </c>
      <c r="S5" s="15" t="n">
        <v>75</v>
      </c>
      <c r="T5" s="15" t="n">
        <v>1350</v>
      </c>
      <c r="U5" s="15" t="n">
        <v>35.26</v>
      </c>
      <c r="V5" s="15" t="n">
        <v>24.68</v>
      </c>
      <c r="W5" s="15" t="n">
        <v>47601</v>
      </c>
      <c r="X5" s="15" t="n">
        <v>47655.69</v>
      </c>
      <c r="Y5" s="15" t="n">
        <v>87399</v>
      </c>
      <c r="Z5" s="15" t="n">
        <v>14280.3</v>
      </c>
      <c r="AA5" s="15" t="n">
        <v>14280.3</v>
      </c>
      <c r="AB5" s="15" t="n">
        <v>-14283</v>
      </c>
      <c r="AC5" s="15" t="n">
        <v>-30</v>
      </c>
      <c r="AD5" s="15" t="n">
        <v>40</v>
      </c>
      <c r="AE5" s="15" t="n">
        <v>5.95</v>
      </c>
      <c r="AF5" s="15" t="n">
        <v>0.1</v>
      </c>
      <c r="AG5" s="15" t="n">
        <v>1.43</v>
      </c>
      <c r="AH5" s="15" t="n">
        <v>7.22</v>
      </c>
      <c r="AI5" s="15" t="n">
        <v>54.69</v>
      </c>
      <c r="AJ5" s="15" t="n">
        <v>-14337.69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6" t="inlineStr">
        <is>
          <t>2026-06-20</t>
        </is>
      </c>
      <c r="B6" s="16" t="inlineStr">
        <is>
          <t>NIFTY</t>
        </is>
      </c>
      <c r="C6" s="16" t="inlineStr">
        <is>
          <t>Bear Put Spread</t>
        </is>
      </c>
      <c r="D6" s="16" t="inlineStr">
        <is>
          <t>Bear Put Spread</t>
        </is>
      </c>
      <c r="E6" s="16" t="inlineStr">
        <is>
          <t>BULLISH</t>
        </is>
      </c>
      <c r="F6" s="16" t="inlineStr">
        <is>
          <t>Price↑(24168.0&gt;24085.7) &amp; EMA9↑(23777.57&gt;23682.14)</t>
        </is>
      </c>
      <c r="G6" s="16" t="n">
        <v>23777.57</v>
      </c>
      <c r="H6" s="16" t="n">
        <v>23682.14</v>
      </c>
      <c r="I6" s="16" t="inlineStr">
        <is>
          <t>2026-06-25</t>
        </is>
      </c>
      <c r="J6" s="16" t="inlineStr">
        <is>
          <t>WEEKLY</t>
        </is>
      </c>
      <c r="K6" s="16" t="n">
        <v>6</v>
      </c>
      <c r="L6" s="16" t="inlineStr">
        <is>
          <t>09:20 IST</t>
        </is>
      </c>
      <c r="M6" s="16" t="inlineStr">
        <is>
          <t>14:47 IST</t>
        </is>
      </c>
      <c r="N6" s="16" t="n">
        <v>24168</v>
      </c>
      <c r="O6" s="16" t="n">
        <v>24085.7</v>
      </c>
      <c r="P6" s="16" t="inlineStr">
        <is>
          <t>24200 PE</t>
        </is>
      </c>
      <c r="Q6" s="16" t="inlineStr">
        <is>
          <t>24100 PE</t>
        </is>
      </c>
      <c r="R6" s="16" t="n">
        <v>16</v>
      </c>
      <c r="S6" s="16" t="n">
        <v>75</v>
      </c>
      <c r="T6" s="16" t="n">
        <v>1200</v>
      </c>
      <c r="U6" s="16" t="n">
        <v>39.68</v>
      </c>
      <c r="V6" s="16" t="n">
        <v>39.25</v>
      </c>
      <c r="W6" s="16" t="n">
        <v>47616</v>
      </c>
      <c r="X6" s="16" t="n">
        <v>47670.69</v>
      </c>
      <c r="Y6" s="16" t="n">
        <v>72384</v>
      </c>
      <c r="Z6" s="16" t="n">
        <v>14284.8</v>
      </c>
      <c r="AA6" s="16" t="n">
        <v>14284.8</v>
      </c>
      <c r="AB6" s="16" t="n">
        <v>-516</v>
      </c>
      <c r="AC6" s="16" t="n">
        <v>-1.1</v>
      </c>
      <c r="AD6" s="16" t="n">
        <v>40</v>
      </c>
      <c r="AE6" s="16" t="n">
        <v>5.95</v>
      </c>
      <c r="AF6" s="16" t="n">
        <v>0.1</v>
      </c>
      <c r="AG6" s="16" t="n">
        <v>1.43</v>
      </c>
      <c r="AH6" s="16" t="n">
        <v>7.22</v>
      </c>
      <c r="AI6" s="16" t="n">
        <v>54.69</v>
      </c>
      <c r="AJ6" s="16" t="n">
        <v>-570.6900000000001</v>
      </c>
      <c r="AK6" s="16" t="inlineStr">
        <is>
          <t>FLAT</t>
        </is>
      </c>
      <c r="AL6" s="16" t="n">
        <v>50000</v>
      </c>
      <c r="AM6" s="16" t="inlineStr">
        <is>
          <t>PAPER TRADING</t>
        </is>
      </c>
    </row>
    <row r="7">
      <c r="A7" s="17" t="inlineStr">
        <is>
          <t>2026-06-23</t>
        </is>
      </c>
      <c r="B7" s="17" t="inlineStr">
        <is>
          <t>NIFTY</t>
        </is>
      </c>
      <c r="C7" s="17" t="inlineStr">
        <is>
          <t>Bear Put Spread</t>
        </is>
      </c>
      <c r="D7" s="17" t="inlineStr">
        <is>
          <t>Bear Put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23824.22</v>
      </c>
      <c r="H7" s="17" t="n">
        <v>23714.31</v>
      </c>
      <c r="I7" s="17" t="inlineStr">
        <is>
          <t>2026-06-25</t>
        </is>
      </c>
      <c r="J7" s="17" t="inlineStr">
        <is>
          <t>WEEKLY</t>
        </is>
      </c>
      <c r="K7" s="17" t="n">
        <v>3</v>
      </c>
      <c r="L7" s="17" t="inlineStr">
        <is>
          <t>09:20 IST</t>
        </is>
      </c>
      <c r="M7" s="17" t="inlineStr">
        <is>
          <t>10:13 IST</t>
        </is>
      </c>
      <c r="N7" s="17" t="n">
        <v>24013.1</v>
      </c>
      <c r="O7" s="17" t="n">
        <v>24168</v>
      </c>
      <c r="P7" s="17" t="inlineStr">
        <is>
          <t>24100 PE</t>
        </is>
      </c>
      <c r="Q7" s="17" t="inlineStr">
        <is>
          <t>24000 PE</t>
        </is>
      </c>
      <c r="R7" s="17" t="n">
        <v>17</v>
      </c>
      <c r="S7" s="17" t="n">
        <v>75</v>
      </c>
      <c r="T7" s="17" t="n">
        <v>1275</v>
      </c>
      <c r="U7" s="17" t="n">
        <v>38.19</v>
      </c>
      <c r="V7" s="17" t="n">
        <v>49.65</v>
      </c>
      <c r="W7" s="17" t="n">
        <v>48692.25</v>
      </c>
      <c r="X7" s="17" t="n">
        <v>48747.11</v>
      </c>
      <c r="Y7" s="17" t="n">
        <v>78807.75</v>
      </c>
      <c r="Z7" s="17" t="n">
        <v>14607.67</v>
      </c>
      <c r="AA7" s="17" t="n">
        <v>14607.67</v>
      </c>
      <c r="AB7" s="17" t="n">
        <v>14611.5</v>
      </c>
      <c r="AC7" s="17" t="n">
        <v>30</v>
      </c>
      <c r="AD7" s="17" t="n">
        <v>40</v>
      </c>
      <c r="AE7" s="17" t="n">
        <v>6.09</v>
      </c>
      <c r="AF7" s="17" t="n">
        <v>0.1</v>
      </c>
      <c r="AG7" s="17" t="n">
        <v>1.46</v>
      </c>
      <c r="AH7" s="17" t="n">
        <v>7.22</v>
      </c>
      <c r="AI7" s="17" t="n">
        <v>54.86</v>
      </c>
      <c r="AJ7" s="17" t="n">
        <v>14556.64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11:13 IST</t>
        </is>
      </c>
      <c r="N8" s="15" t="n">
        <v>24013.1</v>
      </c>
      <c r="O8" s="15" t="n">
        <v>24168</v>
      </c>
      <c r="P8" s="15" t="inlineStr">
        <is>
          <t>24100 PE</t>
        </is>
      </c>
      <c r="Q8" s="15" t="inlineStr">
        <is>
          <t>24000 PE</t>
        </is>
      </c>
      <c r="R8" s="15" t="n">
        <v>22</v>
      </c>
      <c r="S8" s="15" t="n">
        <v>75</v>
      </c>
      <c r="T8" s="15" t="n">
        <v>1650</v>
      </c>
      <c r="U8" s="15" t="n">
        <v>29.61</v>
      </c>
      <c r="V8" s="15" t="n">
        <v>20.73</v>
      </c>
      <c r="W8" s="15" t="n">
        <v>48856.5</v>
      </c>
      <c r="X8" s="15" t="n">
        <v>48911.39</v>
      </c>
      <c r="Y8" s="15" t="n">
        <v>116143.5</v>
      </c>
      <c r="Z8" s="15" t="n">
        <v>14656.95</v>
      </c>
      <c r="AA8" s="15" t="n">
        <v>14656.95</v>
      </c>
      <c r="AB8" s="15" t="n">
        <v>-14652</v>
      </c>
      <c r="AC8" s="15" t="n">
        <v>-30</v>
      </c>
      <c r="AD8" s="15" t="n">
        <v>40</v>
      </c>
      <c r="AE8" s="15" t="n">
        <v>6.11</v>
      </c>
      <c r="AF8" s="15" t="n">
        <v>0.1</v>
      </c>
      <c r="AG8" s="15" t="n">
        <v>1.47</v>
      </c>
      <c r="AH8" s="15" t="n">
        <v>7.22</v>
      </c>
      <c r="AI8" s="15" t="n">
        <v>54.89</v>
      </c>
      <c r="AJ8" s="15" t="n">
        <v>-14706.89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23868.63</v>
      </c>
      <c r="H9" s="16" t="n">
        <v>23767.86</v>
      </c>
      <c r="I9" s="16" t="inlineStr">
        <is>
          <t>2026-06-25</t>
        </is>
      </c>
      <c r="J9" s="16" t="inlineStr">
        <is>
          <t>WEEKLY</t>
        </is>
      </c>
      <c r="K9" s="16" t="n">
        <v>2</v>
      </c>
      <c r="L9" s="16" t="inlineStr">
        <is>
          <t>09:20 IST</t>
        </is>
      </c>
      <c r="M9" s="16" t="inlineStr">
        <is>
          <t>14:28 IST</t>
        </is>
      </c>
      <c r="N9" s="16" t="n">
        <v>23824.1</v>
      </c>
      <c r="O9" s="16" t="n">
        <v>24102.9</v>
      </c>
      <c r="P9" s="16" t="inlineStr">
        <is>
          <t>23900 PE</t>
        </is>
      </c>
      <c r="Q9" s="16" t="inlineStr">
        <is>
          <t>23800 PE</t>
        </is>
      </c>
      <c r="R9" s="16" t="n">
        <v>38</v>
      </c>
      <c r="S9" s="16" t="n">
        <v>75</v>
      </c>
      <c r="T9" s="16" t="n">
        <v>2850</v>
      </c>
      <c r="U9" s="16" t="n">
        <v>16.61</v>
      </c>
      <c r="V9" s="16" t="n">
        <v>17.41</v>
      </c>
      <c r="W9" s="16" t="n">
        <v>47338.5</v>
      </c>
      <c r="X9" s="16" t="n">
        <v>47393.15</v>
      </c>
      <c r="Y9" s="16" t="n">
        <v>237661.5</v>
      </c>
      <c r="Z9" s="16" t="n">
        <v>14201.55</v>
      </c>
      <c r="AA9" s="16" t="n">
        <v>14201.55</v>
      </c>
      <c r="AB9" s="16" t="n">
        <v>2280</v>
      </c>
      <c r="AC9" s="16" t="n">
        <v>4.8</v>
      </c>
      <c r="AD9" s="16" t="n">
        <v>40</v>
      </c>
      <c r="AE9" s="16" t="n">
        <v>5.92</v>
      </c>
      <c r="AF9" s="16" t="n">
        <v>0.09</v>
      </c>
      <c r="AG9" s="16" t="n">
        <v>1.42</v>
      </c>
      <c r="AH9" s="16" t="n">
        <v>7.22</v>
      </c>
      <c r="AI9" s="16" t="n">
        <v>54.65</v>
      </c>
      <c r="AJ9" s="16" t="n">
        <v>2225.35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10:16 IST</t>
        </is>
      </c>
      <c r="N10" s="17" t="n">
        <v>24102.9</v>
      </c>
      <c r="O10" s="17" t="n">
        <v>24013.1</v>
      </c>
      <c r="P10" s="17" t="inlineStr">
        <is>
          <t>24200 PE</t>
        </is>
      </c>
      <c r="Q10" s="17" t="inlineStr">
        <is>
          <t>24100 PE</t>
        </is>
      </c>
      <c r="R10" s="17" t="n">
        <v>35</v>
      </c>
      <c r="S10" s="17" t="n">
        <v>75</v>
      </c>
      <c r="T10" s="17" t="n">
        <v>2625</v>
      </c>
      <c r="U10" s="17" t="n">
        <v>18.08</v>
      </c>
      <c r="V10" s="17" t="n">
        <v>23.5</v>
      </c>
      <c r="W10" s="17" t="n">
        <v>47460</v>
      </c>
      <c r="X10" s="17" t="n">
        <v>47514.67</v>
      </c>
      <c r="Y10" s="17" t="n">
        <v>215040</v>
      </c>
      <c r="Z10" s="17" t="n">
        <v>14238</v>
      </c>
      <c r="AA10" s="17" t="n">
        <v>14238</v>
      </c>
      <c r="AB10" s="17" t="n">
        <v>14227.5</v>
      </c>
      <c r="AC10" s="17" t="n">
        <v>30</v>
      </c>
      <c r="AD10" s="17" t="n">
        <v>40</v>
      </c>
      <c r="AE10" s="17" t="n">
        <v>5.93</v>
      </c>
      <c r="AF10" s="17" t="n">
        <v>0.09</v>
      </c>
      <c r="AG10" s="17" t="n">
        <v>1.42</v>
      </c>
      <c r="AH10" s="17" t="n">
        <v>7.22</v>
      </c>
      <c r="AI10" s="17" t="n">
        <v>54.67</v>
      </c>
      <c r="AJ10" s="17" t="n">
        <v>14172.83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Price↑(24021.65&gt;23824.1) &amp; EMA9↑(23899.33&gt;23791.89)</t>
        </is>
      </c>
      <c r="H11" s="17" t="n">
        <v>23899.33</v>
      </c>
      <c r="I11" s="17" t="n">
        <v>23791.89</v>
      </c>
      <c r="J11" s="17" t="inlineStr">
        <is>
          <t>2026-06-25</t>
        </is>
      </c>
      <c r="K11" s="17" t="inlineStr">
        <is>
          <t>WEEKLY</t>
        </is>
      </c>
      <c r="L11" s="17" t="n">
        <v>1</v>
      </c>
      <c r="M11" s="17" t="inlineStr">
        <is>
          <t>09:20 IST</t>
        </is>
      </c>
      <c r="N11" s="17" t="inlineStr">
        <is>
          <t>11:31 IST</t>
        </is>
      </c>
      <c r="O11" s="17" t="n">
        <v>24021.65</v>
      </c>
      <c r="P11" s="17" t="n">
        <v>23824.1</v>
      </c>
      <c r="Q11" s="17" t="inlineStr">
        <is>
          <t>24100 PE</t>
        </is>
      </c>
      <c r="R11" s="17" t="inlineStr">
        <is>
          <t>24000 PE</t>
        </is>
      </c>
      <c r="S11" s="17" t="n">
        <v>37</v>
      </c>
      <c r="T11" s="17" t="n">
        <v>65</v>
      </c>
      <c r="U11" s="17" t="n">
        <v>2405</v>
      </c>
      <c r="V11" s="17" t="n">
        <v>19.72</v>
      </c>
      <c r="W11" s="17" t="n">
        <v>25.64</v>
      </c>
      <c r="X11" s="17" t="n">
        <v>47426.6</v>
      </c>
      <c r="Y11" s="17" t="n">
        <v>47481.26</v>
      </c>
      <c r="Z11" s="17" t="n">
        <v>193073.4</v>
      </c>
      <c r="AA11" s="17" t="n">
        <v>14227.98</v>
      </c>
      <c r="AB11" s="17" t="n">
        <v>14227.98</v>
      </c>
      <c r="AC11" s="17" t="n">
        <v>14237.6</v>
      </c>
      <c r="AD11" s="17" t="n">
        <v>30</v>
      </c>
      <c r="AE11" s="17" t="n">
        <v>40</v>
      </c>
      <c r="AF11" s="17" t="n">
        <v>5.93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14182.94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NIFTY</t>
        </is>
      </c>
      <c r="C12" s="17" t="inlineStr">
        <is>
          <t>Bear Put Spread</t>
        </is>
      </c>
      <c r="D12" s="17" t="inlineStr">
        <is>
          <t>Bear Put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23868.74</v>
      </c>
      <c r="I12" s="17" t="n">
        <v>23768.91</v>
      </c>
      <c r="J12" s="17" t="inlineStr">
        <is>
          <t>2026-06-25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10:16 IST</t>
        </is>
      </c>
      <c r="O12" s="17" t="n">
        <v>23824.1</v>
      </c>
      <c r="P12" s="17" t="n">
        <v>24102.9</v>
      </c>
      <c r="Q12" s="17" t="inlineStr">
        <is>
          <t>23900 PE</t>
        </is>
      </c>
      <c r="R12" s="17" t="inlineStr">
        <is>
          <t>23800 PE</t>
        </is>
      </c>
      <c r="S12" s="17" t="n">
        <v>32</v>
      </c>
      <c r="T12" s="17" t="n">
        <v>65</v>
      </c>
      <c r="U12" s="17" t="n">
        <v>2080</v>
      </c>
      <c r="V12" s="17" t="n">
        <v>23.06</v>
      </c>
      <c r="W12" s="17" t="n">
        <v>29.98</v>
      </c>
      <c r="X12" s="17" t="n">
        <v>47964.8</v>
      </c>
      <c r="Y12" s="17" t="n">
        <v>48019.55</v>
      </c>
      <c r="Z12" s="17" t="n">
        <v>160035.2</v>
      </c>
      <c r="AA12" s="17" t="n">
        <v>14389.44</v>
      </c>
      <c r="AB12" s="17" t="n">
        <v>14389.44</v>
      </c>
      <c r="AC12" s="17" t="n">
        <v>14393.6</v>
      </c>
      <c r="AD12" s="17" t="n">
        <v>30</v>
      </c>
      <c r="AE12" s="17" t="n">
        <v>40</v>
      </c>
      <c r="AF12" s="17" t="n">
        <v>6</v>
      </c>
      <c r="AG12" s="17" t="n">
        <v>0.1</v>
      </c>
      <c r="AH12" s="17" t="n">
        <v>1.44</v>
      </c>
      <c r="AI12" s="17" t="n">
        <v>7.22</v>
      </c>
      <c r="AJ12" s="17" t="n">
        <v>54.75</v>
      </c>
      <c r="AK12" s="17" t="n">
        <v>14338.85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6" t="inlineStr">
        <is>
          <t>2026-06-25</t>
        </is>
      </c>
      <c r="B13" s="16" t="inlineStr">
        <is>
          <t>NIFTY</t>
        </is>
      </c>
      <c r="C13" s="16" t="inlineStr">
        <is>
          <t>Bear Put Spread</t>
        </is>
      </c>
      <c r="D13" s="16" t="inlineStr">
        <is>
          <t>Bear Put Spread</t>
        </is>
      </c>
      <c r="E13" s="16" t="inlineStr">
        <is>
          <t>SIMULATED</t>
        </is>
      </c>
      <c r="F13" s="16" t="inlineStr">
        <is>
          <t>BULLISH</t>
        </is>
      </c>
      <c r="G13" s="16" t="inlineStr">
        <is>
          <t>Price↑(24056.0&gt;24021.65) &amp; EMA9↑(23930.53&gt;23806.47)</t>
        </is>
      </c>
      <c r="H13" s="16" t="n">
        <v>23930.53</v>
      </c>
      <c r="I13" s="16" t="n">
        <v>23806.47</v>
      </c>
      <c r="J13" s="16" t="inlineStr">
        <is>
          <t>2026-06-25</t>
        </is>
      </c>
      <c r="K13" s="16" t="inlineStr">
        <is>
          <t>WEEKLY</t>
        </is>
      </c>
      <c r="L13" s="16" t="n">
        <v>0</v>
      </c>
      <c r="M13" s="16" t="inlineStr">
        <is>
          <t>09:20 IST</t>
        </is>
      </c>
      <c r="N13" s="16" t="inlineStr">
        <is>
          <t>13:49 IST</t>
        </is>
      </c>
      <c r="O13" s="16" t="n">
        <v>24056</v>
      </c>
      <c r="P13" s="16" t="n">
        <v>24021.65</v>
      </c>
      <c r="Q13" s="16" t="inlineStr">
        <is>
          <t>24100 PE</t>
        </is>
      </c>
      <c r="R13" s="16" t="inlineStr">
        <is>
          <t>24000 PE</t>
        </is>
      </c>
      <c r="S13" s="16" t="n">
        <v>34</v>
      </c>
      <c r="T13" s="16" t="n">
        <v>65</v>
      </c>
      <c r="U13" s="16" t="n">
        <v>2210</v>
      </c>
      <c r="V13" s="16" t="n">
        <v>21.86</v>
      </c>
      <c r="W13" s="16" t="n">
        <v>22.75</v>
      </c>
      <c r="X13" s="16" t="n">
        <v>48310.6</v>
      </c>
      <c r="Y13" s="16" t="n">
        <v>48365.4</v>
      </c>
      <c r="Z13" s="16" t="n">
        <v>172689.4</v>
      </c>
      <c r="AA13" s="16" t="n">
        <v>14493.18</v>
      </c>
      <c r="AB13" s="16" t="n">
        <v>14493.18</v>
      </c>
      <c r="AC13" s="16" t="n">
        <v>1966.9</v>
      </c>
      <c r="AD13" s="16" t="n">
        <v>4.1</v>
      </c>
      <c r="AE13" s="16" t="n">
        <v>40</v>
      </c>
      <c r="AF13" s="16" t="n">
        <v>6.04</v>
      </c>
      <c r="AG13" s="16" t="n">
        <v>0.1</v>
      </c>
      <c r="AH13" s="16" t="n">
        <v>1.45</v>
      </c>
      <c r="AI13" s="16" t="n">
        <v>7.22</v>
      </c>
      <c r="AJ13" s="16" t="n">
        <v>54.8</v>
      </c>
      <c r="AK13" s="16" t="n">
        <v>1912.1</v>
      </c>
      <c r="AL13" s="16" t="inlineStr">
        <is>
          <t>FLAT</t>
        </is>
      </c>
      <c r="AM13" s="16" t="n">
        <v>50000</v>
      </c>
      <c r="AN13" s="16" t="inlineStr">
        <is>
          <t>PAPER TRADING</t>
        </is>
      </c>
    </row>
    <row r="14">
      <c r="A14" s="15" t="inlineStr">
        <is>
          <t>2026-06-26</t>
        </is>
      </c>
      <c r="B14" s="15" t="inlineStr">
        <is>
          <t>NIFTY</t>
        </is>
      </c>
      <c r="C14" s="15" t="inlineStr">
        <is>
          <t>Bear Put Spread</t>
        </is>
      </c>
      <c r="D14" s="15" t="inlineStr">
        <is>
          <t>Bear Put Spread</t>
        </is>
      </c>
      <c r="E14" s="15" t="inlineStr">
        <is>
          <t>SIMULATED</t>
        </is>
      </c>
      <c r="F14" s="15" t="inlineStr">
        <is>
          <t>BULLISH</t>
        </is>
      </c>
      <c r="G14" s="15" t="inlineStr">
        <is>
          <t>Price↑(24021.65&gt;23824.1) &amp; EMA9↑(23899.17&gt;23781.51)</t>
        </is>
      </c>
      <c r="H14" s="15" t="n">
        <v>23899.17</v>
      </c>
      <c r="I14" s="15" t="n">
        <v>23781.51</v>
      </c>
      <c r="J14" s="15" t="inlineStr">
        <is>
          <t>2026-06-25</t>
        </is>
      </c>
      <c r="K14" s="15" t="inlineStr">
        <is>
          <t>WEEKLY</t>
        </is>
      </c>
      <c r="L14" s="15" t="n">
        <v>0</v>
      </c>
      <c r="M14" s="15" t="inlineStr">
        <is>
          <t>09:20 IST</t>
        </is>
      </c>
      <c r="N14" s="15" t="inlineStr">
        <is>
          <t>09:34 IST</t>
        </is>
      </c>
      <c r="O14" s="15" t="n">
        <v>24021.65</v>
      </c>
      <c r="P14" s="15" t="n">
        <v>23824.1</v>
      </c>
      <c r="Q14" s="15" t="inlineStr">
        <is>
          <t>24100 PE</t>
        </is>
      </c>
      <c r="R14" s="15" t="inlineStr">
        <is>
          <t>24000 PE</t>
        </is>
      </c>
      <c r="S14" s="15" t="n">
        <v>31</v>
      </c>
      <c r="T14" s="15" t="n">
        <v>65</v>
      </c>
      <c r="U14" s="15" t="n">
        <v>2015</v>
      </c>
      <c r="V14" s="15" t="n">
        <v>23.65</v>
      </c>
      <c r="W14" s="15" t="n">
        <v>16.55</v>
      </c>
      <c r="X14" s="15" t="n">
        <v>47654.75</v>
      </c>
      <c r="Y14" s="15" t="n">
        <v>47709.45</v>
      </c>
      <c r="Z14" s="15" t="n">
        <v>153845.25</v>
      </c>
      <c r="AA14" s="15" t="n">
        <v>14296.42</v>
      </c>
      <c r="AB14" s="15" t="n">
        <v>14296.42</v>
      </c>
      <c r="AC14" s="15" t="n">
        <v>-14306.5</v>
      </c>
      <c r="AD14" s="15" t="n">
        <v>-30</v>
      </c>
      <c r="AE14" s="15" t="n">
        <v>40</v>
      </c>
      <c r="AF14" s="15" t="n">
        <v>5.96</v>
      </c>
      <c r="AG14" s="15" t="n">
        <v>0.1</v>
      </c>
      <c r="AH14" s="15" t="n">
        <v>1.43</v>
      </c>
      <c r="AI14" s="15" t="n">
        <v>7.22</v>
      </c>
      <c r="AJ14" s="15" t="n">
        <v>54.7</v>
      </c>
      <c r="AK14" s="15" t="n">
        <v>-14361.2</v>
      </c>
      <c r="AL14" s="15" t="inlineStr">
        <is>
          <t>STOP LOSS</t>
        </is>
      </c>
      <c r="AM14" s="15" t="n">
        <v>50000</v>
      </c>
      <c r="AN14" s="15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Price↑(24056.0&gt;24021.65) &amp; EMA9↑(23930.98&gt;23794.58)</t>
        </is>
      </c>
      <c r="H15" s="17" t="n">
        <v>23930.98</v>
      </c>
      <c r="I15" s="17" t="n">
        <v>23794.58</v>
      </c>
      <c r="J15" s="17" t="inlineStr">
        <is>
          <t>2026-07-02</t>
        </is>
      </c>
      <c r="K15" s="17" t="inlineStr">
        <is>
          <t>WEEKLY</t>
        </is>
      </c>
      <c r="L15" s="17" t="n">
        <v>6</v>
      </c>
      <c r="M15" s="17" t="inlineStr">
        <is>
          <t>09:20 IST</t>
        </is>
      </c>
      <c r="N15" s="17" t="inlineStr">
        <is>
          <t>10:15 IST</t>
        </is>
      </c>
      <c r="O15" s="17" t="n">
        <v>24056</v>
      </c>
      <c r="P15" s="17" t="n">
        <v>24021.65</v>
      </c>
      <c r="Q15" s="17" t="inlineStr">
        <is>
          <t>24100 PE</t>
        </is>
      </c>
      <c r="R15" s="17" t="inlineStr">
        <is>
          <t>24000 PE</t>
        </is>
      </c>
      <c r="S15" s="17" t="n">
        <v>23</v>
      </c>
      <c r="T15" s="17" t="n">
        <v>65</v>
      </c>
      <c r="U15" s="17" t="n">
        <v>1495</v>
      </c>
      <c r="V15" s="17" t="n">
        <v>32.73</v>
      </c>
      <c r="W15" s="17" t="n">
        <v>42.55</v>
      </c>
      <c r="X15" s="17" t="n">
        <v>48931.35</v>
      </c>
      <c r="Y15" s="17" t="n">
        <v>48986.25</v>
      </c>
      <c r="Z15" s="17" t="n">
        <v>100568.65</v>
      </c>
      <c r="AA15" s="17" t="n">
        <v>14679.4</v>
      </c>
      <c r="AB15" s="17" t="n">
        <v>14679.4</v>
      </c>
      <c r="AC15" s="17" t="n">
        <v>14680.9</v>
      </c>
      <c r="AD15" s="17" t="n">
        <v>30</v>
      </c>
      <c r="AE15" s="17" t="n">
        <v>40</v>
      </c>
      <c r="AF15" s="17" t="n">
        <v>6.12</v>
      </c>
      <c r="AG15" s="17" t="n">
        <v>0.1</v>
      </c>
      <c r="AH15" s="17" t="n">
        <v>1.47</v>
      </c>
      <c r="AI15" s="17" t="n">
        <v>7.22</v>
      </c>
      <c r="AJ15" s="17" t="n">
        <v>54.9</v>
      </c>
      <c r="AK15" s="17" t="n">
        <v>14626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Bear Put Spread</t>
        </is>
      </c>
      <c r="D16" s="17" t="inlineStr">
        <is>
          <t>Bear Put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10:51 IST</t>
        </is>
      </c>
      <c r="O16" s="17" t="n">
        <v>24056</v>
      </c>
      <c r="P16" s="17" t="n">
        <v>24021.65</v>
      </c>
      <c r="Q16" s="17" t="inlineStr">
        <is>
          <t>24100 PE</t>
        </is>
      </c>
      <c r="R16" s="17" t="inlineStr">
        <is>
          <t>24000 PE</t>
        </is>
      </c>
      <c r="S16" s="17" t="n">
        <v>28</v>
      </c>
      <c r="T16" s="17" t="n">
        <v>65</v>
      </c>
      <c r="U16" s="17" t="n">
        <v>1820</v>
      </c>
      <c r="V16" s="17" t="n">
        <v>26.4</v>
      </c>
      <c r="W16" s="17" t="n">
        <v>34.32</v>
      </c>
      <c r="X16" s="17" t="n">
        <v>48048</v>
      </c>
      <c r="Y16" s="17" t="n">
        <v>48102.76</v>
      </c>
      <c r="Z16" s="17" t="n">
        <v>133952</v>
      </c>
      <c r="AA16" s="17" t="n">
        <v>14414.4</v>
      </c>
      <c r="AB16" s="17" t="n">
        <v>14414.4</v>
      </c>
      <c r="AC16" s="17" t="n">
        <v>14414.4</v>
      </c>
      <c r="AD16" s="17" t="n">
        <v>30</v>
      </c>
      <c r="AE16" s="17" t="n">
        <v>40</v>
      </c>
      <c r="AF16" s="17" t="n">
        <v>6.01</v>
      </c>
      <c r="AG16" s="17" t="n">
        <v>0.1</v>
      </c>
      <c r="AH16" s="17" t="n">
        <v>1.44</v>
      </c>
      <c r="AI16" s="17" t="n">
        <v>7.22</v>
      </c>
      <c r="AJ16" s="17" t="n">
        <v>54.76</v>
      </c>
      <c r="AK16" s="17" t="n">
        <v>14359.64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Bear Put Spread</t>
        </is>
      </c>
      <c r="D17" s="15" t="inlineStr">
        <is>
          <t>Bear Put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10:17 IST</t>
        </is>
      </c>
      <c r="O17" s="15" t="n">
        <v>23946.25</v>
      </c>
      <c r="P17" s="15" t="n">
        <v>24056</v>
      </c>
      <c r="Q17" s="15" t="inlineStr">
        <is>
          <t>24000 PE</t>
        </is>
      </c>
      <c r="R17" s="15" t="inlineStr">
        <is>
          <t>23900 PE</t>
        </is>
      </c>
      <c r="S17" s="15" t="n">
        <v>25</v>
      </c>
      <c r="T17" s="15" t="n">
        <v>65</v>
      </c>
      <c r="U17" s="15" t="n">
        <v>1625</v>
      </c>
      <c r="V17" s="15" t="n">
        <v>29.15</v>
      </c>
      <c r="W17" s="15" t="n">
        <v>20.4</v>
      </c>
      <c r="X17" s="15" t="n">
        <v>47368.75</v>
      </c>
      <c r="Y17" s="15" t="n">
        <v>47423.4</v>
      </c>
      <c r="Z17" s="15" t="n">
        <v>115131.25</v>
      </c>
      <c r="AA17" s="15" t="n">
        <v>14210.62</v>
      </c>
      <c r="AB17" s="15" t="n">
        <v>14210.62</v>
      </c>
      <c r="AC17" s="15" t="n">
        <v>-14218.75</v>
      </c>
      <c r="AD17" s="15" t="n">
        <v>-30</v>
      </c>
      <c r="AE17" s="15" t="n">
        <v>40</v>
      </c>
      <c r="AF17" s="15" t="n">
        <v>5.92</v>
      </c>
      <c r="AG17" s="15" t="n">
        <v>0.09</v>
      </c>
      <c r="AH17" s="15" t="n">
        <v>1.42</v>
      </c>
      <c r="AI17" s="15" t="n">
        <v>7.22</v>
      </c>
      <c r="AJ17" s="15" t="n">
        <v>54.65</v>
      </c>
      <c r="AK17" s="15" t="n">
        <v>-14273.4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5" t="inlineStr">
        <is>
          <t>2026-06-30</t>
        </is>
      </c>
      <c r="B18" s="15" t="inlineStr">
        <is>
          <t>NIFTY</t>
        </is>
      </c>
      <c r="C18" s="15" t="inlineStr">
        <is>
          <t>Bear Put Spread</t>
        </is>
      </c>
      <c r="D18" s="15" t="inlineStr">
        <is>
          <t>Bear Put Spread</t>
        </is>
      </c>
      <c r="E18" s="15" t="inlineStr">
        <is>
          <t>SIMULATED</t>
        </is>
      </c>
      <c r="F18" s="15" t="inlineStr">
        <is>
          <t>BULLISH</t>
        </is>
      </c>
      <c r="G18" s="15" t="inlineStr">
        <is>
          <t>Price↑(24056.0&gt;24021.65) &amp; EMA9↑(23931.75&gt;23779.81)</t>
        </is>
      </c>
      <c r="H18" s="15" t="n">
        <v>23931.75</v>
      </c>
      <c r="I18" s="15" t="n">
        <v>23779.81</v>
      </c>
      <c r="J18" s="15" t="inlineStr">
        <is>
          <t>2026-07-02</t>
        </is>
      </c>
      <c r="K18" s="15" t="inlineStr">
        <is>
          <t>WEEKLY</t>
        </is>
      </c>
      <c r="L18" s="15" t="n">
        <v>3</v>
      </c>
      <c r="M18" s="15" t="inlineStr">
        <is>
          <t>09:20 IST</t>
        </is>
      </c>
      <c r="N18" s="15" t="inlineStr">
        <is>
          <t>10:55 IST</t>
        </is>
      </c>
      <c r="O18" s="15" t="n">
        <v>24056</v>
      </c>
      <c r="P18" s="15" t="n">
        <v>24021.65</v>
      </c>
      <c r="Q18" s="15" t="inlineStr">
        <is>
          <t>24100 PE</t>
        </is>
      </c>
      <c r="R18" s="15" t="inlineStr">
        <is>
          <t>24000 PE</t>
        </is>
      </c>
      <c r="S18" s="15" t="n">
        <v>19</v>
      </c>
      <c r="T18" s="15" t="n">
        <v>65</v>
      </c>
      <c r="U18" s="15" t="n">
        <v>1235</v>
      </c>
      <c r="V18" s="15" t="n">
        <v>38.8</v>
      </c>
      <c r="W18" s="15" t="n">
        <v>27.16</v>
      </c>
      <c r="X18" s="15" t="n">
        <v>47918</v>
      </c>
      <c r="Y18" s="15" t="n">
        <v>47972.74</v>
      </c>
      <c r="Z18" s="15" t="n">
        <v>75582</v>
      </c>
      <c r="AA18" s="15" t="n">
        <v>14375.4</v>
      </c>
      <c r="AB18" s="15" t="n">
        <v>14375.4</v>
      </c>
      <c r="AC18" s="15" t="n">
        <v>-14375.4</v>
      </c>
      <c r="AD18" s="15" t="n">
        <v>-30</v>
      </c>
      <c r="AE18" s="15" t="n">
        <v>40</v>
      </c>
      <c r="AF18" s="15" t="n">
        <v>5.99</v>
      </c>
      <c r="AG18" s="15" t="n">
        <v>0.1</v>
      </c>
      <c r="AH18" s="15" t="n">
        <v>1.44</v>
      </c>
      <c r="AI18" s="15" t="n">
        <v>7.22</v>
      </c>
      <c r="AJ18" s="15" t="n">
        <v>54.74</v>
      </c>
      <c r="AK18" s="15" t="n">
        <v>-14430.14</v>
      </c>
      <c r="AL18" s="15" t="inlineStr">
        <is>
          <t>STOP LOSS</t>
        </is>
      </c>
      <c r="AM18" s="15" t="n">
        <v>50000</v>
      </c>
      <c r="AN18" s="15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23921.32</v>
      </c>
      <c r="I19" s="15" t="n">
        <v>23787.88</v>
      </c>
      <c r="J19" s="15" t="inlineStr">
        <is>
          <t>2026-07-02</t>
        </is>
      </c>
      <c r="K19" s="15" t="inlineStr">
        <is>
          <t>WEEKLY</t>
        </is>
      </c>
      <c r="L19" s="15" t="n">
        <v>2</v>
      </c>
      <c r="M19" s="15" t="inlineStr">
        <is>
          <t>09:20 IST</t>
        </is>
      </c>
      <c r="N19" s="15" t="inlineStr">
        <is>
          <t>11:18 IST</t>
        </is>
      </c>
      <c r="O19" s="15" t="n">
        <v>23865.75</v>
      </c>
      <c r="P19" s="15" t="n">
        <v>23946.25</v>
      </c>
      <c r="Q19" s="15" t="inlineStr">
        <is>
          <t>23900 PE</t>
        </is>
      </c>
      <c r="R19" s="15" t="inlineStr">
        <is>
          <t>23800 PE</t>
        </is>
      </c>
      <c r="S19" s="15" t="n">
        <v>33</v>
      </c>
      <c r="T19" s="15" t="n">
        <v>65</v>
      </c>
      <c r="U19" s="15" t="n">
        <v>2145</v>
      </c>
      <c r="V19" s="15" t="n">
        <v>22.56</v>
      </c>
      <c r="W19" s="15" t="n">
        <v>15.79</v>
      </c>
      <c r="X19" s="15" t="n">
        <v>48391.2</v>
      </c>
      <c r="Y19" s="15" t="n">
        <v>48446.01</v>
      </c>
      <c r="Z19" s="15" t="n">
        <v>166108.8</v>
      </c>
      <c r="AA19" s="15" t="n">
        <v>14517.36</v>
      </c>
      <c r="AB19" s="15" t="n">
        <v>14517.36</v>
      </c>
      <c r="AC19" s="15" t="n">
        <v>-14521.65</v>
      </c>
      <c r="AD19" s="15" t="n">
        <v>-30</v>
      </c>
      <c r="AE19" s="15" t="n">
        <v>40</v>
      </c>
      <c r="AF19" s="15" t="n">
        <v>6.05</v>
      </c>
      <c r="AG19" s="15" t="n">
        <v>0.1</v>
      </c>
      <c r="AH19" s="15" t="n">
        <v>1.45</v>
      </c>
      <c r="AI19" s="15" t="n">
        <v>7.22</v>
      </c>
      <c r="AJ19" s="15" t="n">
        <v>54.81</v>
      </c>
      <c r="AK19" s="15" t="n">
        <v>-14576.46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12:16 IST</t>
        </is>
      </c>
      <c r="O20" s="17" t="n">
        <v>23946.25</v>
      </c>
      <c r="P20" s="17" t="n">
        <v>24056</v>
      </c>
      <c r="Q20" s="17" t="inlineStr">
        <is>
          <t>24000 PE</t>
        </is>
      </c>
      <c r="R20" s="17" t="inlineStr">
        <is>
          <t>23900 PE</t>
        </is>
      </c>
      <c r="S20" s="17" t="n">
        <v>31</v>
      </c>
      <c r="T20" s="17" t="n">
        <v>65</v>
      </c>
      <c r="U20" s="17" t="n">
        <v>2015</v>
      </c>
      <c r="V20" s="17" t="n">
        <v>23.9</v>
      </c>
      <c r="W20" s="17" t="n">
        <v>31.07</v>
      </c>
      <c r="X20" s="17" t="n">
        <v>48158.5</v>
      </c>
      <c r="Y20" s="17" t="n">
        <v>48213.28</v>
      </c>
      <c r="Z20" s="17" t="n">
        <v>153341.5</v>
      </c>
      <c r="AA20" s="17" t="n">
        <v>14447.55</v>
      </c>
      <c r="AB20" s="17" t="n">
        <v>14447.55</v>
      </c>
      <c r="AC20" s="17" t="n">
        <v>14447.55</v>
      </c>
      <c r="AD20" s="17" t="n">
        <v>30</v>
      </c>
      <c r="AE20" s="17" t="n">
        <v>40</v>
      </c>
      <c r="AF20" s="17" t="n">
        <v>6.02</v>
      </c>
      <c r="AG20" s="17" t="n">
        <v>0.1</v>
      </c>
      <c r="AH20" s="17" t="n">
        <v>1.44</v>
      </c>
      <c r="AI20" s="17" t="n">
        <v>7.22</v>
      </c>
      <c r="AJ20" s="17" t="n">
        <v>54.78</v>
      </c>
      <c r="AK20" s="17" t="n">
        <v>14392.77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NIFTY</t>
        </is>
      </c>
      <c r="C21" s="17" t="inlineStr">
        <is>
          <t>Bear Put Spread</t>
        </is>
      </c>
      <c r="D21" s="17" t="inlineStr">
        <is>
          <t>Bear Put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Price↑(24005.85&gt;23865.75) &amp; EMA9↑(23938.67&gt;23797.85)</t>
        </is>
      </c>
      <c r="H21" s="17" t="n">
        <v>23938.67</v>
      </c>
      <c r="I21" s="17" t="n">
        <v>23797.85</v>
      </c>
      <c r="J21" s="17" t="inlineStr">
        <is>
          <t>2026-07-02</t>
        </is>
      </c>
      <c r="K21" s="17" t="inlineStr">
        <is>
          <t>WEEKLY</t>
        </is>
      </c>
      <c r="L21" s="17" t="n">
        <v>1</v>
      </c>
      <c r="M21" s="17" t="inlineStr">
        <is>
          <t>09:20 IST</t>
        </is>
      </c>
      <c r="N21" s="17" t="inlineStr">
        <is>
          <t>09:58 IST</t>
        </is>
      </c>
      <c r="O21" s="17" t="n">
        <v>24005.85</v>
      </c>
      <c r="P21" s="17" t="n">
        <v>23865.75</v>
      </c>
      <c r="Q21" s="17" t="inlineStr">
        <is>
          <t>24100 PE</t>
        </is>
      </c>
      <c r="R21" s="17" t="inlineStr">
        <is>
          <t>24000 PE</t>
        </is>
      </c>
      <c r="S21" s="17" t="n">
        <v>30</v>
      </c>
      <c r="T21" s="17" t="n">
        <v>65</v>
      </c>
      <c r="U21" s="17" t="n">
        <v>1950</v>
      </c>
      <c r="V21" s="17" t="n">
        <v>24.98</v>
      </c>
      <c r="W21" s="17" t="n">
        <v>32.47</v>
      </c>
      <c r="X21" s="17" t="n">
        <v>48711</v>
      </c>
      <c r="Y21" s="17" t="n">
        <v>48765.87</v>
      </c>
      <c r="Z21" s="17" t="n">
        <v>146289</v>
      </c>
      <c r="AA21" s="17" t="n">
        <v>14613.3</v>
      </c>
      <c r="AB21" s="17" t="n">
        <v>14613.3</v>
      </c>
      <c r="AC21" s="17" t="n">
        <v>14605.5</v>
      </c>
      <c r="AD21" s="17" t="n">
        <v>30</v>
      </c>
      <c r="AE21" s="17" t="n">
        <v>40</v>
      </c>
      <c r="AF21" s="17" t="n">
        <v>6.09</v>
      </c>
      <c r="AG21" s="17" t="n">
        <v>0.1</v>
      </c>
      <c r="AH21" s="17" t="n">
        <v>1.46</v>
      </c>
      <c r="AI21" s="17" t="n">
        <v>7.22</v>
      </c>
      <c r="AJ21" s="17" t="n">
        <v>54.87</v>
      </c>
      <c r="AK21" s="17" t="n">
        <v>14550.63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10:53 IST</t>
        </is>
      </c>
      <c r="O22" s="17" t="n">
        <v>23865.75</v>
      </c>
      <c r="P22" s="17" t="n">
        <v>23946.25</v>
      </c>
      <c r="Q22" s="17" t="inlineStr">
        <is>
          <t>23900 PE</t>
        </is>
      </c>
      <c r="R22" s="17" t="inlineStr">
        <is>
          <t>23800 PE</t>
        </is>
      </c>
      <c r="S22" s="17" t="n">
        <v>32</v>
      </c>
      <c r="T22" s="17" t="n">
        <v>65</v>
      </c>
      <c r="U22" s="17" t="n">
        <v>2080</v>
      </c>
      <c r="V22" s="17" t="n">
        <v>23.18</v>
      </c>
      <c r="W22" s="17" t="n">
        <v>30.13</v>
      </c>
      <c r="X22" s="17" t="n">
        <v>48214.4</v>
      </c>
      <c r="Y22" s="17" t="n">
        <v>48269.19</v>
      </c>
      <c r="Z22" s="17" t="n">
        <v>159785.6</v>
      </c>
      <c r="AA22" s="17" t="n">
        <v>14464.32</v>
      </c>
      <c r="AB22" s="17" t="n">
        <v>14464.32</v>
      </c>
      <c r="AC22" s="17" t="n">
        <v>14456</v>
      </c>
      <c r="AD22" s="17" t="n">
        <v>30</v>
      </c>
      <c r="AE22" s="17" t="n">
        <v>40</v>
      </c>
      <c r="AF22" s="17" t="n">
        <v>6.03</v>
      </c>
      <c r="AG22" s="17" t="n">
        <v>0.1</v>
      </c>
      <c r="AH22" s="17" t="n">
        <v>1.45</v>
      </c>
      <c r="AI22" s="17" t="n">
        <v>7.22</v>
      </c>
      <c r="AJ22" s="17" t="n">
        <v>54.79</v>
      </c>
      <c r="AK22" s="17" t="n">
        <v>14401.21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2026-07-02</t>
        </is>
      </c>
      <c r="B23" s="15" t="inlineStr">
        <is>
          <t>NIFTY</t>
        </is>
      </c>
      <c r="C23" s="15" t="inlineStr">
        <is>
          <t>Bear Put Spread</t>
        </is>
      </c>
      <c r="D23" s="15" t="inlineStr">
        <is>
          <t>Bear Put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Price↑(24175.7&gt;24005.85) &amp; EMA9↑(23986.43&gt;23821.26)</t>
        </is>
      </c>
      <c r="H23" s="15" t="n">
        <v>23986.43</v>
      </c>
      <c r="I23" s="15" t="n">
        <v>23821.26</v>
      </c>
      <c r="J23" s="15" t="inlineStr">
        <is>
          <t>2026-07-02</t>
        </is>
      </c>
      <c r="K23" s="15" t="inlineStr">
        <is>
          <t>WEEKLY</t>
        </is>
      </c>
      <c r="L23" s="15" t="n">
        <v>0</v>
      </c>
      <c r="M23" s="15" t="inlineStr">
        <is>
          <t>09:20 IST</t>
        </is>
      </c>
      <c r="N23" s="15" t="inlineStr">
        <is>
          <t>09:30 IST</t>
        </is>
      </c>
      <c r="O23" s="15" t="n">
        <v>24175.7</v>
      </c>
      <c r="P23" s="15" t="n">
        <v>24005.85</v>
      </c>
      <c r="Q23" s="15" t="inlineStr">
        <is>
          <t>24200 PE</t>
        </is>
      </c>
      <c r="R23" s="15" t="inlineStr">
        <is>
          <t>24100 PE</t>
        </is>
      </c>
      <c r="S23" s="15" t="n">
        <v>37</v>
      </c>
      <c r="T23" s="15" t="n">
        <v>65</v>
      </c>
      <c r="U23" s="15" t="n">
        <v>2405</v>
      </c>
      <c r="V23" s="15" t="n">
        <v>20.16</v>
      </c>
      <c r="W23" s="15" t="n">
        <v>14.11</v>
      </c>
      <c r="X23" s="15" t="n">
        <v>48484.8</v>
      </c>
      <c r="Y23" s="15" t="n">
        <v>48539.63</v>
      </c>
      <c r="Z23" s="15" t="n">
        <v>192015.2</v>
      </c>
      <c r="AA23" s="15" t="n">
        <v>14545.44</v>
      </c>
      <c r="AB23" s="15" t="n">
        <v>14545.44</v>
      </c>
      <c r="AC23" s="15" t="n">
        <v>-14550.25</v>
      </c>
      <c r="AD23" s="15" t="n">
        <v>-30</v>
      </c>
      <c r="AE23" s="15" t="n">
        <v>40</v>
      </c>
      <c r="AF23" s="15" t="n">
        <v>6.06</v>
      </c>
      <c r="AG23" s="15" t="n">
        <v>0.1</v>
      </c>
      <c r="AH23" s="15" t="n">
        <v>1.45</v>
      </c>
      <c r="AI23" s="15" t="n">
        <v>7.22</v>
      </c>
      <c r="AJ23" s="15" t="n">
        <v>54.83</v>
      </c>
      <c r="AK23" s="15" t="n">
        <v>-14605.08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Bear Put Spread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09:49 IST</t>
        </is>
      </c>
      <c r="O24" s="17" t="n">
        <v>24005.85</v>
      </c>
      <c r="P24" s="17" t="n">
        <v>23865.75</v>
      </c>
      <c r="Q24" s="17" t="inlineStr">
        <is>
          <t>24100 PE</t>
        </is>
      </c>
      <c r="R24" s="17" t="inlineStr">
        <is>
          <t>24000 PE</t>
        </is>
      </c>
      <c r="S24" s="17" t="n">
        <v>37</v>
      </c>
      <c r="T24" s="17" t="n">
        <v>65</v>
      </c>
      <c r="U24" s="17" t="n">
        <v>2405</v>
      </c>
      <c r="V24" s="17" t="n">
        <v>19.76</v>
      </c>
      <c r="W24" s="17" t="n">
        <v>25.69</v>
      </c>
      <c r="X24" s="17" t="n">
        <v>47522.8</v>
      </c>
      <c r="Y24" s="17" t="n">
        <v>47577.48</v>
      </c>
      <c r="Z24" s="17" t="n">
        <v>192977.2</v>
      </c>
      <c r="AA24" s="17" t="n">
        <v>14256.84</v>
      </c>
      <c r="AB24" s="17" t="n">
        <v>14256.84</v>
      </c>
      <c r="AC24" s="17" t="n">
        <v>14261.65</v>
      </c>
      <c r="AD24" s="17" t="n">
        <v>30</v>
      </c>
      <c r="AE24" s="17" t="n">
        <v>40</v>
      </c>
      <c r="AF24" s="17" t="n">
        <v>5.94</v>
      </c>
      <c r="AG24" s="17" t="n">
        <v>0.1</v>
      </c>
      <c r="AH24" s="17" t="n">
        <v>1.43</v>
      </c>
      <c r="AI24" s="17" t="n">
        <v>7.22</v>
      </c>
      <c r="AJ24" s="17" t="n">
        <v>54.68</v>
      </c>
      <c r="AK24" s="17" t="n">
        <v>14206.97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11:49 IST</t>
        </is>
      </c>
      <c r="O25" s="17" t="n">
        <v>24270.85</v>
      </c>
      <c r="P25" s="17" t="n">
        <v>24175.7</v>
      </c>
      <c r="Q25" s="17" t="inlineStr">
        <is>
          <t>24300 PE</t>
        </is>
      </c>
      <c r="R25" s="17" t="inlineStr">
        <is>
          <t>24200 PE</t>
        </is>
      </c>
      <c r="S25" s="17" t="n">
        <v>25</v>
      </c>
      <c r="T25" s="17" t="n">
        <v>65</v>
      </c>
      <c r="U25" s="17" t="n">
        <v>1625</v>
      </c>
      <c r="V25" s="17" t="n">
        <v>29.5</v>
      </c>
      <c r="W25" s="17" t="n">
        <v>38.35</v>
      </c>
      <c r="X25" s="17" t="n">
        <v>47937.5</v>
      </c>
      <c r="Y25" s="17" t="n">
        <v>47992.24</v>
      </c>
      <c r="Z25" s="17" t="n">
        <v>114562.5</v>
      </c>
      <c r="AA25" s="17" t="n">
        <v>14381.25</v>
      </c>
      <c r="AB25" s="17" t="n">
        <v>14381.25</v>
      </c>
      <c r="AC25" s="17" t="n">
        <v>14381.25</v>
      </c>
      <c r="AD25" s="17" t="n">
        <v>30</v>
      </c>
      <c r="AE25" s="17" t="n">
        <v>40</v>
      </c>
      <c r="AF25" s="17" t="n">
        <v>5.99</v>
      </c>
      <c r="AG25" s="17" t="n">
        <v>0.1</v>
      </c>
      <c r="AH25" s="17" t="n">
        <v>1.44</v>
      </c>
      <c r="AI25" s="17" t="n">
        <v>7.22</v>
      </c>
      <c r="AJ25" s="17" t="n">
        <v>54.74</v>
      </c>
      <c r="AK25" s="17" t="n">
        <v>14326.51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N4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NIFTY</t>
        </is>
      </c>
      <c r="C3" s="17" t="inlineStr">
        <is>
          <t>Both Spreads</t>
        </is>
      </c>
      <c r="D3" s="17" t="inlineStr">
        <is>
          <t>Bull Call Spread</t>
        </is>
      </c>
      <c r="E3" s="17" t="inlineStr">
        <is>
          <t>SKIP</t>
        </is>
      </c>
      <c r="F3" s="17" t="inlineStr">
        <is>
          <t>Conflicting — Price:BULLISH EMA:BEARISH</t>
        </is>
      </c>
      <c r="G3" s="17" t="n">
        <v>23385.72</v>
      </c>
      <c r="H3" s="17" t="n">
        <v>23538</v>
      </c>
      <c r="I3" s="17" t="inlineStr">
        <is>
          <t>2026-06-18</t>
        </is>
      </c>
      <c r="J3" s="17" t="inlineStr">
        <is>
          <t>WEEKLY</t>
        </is>
      </c>
      <c r="K3" s="17" t="n">
        <v>3</v>
      </c>
      <c r="L3" s="17" t="inlineStr">
        <is>
          <t>09:20 IST</t>
        </is>
      </c>
      <c r="M3" s="17" t="inlineStr">
        <is>
          <t>11:48 IST</t>
        </is>
      </c>
      <c r="N3" s="17" t="n">
        <v>23622.9</v>
      </c>
      <c r="O3" s="17" t="n">
        <v>23161.6</v>
      </c>
      <c r="P3" s="17" t="inlineStr">
        <is>
          <t>23600 CE</t>
        </is>
      </c>
      <c r="Q3" s="17" t="inlineStr">
        <is>
          <t>23700 CE</t>
        </is>
      </c>
      <c r="R3" s="17" t="n">
        <v>16</v>
      </c>
      <c r="S3" s="17" t="n">
        <v>75</v>
      </c>
      <c r="T3" s="17" t="n">
        <v>1200</v>
      </c>
      <c r="U3" s="17" t="n">
        <v>38.73</v>
      </c>
      <c r="V3" s="17" t="n">
        <v>50.35</v>
      </c>
      <c r="W3" s="17" t="n">
        <v>46476</v>
      </c>
      <c r="X3" s="17" t="n">
        <v>46530.51</v>
      </c>
      <c r="Y3" s="17" t="n">
        <v>73524</v>
      </c>
      <c r="Z3" s="17" t="n">
        <v>13942.8</v>
      </c>
      <c r="AA3" s="17" t="n">
        <v>13942.8</v>
      </c>
      <c r="AB3" s="17" t="n">
        <v>13944</v>
      </c>
      <c r="AC3" s="17" t="n">
        <v>30</v>
      </c>
      <c r="AD3" s="17" t="n">
        <v>40</v>
      </c>
      <c r="AE3" s="17" t="n">
        <v>5.81</v>
      </c>
      <c r="AF3" s="17" t="n">
        <v>0.09</v>
      </c>
      <c r="AG3" s="17" t="n">
        <v>1.39</v>
      </c>
      <c r="AH3" s="17" t="n">
        <v>7.22</v>
      </c>
      <c r="AI3" s="17" t="n">
        <v>54.51</v>
      </c>
      <c r="AJ3" s="17" t="n">
        <v>13889.49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5" t="inlineStr">
        <is>
          <t>2026-06-16</t>
        </is>
      </c>
      <c r="B4" s="15" t="inlineStr">
        <is>
          <t>NIFTY</t>
        </is>
      </c>
      <c r="C4" s="15" t="inlineStr">
        <is>
          <t>Both Spreads</t>
        </is>
      </c>
      <c r="D4" s="15" t="inlineStr">
        <is>
          <t>Bear Put Spread</t>
        </is>
      </c>
      <c r="E4" s="15" t="inlineStr">
        <is>
          <t>SKIP</t>
        </is>
      </c>
      <c r="F4" s="15" t="inlineStr">
        <is>
          <t>Conflicting — Price:BULLISH EMA:BEARISH</t>
        </is>
      </c>
      <c r="G4" s="15" t="n">
        <v>23385.72</v>
      </c>
      <c r="H4" s="15" t="n">
        <v>23538</v>
      </c>
      <c r="I4" s="15" t="inlineStr">
        <is>
          <t>2026-06-18</t>
        </is>
      </c>
      <c r="J4" s="15" t="inlineStr">
        <is>
          <t>WEEKLY</t>
        </is>
      </c>
      <c r="K4" s="15" t="n">
        <v>3</v>
      </c>
      <c r="L4" s="15" t="inlineStr">
        <is>
          <t>09:20 IST</t>
        </is>
      </c>
      <c r="M4" s="15" t="inlineStr">
        <is>
          <t>11:13 IST</t>
        </is>
      </c>
      <c r="N4" s="15" t="n">
        <v>23622.9</v>
      </c>
      <c r="O4" s="15" t="n">
        <v>23161.6</v>
      </c>
      <c r="P4" s="15" t="inlineStr">
        <is>
          <t>23700 PE</t>
        </is>
      </c>
      <c r="Q4" s="15" t="inlineStr">
        <is>
          <t>23600 PE</t>
        </is>
      </c>
      <c r="R4" s="15" t="n">
        <v>25</v>
      </c>
      <c r="S4" s="15" t="n">
        <v>75</v>
      </c>
      <c r="T4" s="15" t="n">
        <v>1875</v>
      </c>
      <c r="U4" s="15" t="n">
        <v>25.78</v>
      </c>
      <c r="V4" s="15" t="n">
        <v>18.05</v>
      </c>
      <c r="W4" s="15" t="n">
        <v>48337.5</v>
      </c>
      <c r="X4" s="15" t="n">
        <v>48392.31</v>
      </c>
      <c r="Y4" s="15" t="n">
        <v>139162.5</v>
      </c>
      <c r="Z4" s="15" t="n">
        <v>14501.25</v>
      </c>
      <c r="AA4" s="15" t="n">
        <v>14501.25</v>
      </c>
      <c r="AB4" s="15" t="n">
        <v>-14493.75</v>
      </c>
      <c r="AC4" s="15" t="n">
        <v>-30</v>
      </c>
      <c r="AD4" s="15" t="n">
        <v>40</v>
      </c>
      <c r="AE4" s="15" t="n">
        <v>6.04</v>
      </c>
      <c r="AF4" s="15" t="n">
        <v>0.1</v>
      </c>
      <c r="AG4" s="15" t="n">
        <v>1.45</v>
      </c>
      <c r="AH4" s="15" t="n">
        <v>7.22</v>
      </c>
      <c r="AI4" s="15" t="n">
        <v>54.81</v>
      </c>
      <c r="AJ4" s="15" t="n">
        <v>-14548.56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7" t="inlineStr">
        <is>
          <t>2026-06-18</t>
        </is>
      </c>
      <c r="B5" s="17" t="inlineStr">
        <is>
          <t>NIFTY</t>
        </is>
      </c>
      <c r="C5" s="17" t="inlineStr">
        <is>
          <t>Both Spreads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Price↑(24168.0&gt;24085.7) &amp; EMA9↑(23778.35&gt;23687.38)</t>
        </is>
      </c>
      <c r="G5" s="17" t="n">
        <v>23778.35</v>
      </c>
      <c r="H5" s="17" t="n">
        <v>23687.38</v>
      </c>
      <c r="I5" s="17" t="inlineStr">
        <is>
          <t>2026-06-18</t>
        </is>
      </c>
      <c r="J5" s="17" t="inlineStr">
        <is>
          <t>WEEKLY</t>
        </is>
      </c>
      <c r="K5" s="17" t="n">
        <v>0</v>
      </c>
      <c r="L5" s="17" t="inlineStr">
        <is>
          <t>09:20 IST</t>
        </is>
      </c>
      <c r="M5" s="17" t="inlineStr">
        <is>
          <t>09:54 IST</t>
        </is>
      </c>
      <c r="N5" s="17" t="n">
        <v>24168</v>
      </c>
      <c r="O5" s="17" t="n">
        <v>24085.7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21.55</v>
      </c>
      <c r="V5" s="17" t="n">
        <v>28.02</v>
      </c>
      <c r="W5" s="17" t="n">
        <v>48487.5</v>
      </c>
      <c r="X5" s="17" t="n">
        <v>48542.33</v>
      </c>
      <c r="Y5" s="17" t="n">
        <v>176512.5</v>
      </c>
      <c r="Z5" s="17" t="n">
        <v>14546.25</v>
      </c>
      <c r="AA5" s="17" t="n">
        <v>14546.25</v>
      </c>
      <c r="AB5" s="17" t="n">
        <v>14557.5</v>
      </c>
      <c r="AC5" s="17" t="n">
        <v>30</v>
      </c>
      <c r="AD5" s="17" t="n">
        <v>40</v>
      </c>
      <c r="AE5" s="17" t="n">
        <v>6.06</v>
      </c>
      <c r="AF5" s="17" t="n">
        <v>0.1</v>
      </c>
      <c r="AG5" s="17" t="n">
        <v>1.45</v>
      </c>
      <c r="AH5" s="17" t="n">
        <v>7.22</v>
      </c>
      <c r="AI5" s="17" t="n">
        <v>54.83</v>
      </c>
      <c r="AJ5" s="17" t="n">
        <v>14502.67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NIFTY</t>
        </is>
      </c>
      <c r="C6" s="15" t="inlineStr">
        <is>
          <t>Both Spreads</t>
        </is>
      </c>
      <c r="D6" s="15" t="inlineStr">
        <is>
          <t>Bear Put Spread</t>
        </is>
      </c>
      <c r="E6" s="15" t="inlineStr">
        <is>
          <t>BULLISH</t>
        </is>
      </c>
      <c r="F6" s="15" t="inlineStr">
        <is>
          <t>Price↑(24168.0&gt;24085.7) &amp; EMA9↑(23778.35&gt;23687.38)</t>
        </is>
      </c>
      <c r="G6" s="15" t="n">
        <v>23778.35</v>
      </c>
      <c r="H6" s="15" t="n">
        <v>23687.38</v>
      </c>
      <c r="I6" s="15" t="inlineStr">
        <is>
          <t>2026-06-18</t>
        </is>
      </c>
      <c r="J6" s="15" t="inlineStr">
        <is>
          <t>WEEKLY</t>
        </is>
      </c>
      <c r="K6" s="15" t="n">
        <v>0</v>
      </c>
      <c r="L6" s="15" t="inlineStr">
        <is>
          <t>09:20 IST</t>
        </is>
      </c>
      <c r="M6" s="15" t="inlineStr">
        <is>
          <t>10:35 IST</t>
        </is>
      </c>
      <c r="N6" s="15" t="n">
        <v>24168</v>
      </c>
      <c r="O6" s="15" t="n">
        <v>24085.7</v>
      </c>
      <c r="P6" s="15" t="inlineStr">
        <is>
          <t>24200 PE</t>
        </is>
      </c>
      <c r="Q6" s="15" t="inlineStr">
        <is>
          <t>24100 PE</t>
        </is>
      </c>
      <c r="R6" s="15" t="n">
        <v>37</v>
      </c>
      <c r="S6" s="15" t="n">
        <v>75</v>
      </c>
      <c r="T6" s="15" t="n">
        <v>2775</v>
      </c>
      <c r="U6" s="15" t="n">
        <v>17.44</v>
      </c>
      <c r="V6" s="15" t="n">
        <v>12.21</v>
      </c>
      <c r="W6" s="15" t="n">
        <v>48396</v>
      </c>
      <c r="X6" s="15" t="n">
        <v>48450.82</v>
      </c>
      <c r="Y6" s="15" t="n">
        <v>229104</v>
      </c>
      <c r="Z6" s="15" t="n">
        <v>14518.8</v>
      </c>
      <c r="AA6" s="15" t="n">
        <v>14518.8</v>
      </c>
      <c r="AB6" s="15" t="n">
        <v>-14513.25</v>
      </c>
      <c r="AC6" s="15" t="n">
        <v>-30</v>
      </c>
      <c r="AD6" s="15" t="n">
        <v>40</v>
      </c>
      <c r="AE6" s="15" t="n">
        <v>6.05</v>
      </c>
      <c r="AF6" s="15" t="n">
        <v>0.1</v>
      </c>
      <c r="AG6" s="15" t="n">
        <v>1.45</v>
      </c>
      <c r="AH6" s="15" t="n">
        <v>7.22</v>
      </c>
      <c r="AI6" s="15" t="n">
        <v>54.82</v>
      </c>
      <c r="AJ6" s="15" t="n">
        <v>-14568.07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23824.67</v>
      </c>
      <c r="H7" s="17" t="n">
        <v>23712.22</v>
      </c>
      <c r="I7" s="17" t="inlineStr">
        <is>
          <t>2026-06-25</t>
        </is>
      </c>
      <c r="J7" s="17" t="inlineStr">
        <is>
          <t>WEEKLY</t>
        </is>
      </c>
      <c r="K7" s="17" t="n">
        <v>6</v>
      </c>
      <c r="L7" s="17" t="inlineStr">
        <is>
          <t>09:20 IST</t>
        </is>
      </c>
      <c r="M7" s="17" t="inlineStr">
        <is>
          <t>12:16 IST</t>
        </is>
      </c>
      <c r="N7" s="17" t="n">
        <v>24013.1</v>
      </c>
      <c r="O7" s="17" t="n">
        <v>24168</v>
      </c>
      <c r="P7" s="17" t="inlineStr">
        <is>
          <t>24000 CE</t>
        </is>
      </c>
      <c r="Q7" s="17" t="inlineStr">
        <is>
          <t>24100 CE</t>
        </is>
      </c>
      <c r="R7" s="17" t="n">
        <v>25</v>
      </c>
      <c r="S7" s="17" t="n">
        <v>75</v>
      </c>
      <c r="T7" s="17" t="n">
        <v>1875</v>
      </c>
      <c r="U7" s="17" t="n">
        <v>25.32</v>
      </c>
      <c r="V7" s="17" t="n">
        <v>32.92</v>
      </c>
      <c r="W7" s="17" t="n">
        <v>47475</v>
      </c>
      <c r="X7" s="17" t="n">
        <v>47529.67</v>
      </c>
      <c r="Y7" s="17" t="n">
        <v>140025</v>
      </c>
      <c r="Z7" s="17" t="n">
        <v>14242.5</v>
      </c>
      <c r="AA7" s="17" t="n">
        <v>14242.5</v>
      </c>
      <c r="AB7" s="17" t="n">
        <v>14250</v>
      </c>
      <c r="AC7" s="17" t="n">
        <v>30</v>
      </c>
      <c r="AD7" s="17" t="n">
        <v>40</v>
      </c>
      <c r="AE7" s="17" t="n">
        <v>5.93</v>
      </c>
      <c r="AF7" s="17" t="n">
        <v>0.09</v>
      </c>
      <c r="AG7" s="17" t="n">
        <v>1.42</v>
      </c>
      <c r="AH7" s="17" t="n">
        <v>7.22</v>
      </c>
      <c r="AI7" s="17" t="n">
        <v>54.67</v>
      </c>
      <c r="AJ7" s="17" t="n">
        <v>14195.33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23824.67</v>
      </c>
      <c r="H8" s="17" t="n">
        <v>23712.22</v>
      </c>
      <c r="I8" s="17" t="inlineStr">
        <is>
          <t>2026-06-25</t>
        </is>
      </c>
      <c r="J8" s="17" t="inlineStr">
        <is>
          <t>WEEKLY</t>
        </is>
      </c>
      <c r="K8" s="17" t="n">
        <v>6</v>
      </c>
      <c r="L8" s="17" t="inlineStr">
        <is>
          <t>09:20 IST</t>
        </is>
      </c>
      <c r="M8" s="17" t="inlineStr">
        <is>
          <t>09:54 IST</t>
        </is>
      </c>
      <c r="N8" s="17" t="n">
        <v>24013.1</v>
      </c>
      <c r="O8" s="17" t="n">
        <v>24168</v>
      </c>
      <c r="P8" s="17" t="inlineStr">
        <is>
          <t>24100 PE</t>
        </is>
      </c>
      <c r="Q8" s="17" t="inlineStr">
        <is>
          <t>24000 PE</t>
        </is>
      </c>
      <c r="R8" s="17" t="n">
        <v>19</v>
      </c>
      <c r="S8" s="17" t="n">
        <v>75</v>
      </c>
      <c r="T8" s="17" t="n">
        <v>1425</v>
      </c>
      <c r="U8" s="17" t="n">
        <v>33.62</v>
      </c>
      <c r="V8" s="17" t="n">
        <v>43.71</v>
      </c>
      <c r="W8" s="17" t="n">
        <v>47908.5</v>
      </c>
      <c r="X8" s="17" t="n">
        <v>47963.24</v>
      </c>
      <c r="Y8" s="17" t="n">
        <v>94591.5</v>
      </c>
      <c r="Z8" s="17" t="n">
        <v>14372.55</v>
      </c>
      <c r="AA8" s="17" t="n">
        <v>14372.55</v>
      </c>
      <c r="AB8" s="17" t="n">
        <v>14378.25</v>
      </c>
      <c r="AC8" s="17" t="n">
        <v>30</v>
      </c>
      <c r="AD8" s="17" t="n">
        <v>40</v>
      </c>
      <c r="AE8" s="17" t="n">
        <v>5.99</v>
      </c>
      <c r="AF8" s="17" t="n">
        <v>0.1</v>
      </c>
      <c r="AG8" s="17" t="n">
        <v>1.44</v>
      </c>
      <c r="AH8" s="17" t="n">
        <v>7.22</v>
      </c>
      <c r="AI8" s="17" t="n">
        <v>54.74</v>
      </c>
      <c r="AJ8" s="17" t="n">
        <v>14323.51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5" t="inlineStr">
        <is>
          <t>2026-06-20</t>
        </is>
      </c>
      <c r="B9" s="15" t="inlineStr">
        <is>
          <t>NIFTY</t>
        </is>
      </c>
      <c r="C9" s="15" t="inlineStr">
        <is>
          <t>Both Spreads</t>
        </is>
      </c>
      <c r="D9" s="15" t="inlineStr">
        <is>
          <t>Bull Call Spread</t>
        </is>
      </c>
      <c r="E9" s="15" t="inlineStr">
        <is>
          <t>BULLISH</t>
        </is>
      </c>
      <c r="F9" s="15" t="inlineStr">
        <is>
          <t>Price↑(24168.0&gt;24085.7) &amp; EMA9↑(23777.57&gt;23682.14)</t>
        </is>
      </c>
      <c r="G9" s="15" t="n">
        <v>23777.57</v>
      </c>
      <c r="H9" s="15" t="n">
        <v>23682.14</v>
      </c>
      <c r="I9" s="15" t="inlineStr">
        <is>
          <t>2026-06-25</t>
        </is>
      </c>
      <c r="J9" s="15" t="inlineStr">
        <is>
          <t>WEEKLY</t>
        </is>
      </c>
      <c r="K9" s="15" t="n">
        <v>6</v>
      </c>
      <c r="L9" s="15" t="inlineStr">
        <is>
          <t>09:20 IST</t>
        </is>
      </c>
      <c r="M9" s="15" t="inlineStr">
        <is>
          <t>09:58 IST</t>
        </is>
      </c>
      <c r="N9" s="15" t="n">
        <v>24168</v>
      </c>
      <c r="O9" s="15" t="n">
        <v>24085.7</v>
      </c>
      <c r="P9" s="15" t="inlineStr">
        <is>
          <t>24100 CE</t>
        </is>
      </c>
      <c r="Q9" s="15" t="inlineStr">
        <is>
          <t>24200 CE</t>
        </is>
      </c>
      <c r="R9" s="15" t="n">
        <v>25</v>
      </c>
      <c r="S9" s="15" t="n">
        <v>75</v>
      </c>
      <c r="T9" s="15" t="n">
        <v>1875</v>
      </c>
      <c r="U9" s="15" t="n">
        <v>25.29</v>
      </c>
      <c r="V9" s="15" t="n">
        <v>17.7</v>
      </c>
      <c r="W9" s="15" t="n">
        <v>47418.75</v>
      </c>
      <c r="X9" s="15" t="n">
        <v>47473.41</v>
      </c>
      <c r="Y9" s="15" t="n">
        <v>140081.25</v>
      </c>
      <c r="Z9" s="15" t="n">
        <v>14225.62</v>
      </c>
      <c r="AA9" s="15" t="n">
        <v>14225.62</v>
      </c>
      <c r="AB9" s="15" t="n">
        <v>-14231.25</v>
      </c>
      <c r="AC9" s="15" t="n">
        <v>-30</v>
      </c>
      <c r="AD9" s="15" t="n">
        <v>40</v>
      </c>
      <c r="AE9" s="15" t="n">
        <v>5.93</v>
      </c>
      <c r="AF9" s="15" t="n">
        <v>0.09</v>
      </c>
      <c r="AG9" s="15" t="n">
        <v>1.42</v>
      </c>
      <c r="AH9" s="15" t="n">
        <v>7.22</v>
      </c>
      <c r="AI9" s="15" t="n">
        <v>54.66</v>
      </c>
      <c r="AJ9" s="15" t="n">
        <v>-14285.91</v>
      </c>
      <c r="AK9" s="15" t="inlineStr">
        <is>
          <t>STOP LOSS</t>
        </is>
      </c>
      <c r="AL9" s="15" t="n">
        <v>50000</v>
      </c>
      <c r="AM9" s="15" t="inlineStr">
        <is>
          <t>PAPER TRADING</t>
        </is>
      </c>
    </row>
    <row r="10">
      <c r="A10" s="17" t="inlineStr">
        <is>
          <t>2026-06-20</t>
        </is>
      </c>
      <c r="B10" s="17" t="inlineStr">
        <is>
          <t>NIFTY</t>
        </is>
      </c>
      <c r="C10" s="17" t="inlineStr">
        <is>
          <t>Both Spreads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Price↑(24168.0&gt;24085.7) &amp; EMA9↑(23777.57&gt;23682.14)</t>
        </is>
      </c>
      <c r="G10" s="17" t="n">
        <v>23777.57</v>
      </c>
      <c r="H10" s="17" t="n">
        <v>23682.14</v>
      </c>
      <c r="I10" s="17" t="inlineStr">
        <is>
          <t>2026-06-25</t>
        </is>
      </c>
      <c r="J10" s="17" t="inlineStr">
        <is>
          <t>WEEKLY</t>
        </is>
      </c>
      <c r="K10" s="17" t="n">
        <v>6</v>
      </c>
      <c r="L10" s="17" t="inlineStr">
        <is>
          <t>09:20 IST</t>
        </is>
      </c>
      <c r="M10" s="17" t="inlineStr">
        <is>
          <t>10:08 IST</t>
        </is>
      </c>
      <c r="N10" s="17" t="n">
        <v>24168</v>
      </c>
      <c r="O10" s="17" t="n">
        <v>24085.7</v>
      </c>
      <c r="P10" s="17" t="inlineStr">
        <is>
          <t>24200 PE</t>
        </is>
      </c>
      <c r="Q10" s="17" t="inlineStr">
        <is>
          <t>24100 PE</t>
        </is>
      </c>
      <c r="R10" s="17" t="n">
        <v>17</v>
      </c>
      <c r="S10" s="17" t="n">
        <v>75</v>
      </c>
      <c r="T10" s="17" t="n">
        <v>1275</v>
      </c>
      <c r="U10" s="17" t="n">
        <v>38.16</v>
      </c>
      <c r="V10" s="17" t="n">
        <v>49.61</v>
      </c>
      <c r="W10" s="17" t="n">
        <v>48654</v>
      </c>
      <c r="X10" s="17" t="n">
        <v>48708.86</v>
      </c>
      <c r="Y10" s="17" t="n">
        <v>78846</v>
      </c>
      <c r="Z10" s="17" t="n">
        <v>14596.2</v>
      </c>
      <c r="AA10" s="17" t="n">
        <v>14596.2</v>
      </c>
      <c r="AB10" s="17" t="n">
        <v>14598.75</v>
      </c>
      <c r="AC10" s="17" t="n">
        <v>30</v>
      </c>
      <c r="AD10" s="17" t="n">
        <v>40</v>
      </c>
      <c r="AE10" s="17" t="n">
        <v>6.08</v>
      </c>
      <c r="AF10" s="17" t="n">
        <v>0.1</v>
      </c>
      <c r="AG10" s="17" t="n">
        <v>1.46</v>
      </c>
      <c r="AH10" s="17" t="n">
        <v>7.22</v>
      </c>
      <c r="AI10" s="17" t="n">
        <v>54.86</v>
      </c>
      <c r="AJ10" s="17" t="n">
        <v>14543.89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NIFTY</t>
        </is>
      </c>
      <c r="C11" s="15" t="inlineStr">
        <is>
          <t>Both Spreads</t>
        </is>
      </c>
      <c r="D11" s="15" t="inlineStr">
        <is>
          <t>Bull Call Spread</t>
        </is>
      </c>
      <c r="E11" s="15" t="inlineStr">
        <is>
          <t>SKIP</t>
        </is>
      </c>
      <c r="F11" s="15" t="inlineStr">
        <is>
          <t>Conflicting — Price:BEARISH EMA:BULLISH</t>
        </is>
      </c>
      <c r="G11" s="15" t="n">
        <v>23824.22</v>
      </c>
      <c r="H11" s="15" t="n">
        <v>23714.31</v>
      </c>
      <c r="I11" s="15" t="inlineStr">
        <is>
          <t>2026-06-25</t>
        </is>
      </c>
      <c r="J11" s="15" t="inlineStr">
        <is>
          <t>WEEKLY</t>
        </is>
      </c>
      <c r="K11" s="15" t="n">
        <v>3</v>
      </c>
      <c r="L11" s="15" t="inlineStr">
        <is>
          <t>09:20 IST</t>
        </is>
      </c>
      <c r="M11" s="15" t="inlineStr">
        <is>
          <t>09:51 IST</t>
        </is>
      </c>
      <c r="N11" s="15" t="n">
        <v>24013.1</v>
      </c>
      <c r="O11" s="15" t="n">
        <v>24168</v>
      </c>
      <c r="P11" s="15" t="inlineStr">
        <is>
          <t>24000 CE</t>
        </is>
      </c>
      <c r="Q11" s="15" t="inlineStr">
        <is>
          <t>24100 CE</t>
        </is>
      </c>
      <c r="R11" s="15" t="n">
        <v>18</v>
      </c>
      <c r="S11" s="15" t="n">
        <v>75</v>
      </c>
      <c r="T11" s="15" t="n">
        <v>1350</v>
      </c>
      <c r="U11" s="15" t="n">
        <v>35</v>
      </c>
      <c r="V11" s="15" t="n">
        <v>24.5</v>
      </c>
      <c r="W11" s="15" t="n">
        <v>47250</v>
      </c>
      <c r="X11" s="15" t="n">
        <v>47304.64</v>
      </c>
      <c r="Y11" s="15" t="n">
        <v>87750</v>
      </c>
      <c r="Z11" s="15" t="n">
        <v>14175</v>
      </c>
      <c r="AA11" s="15" t="n">
        <v>14175</v>
      </c>
      <c r="AB11" s="15" t="n">
        <v>-14175</v>
      </c>
      <c r="AC11" s="15" t="n">
        <v>-30</v>
      </c>
      <c r="AD11" s="15" t="n">
        <v>40</v>
      </c>
      <c r="AE11" s="15" t="n">
        <v>5.91</v>
      </c>
      <c r="AF11" s="15" t="n">
        <v>0.09</v>
      </c>
      <c r="AG11" s="15" t="n">
        <v>1.42</v>
      </c>
      <c r="AH11" s="15" t="n">
        <v>7.22</v>
      </c>
      <c r="AI11" s="15" t="n">
        <v>54.64</v>
      </c>
      <c r="AJ11" s="15" t="n">
        <v>-14229.64</v>
      </c>
      <c r="AK11" s="15" t="inlineStr">
        <is>
          <t>STOP LOSS</t>
        </is>
      </c>
      <c r="AL11" s="15" t="n">
        <v>50000</v>
      </c>
      <c r="AM11" s="15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NIFTY</t>
        </is>
      </c>
      <c r="C12" s="17" t="inlineStr">
        <is>
          <t>Both Spreads</t>
        </is>
      </c>
      <c r="D12" s="17" t="inlineStr">
        <is>
          <t>Bear Put Spread</t>
        </is>
      </c>
      <c r="E12" s="17" t="inlineStr">
        <is>
          <t>SKIP</t>
        </is>
      </c>
      <c r="F12" s="17" t="inlineStr">
        <is>
          <t>Conflicting — Price:BEARISH EMA:BULLISH</t>
        </is>
      </c>
      <c r="G12" s="17" t="n">
        <v>23824.22</v>
      </c>
      <c r="H12" s="17" t="n">
        <v>23714.31</v>
      </c>
      <c r="I12" s="17" t="inlineStr">
        <is>
          <t>2026-06-25</t>
        </is>
      </c>
      <c r="J12" s="17" t="inlineStr">
        <is>
          <t>WEEKLY</t>
        </is>
      </c>
      <c r="K12" s="17" t="n">
        <v>3</v>
      </c>
      <c r="L12" s="17" t="inlineStr">
        <is>
          <t>09:20 IST</t>
        </is>
      </c>
      <c r="M12" s="17" t="inlineStr">
        <is>
          <t>10:07 IST</t>
        </is>
      </c>
      <c r="N12" s="17" t="n">
        <v>24013.1</v>
      </c>
      <c r="O12" s="17" t="n">
        <v>24168</v>
      </c>
      <c r="P12" s="17" t="inlineStr">
        <is>
          <t>24100 PE</t>
        </is>
      </c>
      <c r="Q12" s="17" t="inlineStr">
        <is>
          <t>24000 PE</t>
        </is>
      </c>
      <c r="R12" s="17" t="n">
        <v>17</v>
      </c>
      <c r="S12" s="17" t="n">
        <v>75</v>
      </c>
      <c r="T12" s="17" t="n">
        <v>1275</v>
      </c>
      <c r="U12" s="17" t="n">
        <v>37.94</v>
      </c>
      <c r="V12" s="17" t="n">
        <v>49.32</v>
      </c>
      <c r="W12" s="17" t="n">
        <v>48373.5</v>
      </c>
      <c r="X12" s="17" t="n">
        <v>48428.31</v>
      </c>
      <c r="Y12" s="17" t="n">
        <v>79126.5</v>
      </c>
      <c r="Z12" s="17" t="n">
        <v>14512.05</v>
      </c>
      <c r="AA12" s="17" t="n">
        <v>14512.05</v>
      </c>
      <c r="AB12" s="17" t="n">
        <v>14509.5</v>
      </c>
      <c r="AC12" s="17" t="n">
        <v>30</v>
      </c>
      <c r="AD12" s="17" t="n">
        <v>40</v>
      </c>
      <c r="AE12" s="17" t="n">
        <v>6.05</v>
      </c>
      <c r="AF12" s="17" t="n">
        <v>0.1</v>
      </c>
      <c r="AG12" s="17" t="n">
        <v>1.45</v>
      </c>
      <c r="AH12" s="17" t="n">
        <v>7.22</v>
      </c>
      <c r="AI12" s="17" t="n">
        <v>54.81</v>
      </c>
      <c r="AJ12" s="17" t="n">
        <v>14454.69</v>
      </c>
      <c r="AK12" s="17" t="inlineStr">
        <is>
          <t>PROFIT</t>
        </is>
      </c>
      <c r="AL12" s="17" t="n">
        <v>50000</v>
      </c>
      <c r="AM12" s="17" t="inlineStr">
        <is>
          <t>PAPER TRADING</t>
        </is>
      </c>
    </row>
    <row r="13">
      <c r="A13" s="17" t="inlineStr">
        <is>
          <t>2026-06-23</t>
        </is>
      </c>
      <c r="B13" s="17" t="inlineStr">
        <is>
          <t>NIFTY</t>
        </is>
      </c>
      <c r="C13" s="17" t="inlineStr">
        <is>
          <t>Both Spreads</t>
        </is>
      </c>
      <c r="D13" s="17" t="inlineStr">
        <is>
          <t>Bull Call Spread</t>
        </is>
      </c>
      <c r="E13" s="17" t="inlineStr">
        <is>
          <t>SKIP</t>
        </is>
      </c>
      <c r="F13" s="17" t="inlineStr">
        <is>
          <t>Conflicting — Price:BEARISH EMA:BULLISH</t>
        </is>
      </c>
      <c r="G13" s="17" t="n">
        <v>23824.22</v>
      </c>
      <c r="H13" s="17" t="n">
        <v>23714.31</v>
      </c>
      <c r="I13" s="17" t="inlineStr">
        <is>
          <t>2026-06-25</t>
        </is>
      </c>
      <c r="J13" s="17" t="inlineStr">
        <is>
          <t>WEEKLY</t>
        </is>
      </c>
      <c r="K13" s="17" t="n">
        <v>3</v>
      </c>
      <c r="L13" s="17" t="inlineStr">
        <is>
          <t>09:20 IST</t>
        </is>
      </c>
      <c r="M13" s="17" t="inlineStr">
        <is>
          <t>11:33 IST</t>
        </is>
      </c>
      <c r="N13" s="17" t="n">
        <v>24013.1</v>
      </c>
      <c r="O13" s="17" t="n">
        <v>24168</v>
      </c>
      <c r="P13" s="17" t="inlineStr">
        <is>
          <t>24000 CE</t>
        </is>
      </c>
      <c r="Q13" s="17" t="inlineStr">
        <is>
          <t>24100 CE</t>
        </is>
      </c>
      <c r="R13" s="17" t="n">
        <v>20</v>
      </c>
      <c r="S13" s="17" t="n">
        <v>75</v>
      </c>
      <c r="T13" s="17" t="n">
        <v>1500</v>
      </c>
      <c r="U13" s="17" t="n">
        <v>32.72</v>
      </c>
      <c r="V13" s="17" t="n">
        <v>42.54</v>
      </c>
      <c r="W13" s="17" t="n">
        <v>49080</v>
      </c>
      <c r="X13" s="17" t="n">
        <v>49134.92</v>
      </c>
      <c r="Y13" s="17" t="n">
        <v>100920</v>
      </c>
      <c r="Z13" s="17" t="n">
        <v>14724</v>
      </c>
      <c r="AA13" s="17" t="n">
        <v>14724</v>
      </c>
      <c r="AB13" s="17" t="n">
        <v>14730</v>
      </c>
      <c r="AC13" s="17" t="n">
        <v>30</v>
      </c>
      <c r="AD13" s="17" t="n">
        <v>40</v>
      </c>
      <c r="AE13" s="17" t="n">
        <v>6.13</v>
      </c>
      <c r="AF13" s="17" t="n">
        <v>0.1</v>
      </c>
      <c r="AG13" s="17" t="n">
        <v>1.47</v>
      </c>
      <c r="AH13" s="17" t="n">
        <v>7.22</v>
      </c>
      <c r="AI13" s="17" t="n">
        <v>54.92</v>
      </c>
      <c r="AJ13" s="17" t="n">
        <v>14675.08</v>
      </c>
      <c r="AK13" s="17" t="inlineStr">
        <is>
          <t>PROFIT</t>
        </is>
      </c>
      <c r="AL13" s="17" t="n">
        <v>50000</v>
      </c>
      <c r="AM13" s="17" t="inlineStr">
        <is>
          <t>PAPER TRADING</t>
        </is>
      </c>
    </row>
    <row r="14">
      <c r="A14" s="15" t="inlineStr">
        <is>
          <t>2026-06-23</t>
        </is>
      </c>
      <c r="B14" s="15" t="inlineStr">
        <is>
          <t>NIFTY</t>
        </is>
      </c>
      <c r="C14" s="15" t="inlineStr">
        <is>
          <t>Both Spreads</t>
        </is>
      </c>
      <c r="D14" s="15" t="inlineStr">
        <is>
          <t>Bear Put Spread</t>
        </is>
      </c>
      <c r="E14" s="15" t="inlineStr">
        <is>
          <t>SKIP</t>
        </is>
      </c>
      <c r="F14" s="15" t="inlineStr">
        <is>
          <t>Conflicting — Price:BEARISH EMA:BULLISH</t>
        </is>
      </c>
      <c r="G14" s="15" t="n">
        <v>23824.22</v>
      </c>
      <c r="H14" s="15" t="n">
        <v>23714.31</v>
      </c>
      <c r="I14" s="15" t="inlineStr">
        <is>
          <t>2026-06-25</t>
        </is>
      </c>
      <c r="J14" s="15" t="inlineStr">
        <is>
          <t>WEEKLY</t>
        </is>
      </c>
      <c r="K14" s="15" t="n">
        <v>3</v>
      </c>
      <c r="L14" s="15" t="inlineStr">
        <is>
          <t>09:20 IST</t>
        </is>
      </c>
      <c r="M14" s="15" t="inlineStr">
        <is>
          <t>09:34 IST</t>
        </is>
      </c>
      <c r="N14" s="15" t="n">
        <v>24013.1</v>
      </c>
      <c r="O14" s="15" t="n">
        <v>24168</v>
      </c>
      <c r="P14" s="15" t="inlineStr">
        <is>
          <t>24100 PE</t>
        </is>
      </c>
      <c r="Q14" s="15" t="inlineStr">
        <is>
          <t>24000 PE</t>
        </is>
      </c>
      <c r="R14" s="15" t="n">
        <v>21</v>
      </c>
      <c r="S14" s="15" t="n">
        <v>75</v>
      </c>
      <c r="T14" s="15" t="n">
        <v>1575</v>
      </c>
      <c r="U14" s="15" t="n">
        <v>30.41</v>
      </c>
      <c r="V14" s="15" t="n">
        <v>21.29</v>
      </c>
      <c r="W14" s="15" t="n">
        <v>47895.75</v>
      </c>
      <c r="X14" s="15" t="n">
        <v>47950.49</v>
      </c>
      <c r="Y14" s="15" t="n">
        <v>109604.25</v>
      </c>
      <c r="Z14" s="15" t="n">
        <v>14368.73</v>
      </c>
      <c r="AA14" s="15" t="n">
        <v>14368.73</v>
      </c>
      <c r="AB14" s="15" t="n">
        <v>-14364</v>
      </c>
      <c r="AC14" s="15" t="n">
        <v>-30</v>
      </c>
      <c r="AD14" s="15" t="n">
        <v>40</v>
      </c>
      <c r="AE14" s="15" t="n">
        <v>5.99</v>
      </c>
      <c r="AF14" s="15" t="n">
        <v>0.1</v>
      </c>
      <c r="AG14" s="15" t="n">
        <v>1.44</v>
      </c>
      <c r="AH14" s="15" t="n">
        <v>7.22</v>
      </c>
      <c r="AI14" s="15" t="n">
        <v>54.74</v>
      </c>
      <c r="AJ14" s="15" t="n">
        <v>-14418.74</v>
      </c>
      <c r="AK14" s="15" t="inlineStr">
        <is>
          <t>STOP LOSS</t>
        </is>
      </c>
      <c r="AL14" s="15" t="n">
        <v>50000</v>
      </c>
      <c r="AM14" s="15" t="inlineStr">
        <is>
          <t>PAPER TRADING</t>
        </is>
      </c>
    </row>
    <row r="15">
      <c r="A15" s="15" t="inlineStr">
        <is>
          <t>2026-06-23</t>
        </is>
      </c>
      <c r="B15" s="15" t="inlineStr">
        <is>
          <t>NIFTY</t>
        </is>
      </c>
      <c r="C15" s="15" t="inlineStr">
        <is>
          <t>Both Spreads</t>
        </is>
      </c>
      <c r="D15" s="15" t="inlineStr">
        <is>
          <t>Bull Call Spread</t>
        </is>
      </c>
      <c r="E15" s="15" t="inlineStr">
        <is>
          <t>SKIP</t>
        </is>
      </c>
      <c r="F15" s="15" t="inlineStr">
        <is>
          <t>Conflicting — Price:BEARISH EMA:BULLISH</t>
        </is>
      </c>
      <c r="G15" s="15" t="n">
        <v>23868.63</v>
      </c>
      <c r="H15" s="15" t="n">
        <v>23767.86</v>
      </c>
      <c r="I15" s="15" t="inlineStr">
        <is>
          <t>2026-06-25</t>
        </is>
      </c>
      <c r="J15" s="15" t="inlineStr">
        <is>
          <t>WEEKLY</t>
        </is>
      </c>
      <c r="K15" s="15" t="n">
        <v>2</v>
      </c>
      <c r="L15" s="15" t="inlineStr">
        <is>
          <t>09:20 IST</t>
        </is>
      </c>
      <c r="M15" s="15" t="inlineStr">
        <is>
          <t>10:06 IST</t>
        </is>
      </c>
      <c r="N15" s="15" t="n">
        <v>23824.1</v>
      </c>
      <c r="O15" s="15" t="n">
        <v>24102.9</v>
      </c>
      <c r="P15" s="15" t="inlineStr">
        <is>
          <t>23800 CE</t>
        </is>
      </c>
      <c r="Q15" s="15" t="inlineStr">
        <is>
          <t>23900 CE</t>
        </is>
      </c>
      <c r="R15" s="15" t="n">
        <v>38</v>
      </c>
      <c r="S15" s="15" t="n">
        <v>75</v>
      </c>
      <c r="T15" s="15" t="n">
        <v>2850</v>
      </c>
      <c r="U15" s="15" t="n">
        <v>16.67</v>
      </c>
      <c r="V15" s="15" t="n">
        <v>11.67</v>
      </c>
      <c r="W15" s="15" t="n">
        <v>47509.5</v>
      </c>
      <c r="X15" s="15" t="n">
        <v>47564.18</v>
      </c>
      <c r="Y15" s="15" t="n">
        <v>237490.5</v>
      </c>
      <c r="Z15" s="15" t="n">
        <v>14252.85</v>
      </c>
      <c r="AA15" s="15" t="n">
        <v>14252.85</v>
      </c>
      <c r="AB15" s="15" t="n">
        <v>-14250</v>
      </c>
      <c r="AC15" s="15" t="n">
        <v>-30</v>
      </c>
      <c r="AD15" s="15" t="n">
        <v>40</v>
      </c>
      <c r="AE15" s="15" t="n">
        <v>5.94</v>
      </c>
      <c r="AF15" s="15" t="n">
        <v>0.1</v>
      </c>
      <c r="AG15" s="15" t="n">
        <v>1.43</v>
      </c>
      <c r="AH15" s="15" t="n">
        <v>7.22</v>
      </c>
      <c r="AI15" s="15" t="n">
        <v>54.68</v>
      </c>
      <c r="AJ15" s="15" t="n">
        <v>-14304.68</v>
      </c>
      <c r="AK15" s="15" t="inlineStr">
        <is>
          <t>STOP LOSS</t>
        </is>
      </c>
      <c r="AL15" s="15" t="n">
        <v>50000</v>
      </c>
      <c r="AM15" s="15" t="inlineStr">
        <is>
          <t>PAPER TRADING</t>
        </is>
      </c>
    </row>
    <row r="16">
      <c r="A16" s="15" t="inlineStr">
        <is>
          <t>2026-06-23</t>
        </is>
      </c>
      <c r="B16" s="15" t="inlineStr">
        <is>
          <t>NIFTY</t>
        </is>
      </c>
      <c r="C16" s="15" t="inlineStr">
        <is>
          <t>Both Spreads</t>
        </is>
      </c>
      <c r="D16" s="15" t="inlineStr">
        <is>
          <t>Bear Put Spread</t>
        </is>
      </c>
      <c r="E16" s="15" t="inlineStr">
        <is>
          <t>SKIP</t>
        </is>
      </c>
      <c r="F16" s="15" t="inlineStr">
        <is>
          <t>Conflicting — Price:BEARISH EMA:BULLISH</t>
        </is>
      </c>
      <c r="G16" s="15" t="n">
        <v>23868.63</v>
      </c>
      <c r="H16" s="15" t="n">
        <v>23767.86</v>
      </c>
      <c r="I16" s="15" t="inlineStr">
        <is>
          <t>2026-06-25</t>
        </is>
      </c>
      <c r="J16" s="15" t="inlineStr">
        <is>
          <t>WEEKLY</t>
        </is>
      </c>
      <c r="K16" s="15" t="n">
        <v>2</v>
      </c>
      <c r="L16" s="15" t="inlineStr">
        <is>
          <t>09:20 IST</t>
        </is>
      </c>
      <c r="M16" s="15" t="inlineStr">
        <is>
          <t>11:18 IST</t>
        </is>
      </c>
      <c r="N16" s="15" t="n">
        <v>23824.1</v>
      </c>
      <c r="O16" s="15" t="n">
        <v>24102.9</v>
      </c>
      <c r="P16" s="15" t="inlineStr">
        <is>
          <t>23900 PE</t>
        </is>
      </c>
      <c r="Q16" s="15" t="inlineStr">
        <is>
          <t>23800 PE</t>
        </is>
      </c>
      <c r="R16" s="15" t="n">
        <v>36</v>
      </c>
      <c r="S16" s="15" t="n">
        <v>75</v>
      </c>
      <c r="T16" s="15" t="n">
        <v>2700</v>
      </c>
      <c r="U16" s="15" t="n">
        <v>17.51</v>
      </c>
      <c r="V16" s="15" t="n">
        <v>12.26</v>
      </c>
      <c r="W16" s="15" t="n">
        <v>47277</v>
      </c>
      <c r="X16" s="15" t="n">
        <v>47331.64</v>
      </c>
      <c r="Y16" s="15" t="n">
        <v>222723</v>
      </c>
      <c r="Z16" s="15" t="n">
        <v>14183.1</v>
      </c>
      <c r="AA16" s="15" t="n">
        <v>14183.1</v>
      </c>
      <c r="AB16" s="15" t="n">
        <v>-14175</v>
      </c>
      <c r="AC16" s="15" t="n">
        <v>-30</v>
      </c>
      <c r="AD16" s="15" t="n">
        <v>40</v>
      </c>
      <c r="AE16" s="15" t="n">
        <v>5.91</v>
      </c>
      <c r="AF16" s="15" t="n">
        <v>0.09</v>
      </c>
      <c r="AG16" s="15" t="n">
        <v>1.42</v>
      </c>
      <c r="AH16" s="15" t="n">
        <v>7.22</v>
      </c>
      <c r="AI16" s="15" t="n">
        <v>54.64</v>
      </c>
      <c r="AJ16" s="15" t="n">
        <v>-14229.64</v>
      </c>
      <c r="AK16" s="15" t="inlineStr">
        <is>
          <t>STOP LOSS</t>
        </is>
      </c>
      <c r="AL16" s="15" t="n">
        <v>50000</v>
      </c>
      <c r="AM16" s="15" t="inlineStr">
        <is>
          <t>PAPER TRADING</t>
        </is>
      </c>
    </row>
    <row r="17">
      <c r="A17" s="17" t="inlineStr">
        <is>
          <t>2026-06-24</t>
        </is>
      </c>
      <c r="B17" s="17" t="inlineStr">
        <is>
          <t>NIFTY</t>
        </is>
      </c>
      <c r="C17" s="17" t="inlineStr">
        <is>
          <t>Both Spreads</t>
        </is>
      </c>
      <c r="D17" s="17" t="inlineStr">
        <is>
          <t>Bull Call Spread</t>
        </is>
      </c>
      <c r="E17" s="17" t="inlineStr">
        <is>
          <t>BULLISH</t>
        </is>
      </c>
      <c r="F17" s="17" t="inlineStr">
        <is>
          <t>Price↑(24102.9&gt;24013.1) &amp; EMA9↑(23879.76&gt;23762.23)</t>
        </is>
      </c>
      <c r="G17" s="17" t="n">
        <v>23879.76</v>
      </c>
      <c r="H17" s="17" t="n">
        <v>23762.23</v>
      </c>
      <c r="I17" s="17" t="inlineStr">
        <is>
          <t>2026-06-25</t>
        </is>
      </c>
      <c r="J17" s="17" t="inlineStr">
        <is>
          <t>WEEKLY</t>
        </is>
      </c>
      <c r="K17" s="17" t="n">
        <v>2</v>
      </c>
      <c r="L17" s="17" t="inlineStr">
        <is>
          <t>09:20 IST</t>
        </is>
      </c>
      <c r="M17" s="17" t="inlineStr">
        <is>
          <t>10:14 IST</t>
        </is>
      </c>
      <c r="N17" s="17" t="n">
        <v>24102.9</v>
      </c>
      <c r="O17" s="17" t="n">
        <v>24013.1</v>
      </c>
      <c r="P17" s="17" t="inlineStr">
        <is>
          <t>24100 CE</t>
        </is>
      </c>
      <c r="Q17" s="17" t="inlineStr">
        <is>
          <t>24200 CE</t>
        </is>
      </c>
      <c r="R17" s="17" t="n">
        <v>38</v>
      </c>
      <c r="S17" s="17" t="n">
        <v>75</v>
      </c>
      <c r="T17" s="17" t="n">
        <v>2850</v>
      </c>
      <c r="U17" s="17" t="n">
        <v>16.84</v>
      </c>
      <c r="V17" s="17" t="n">
        <v>21.89</v>
      </c>
      <c r="W17" s="17" t="n">
        <v>47994</v>
      </c>
      <c r="X17" s="17" t="n">
        <v>48048.75</v>
      </c>
      <c r="Y17" s="17" t="n">
        <v>237006</v>
      </c>
      <c r="Z17" s="17" t="n">
        <v>14398.2</v>
      </c>
      <c r="AA17" s="17" t="n">
        <v>14398.2</v>
      </c>
      <c r="AB17" s="17" t="n">
        <v>14392.5</v>
      </c>
      <c r="AC17" s="17" t="n">
        <v>30</v>
      </c>
      <c r="AD17" s="17" t="n">
        <v>40</v>
      </c>
      <c r="AE17" s="17" t="n">
        <v>6</v>
      </c>
      <c r="AF17" s="17" t="n">
        <v>0.1</v>
      </c>
      <c r="AG17" s="17" t="n">
        <v>1.44</v>
      </c>
      <c r="AH17" s="17" t="n">
        <v>7.22</v>
      </c>
      <c r="AI17" s="17" t="n">
        <v>54.75</v>
      </c>
      <c r="AJ17" s="17" t="n">
        <v>14337.75</v>
      </c>
      <c r="AK17" s="17" t="inlineStr">
        <is>
          <t>PROFIT</t>
        </is>
      </c>
      <c r="AL17" s="17" t="n">
        <v>50000</v>
      </c>
      <c r="AM17" s="17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Price↑(24102.9&gt;24013.1) &amp; EMA9↑(23879.76&gt;23762.23)</t>
        </is>
      </c>
      <c r="G18" s="17" t="n">
        <v>23879.76</v>
      </c>
      <c r="H18" s="17" t="n">
        <v>23762.23</v>
      </c>
      <c r="I18" s="17" t="inlineStr">
        <is>
          <t>2026-06-25</t>
        </is>
      </c>
      <c r="J18" s="17" t="inlineStr">
        <is>
          <t>WEEKLY</t>
        </is>
      </c>
      <c r="K18" s="17" t="n">
        <v>2</v>
      </c>
      <c r="L18" s="17" t="inlineStr">
        <is>
          <t>09:20 IST</t>
        </is>
      </c>
      <c r="M18" s="17" t="inlineStr">
        <is>
          <t>11:50 IST</t>
        </is>
      </c>
      <c r="N18" s="17" t="n">
        <v>24102.9</v>
      </c>
      <c r="O18" s="17" t="n">
        <v>24013.1</v>
      </c>
      <c r="P18" s="17" t="inlineStr">
        <is>
          <t>24200 PE</t>
        </is>
      </c>
      <c r="Q18" s="17" t="inlineStr">
        <is>
          <t>24100 PE</t>
        </is>
      </c>
      <c r="R18" s="17" t="n">
        <v>28</v>
      </c>
      <c r="S18" s="17" t="n">
        <v>75</v>
      </c>
      <c r="T18" s="17" t="n">
        <v>2100</v>
      </c>
      <c r="U18" s="17" t="n">
        <v>22.82</v>
      </c>
      <c r="V18" s="17" t="n">
        <v>29.67</v>
      </c>
      <c r="W18" s="17" t="n">
        <v>47922</v>
      </c>
      <c r="X18" s="17" t="n">
        <v>47976.74</v>
      </c>
      <c r="Y18" s="17" t="n">
        <v>162078</v>
      </c>
      <c r="Z18" s="17" t="n">
        <v>14376.6</v>
      </c>
      <c r="AA18" s="17" t="n">
        <v>14376.6</v>
      </c>
      <c r="AB18" s="17" t="n">
        <v>14385</v>
      </c>
      <c r="AC18" s="17" t="n">
        <v>30</v>
      </c>
      <c r="AD18" s="17" t="n">
        <v>40</v>
      </c>
      <c r="AE18" s="17" t="n">
        <v>5.99</v>
      </c>
      <c r="AF18" s="17" t="n">
        <v>0.1</v>
      </c>
      <c r="AG18" s="17" t="n">
        <v>1.44</v>
      </c>
      <c r="AH18" s="17" t="n">
        <v>7.22</v>
      </c>
      <c r="AI18" s="17" t="n">
        <v>54.74</v>
      </c>
      <c r="AJ18" s="17" t="n">
        <v>14330.26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Price↑(24021.65&gt;23824.1) &amp; EMA9↑(23899.33&gt;23791.89)</t>
        </is>
      </c>
      <c r="H19" s="17" t="n">
        <v>23899.33</v>
      </c>
      <c r="I19" s="17" t="n">
        <v>23791.89</v>
      </c>
      <c r="J19" s="17" t="inlineStr">
        <is>
          <t>2026-06-25</t>
        </is>
      </c>
      <c r="K19" s="17" t="inlineStr">
        <is>
          <t>WEEKLY</t>
        </is>
      </c>
      <c r="L19" s="17" t="n">
        <v>1</v>
      </c>
      <c r="M19" s="17" t="inlineStr">
        <is>
          <t>09:20 IST</t>
        </is>
      </c>
      <c r="N19" s="17" t="inlineStr">
        <is>
          <t>10:09 IST</t>
        </is>
      </c>
      <c r="O19" s="17" t="n">
        <v>24021.65</v>
      </c>
      <c r="P19" s="17" t="n">
        <v>23824.1</v>
      </c>
      <c r="Q19" s="17" t="inlineStr">
        <is>
          <t>24000 CE</t>
        </is>
      </c>
      <c r="R19" s="17" t="inlineStr">
        <is>
          <t>24100 CE</t>
        </is>
      </c>
      <c r="S19" s="17" t="n">
        <v>44</v>
      </c>
      <c r="T19" s="17" t="n">
        <v>65</v>
      </c>
      <c r="U19" s="17" t="n">
        <v>2860</v>
      </c>
      <c r="V19" s="17" t="n">
        <v>16.56</v>
      </c>
      <c r="W19" s="17" t="n">
        <v>21.53</v>
      </c>
      <c r="X19" s="17" t="n">
        <v>47361.6</v>
      </c>
      <c r="Y19" s="17" t="n">
        <v>47416.25</v>
      </c>
      <c r="Z19" s="17" t="n">
        <v>238638.4</v>
      </c>
      <c r="AA19" s="17" t="n">
        <v>14208.48</v>
      </c>
      <c r="AB19" s="17" t="n">
        <v>14208.48</v>
      </c>
      <c r="AC19" s="17" t="n">
        <v>14214.2</v>
      </c>
      <c r="AD19" s="17" t="n">
        <v>30</v>
      </c>
      <c r="AE19" s="17" t="n">
        <v>40</v>
      </c>
      <c r="AF19" s="17" t="n">
        <v>5.92</v>
      </c>
      <c r="AG19" s="17" t="n">
        <v>0.09</v>
      </c>
      <c r="AH19" s="17" t="n">
        <v>1.42</v>
      </c>
      <c r="AI19" s="17" t="n">
        <v>7.22</v>
      </c>
      <c r="AJ19" s="17" t="n">
        <v>54.65</v>
      </c>
      <c r="AK19" s="17" t="n">
        <v>14159.55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2026-06-24</t>
        </is>
      </c>
      <c r="B20" s="17" t="inlineStr">
        <is>
          <t>NIFTY</t>
        </is>
      </c>
      <c r="C20" s="17" t="inlineStr">
        <is>
          <t>Both Spreads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BULLISH</t>
        </is>
      </c>
      <c r="G20" s="17" t="inlineStr">
        <is>
          <t>Price↑(24021.65&gt;23824.1) &amp; EMA9↑(23899.33&gt;23791.89)</t>
        </is>
      </c>
      <c r="H20" s="17" t="n">
        <v>23899.33</v>
      </c>
      <c r="I20" s="17" t="n">
        <v>23791.89</v>
      </c>
      <c r="J20" s="17" t="inlineStr">
        <is>
          <t>2026-06-25</t>
        </is>
      </c>
      <c r="K20" s="17" t="inlineStr">
        <is>
          <t>WEEKLY</t>
        </is>
      </c>
      <c r="L20" s="17" t="n">
        <v>1</v>
      </c>
      <c r="M20" s="17" t="inlineStr">
        <is>
          <t>09:20 IST</t>
        </is>
      </c>
      <c r="N20" s="17" t="inlineStr">
        <is>
          <t>11:13 IST</t>
        </is>
      </c>
      <c r="O20" s="17" t="n">
        <v>24021.65</v>
      </c>
      <c r="P20" s="17" t="n">
        <v>23824.1</v>
      </c>
      <c r="Q20" s="17" t="inlineStr">
        <is>
          <t>24100 PE</t>
        </is>
      </c>
      <c r="R20" s="17" t="inlineStr">
        <is>
          <t>24000 PE</t>
        </is>
      </c>
      <c r="S20" s="17" t="n">
        <v>34</v>
      </c>
      <c r="T20" s="17" t="n">
        <v>65</v>
      </c>
      <c r="U20" s="17" t="n">
        <v>2210</v>
      </c>
      <c r="V20" s="17" t="n">
        <v>21.58</v>
      </c>
      <c r="W20" s="17" t="n">
        <v>28.05</v>
      </c>
      <c r="X20" s="17" t="n">
        <v>47691.8</v>
      </c>
      <c r="Y20" s="17" t="n">
        <v>47746.5</v>
      </c>
      <c r="Z20" s="17" t="n">
        <v>173308.2</v>
      </c>
      <c r="AA20" s="17" t="n">
        <v>14307.54</v>
      </c>
      <c r="AB20" s="17" t="n">
        <v>14307.54</v>
      </c>
      <c r="AC20" s="17" t="n">
        <v>14298.7</v>
      </c>
      <c r="AD20" s="17" t="n">
        <v>30</v>
      </c>
      <c r="AE20" s="17" t="n">
        <v>40</v>
      </c>
      <c r="AF20" s="17" t="n">
        <v>5.96</v>
      </c>
      <c r="AG20" s="17" t="n">
        <v>0.1</v>
      </c>
      <c r="AH20" s="17" t="n">
        <v>1.43</v>
      </c>
      <c r="AI20" s="17" t="n">
        <v>7.22</v>
      </c>
      <c r="AJ20" s="17" t="n">
        <v>54.7</v>
      </c>
      <c r="AK20" s="17" t="n">
        <v>14244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2026-06-25</t>
        </is>
      </c>
      <c r="B21" s="15" t="inlineStr">
        <is>
          <t>NIFTY</t>
        </is>
      </c>
      <c r="C21" s="15" t="inlineStr">
        <is>
          <t>Both Spreads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SKIP</t>
        </is>
      </c>
      <c r="G21" s="15" t="inlineStr">
        <is>
          <t>Conflicting — Price:BEARISH EMA:BULLISH</t>
        </is>
      </c>
      <c r="H21" s="15" t="n">
        <v>23868.74</v>
      </c>
      <c r="I21" s="15" t="n">
        <v>23768.91</v>
      </c>
      <c r="J21" s="15" t="inlineStr">
        <is>
          <t>2026-06-25</t>
        </is>
      </c>
      <c r="K21" s="15" t="inlineStr">
        <is>
          <t>WEEKLY</t>
        </is>
      </c>
      <c r="L21" s="15" t="n">
        <v>1</v>
      </c>
      <c r="M21" s="15" t="inlineStr">
        <is>
          <t>09:20 IST</t>
        </is>
      </c>
      <c r="N21" s="15" t="inlineStr">
        <is>
          <t>10:44 IST</t>
        </is>
      </c>
      <c r="O21" s="15" t="n">
        <v>23824.1</v>
      </c>
      <c r="P21" s="15" t="n">
        <v>24102.9</v>
      </c>
      <c r="Q21" s="15" t="inlineStr">
        <is>
          <t>23800 CE</t>
        </is>
      </c>
      <c r="R21" s="15" t="inlineStr">
        <is>
          <t>23900 CE</t>
        </is>
      </c>
      <c r="S21" s="15" t="n">
        <v>37</v>
      </c>
      <c r="T21" s="15" t="n">
        <v>65</v>
      </c>
      <c r="U21" s="15" t="n">
        <v>2405</v>
      </c>
      <c r="V21" s="15" t="n">
        <v>19.99</v>
      </c>
      <c r="W21" s="15" t="n">
        <v>13.99</v>
      </c>
      <c r="X21" s="15" t="n">
        <v>48075.95</v>
      </c>
      <c r="Y21" s="15" t="n">
        <v>48130.72</v>
      </c>
      <c r="Z21" s="15" t="n">
        <v>192424.05</v>
      </c>
      <c r="AA21" s="15" t="n">
        <v>14422.78</v>
      </c>
      <c r="AB21" s="15" t="n">
        <v>14422.78</v>
      </c>
      <c r="AC21" s="15" t="n">
        <v>-14430</v>
      </c>
      <c r="AD21" s="15" t="n">
        <v>-30</v>
      </c>
      <c r="AE21" s="15" t="n">
        <v>40</v>
      </c>
      <c r="AF21" s="15" t="n">
        <v>6.01</v>
      </c>
      <c r="AG21" s="15" t="n">
        <v>0.1</v>
      </c>
      <c r="AH21" s="15" t="n">
        <v>1.44</v>
      </c>
      <c r="AI21" s="15" t="n">
        <v>7.22</v>
      </c>
      <c r="AJ21" s="15" t="n">
        <v>54.77</v>
      </c>
      <c r="AK21" s="15" t="n">
        <v>-14484.77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23868.74</v>
      </c>
      <c r="I22" s="16" t="n">
        <v>23768.91</v>
      </c>
      <c r="J22" s="16" t="inlineStr">
        <is>
          <t>2026-06-25</t>
        </is>
      </c>
      <c r="K22" s="16" t="inlineStr">
        <is>
          <t>WEEKLY</t>
        </is>
      </c>
      <c r="L22" s="16" t="n">
        <v>1</v>
      </c>
      <c r="M22" s="16" t="inlineStr">
        <is>
          <t>09:20 IST</t>
        </is>
      </c>
      <c r="N22" s="16" t="inlineStr">
        <is>
          <t>14:59 IST</t>
        </is>
      </c>
      <c r="O22" s="16" t="n">
        <v>23824.1</v>
      </c>
      <c r="P22" s="16" t="n">
        <v>24102.9</v>
      </c>
      <c r="Q22" s="16" t="inlineStr">
        <is>
          <t>23900 PE</t>
        </is>
      </c>
      <c r="R22" s="16" t="inlineStr">
        <is>
          <t>23800 PE</t>
        </is>
      </c>
      <c r="S22" s="16" t="n">
        <v>43</v>
      </c>
      <c r="T22" s="16" t="n">
        <v>65</v>
      </c>
      <c r="U22" s="16" t="n">
        <v>2795</v>
      </c>
      <c r="V22" s="16" t="n">
        <v>17.2</v>
      </c>
      <c r="W22" s="16" t="n">
        <v>16.93</v>
      </c>
      <c r="X22" s="16" t="n">
        <v>48074</v>
      </c>
      <c r="Y22" s="16" t="n">
        <v>48128.76</v>
      </c>
      <c r="Z22" s="16" t="n">
        <v>231426</v>
      </c>
      <c r="AA22" s="16" t="n">
        <v>14422.2</v>
      </c>
      <c r="AB22" s="16" t="n">
        <v>14422.2</v>
      </c>
      <c r="AC22" s="16" t="n">
        <v>-754.65</v>
      </c>
      <c r="AD22" s="16" t="n">
        <v>-1.6</v>
      </c>
      <c r="AE22" s="16" t="n">
        <v>40</v>
      </c>
      <c r="AF22" s="16" t="n">
        <v>6.01</v>
      </c>
      <c r="AG22" s="16" t="n">
        <v>0.1</v>
      </c>
      <c r="AH22" s="16" t="n">
        <v>1.44</v>
      </c>
      <c r="AI22" s="16" t="n">
        <v>7.22</v>
      </c>
      <c r="AJ22" s="16" t="n">
        <v>54.76</v>
      </c>
      <c r="AK22" s="16" t="n">
        <v>-809.41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Price↑(24056.0&gt;24021.65) &amp; EMA9↑(23930.53&gt;23806.47)</t>
        </is>
      </c>
      <c r="H23" s="17" t="n">
        <v>23930.53</v>
      </c>
      <c r="I23" s="17" t="n">
        <v>23806.47</v>
      </c>
      <c r="J23" s="17" t="inlineStr">
        <is>
          <t>2026-06-25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11:50 IST</t>
        </is>
      </c>
      <c r="O23" s="17" t="n">
        <v>24056</v>
      </c>
      <c r="P23" s="17" t="n">
        <v>24021.65</v>
      </c>
      <c r="Q23" s="17" t="inlineStr">
        <is>
          <t>24000 CE</t>
        </is>
      </c>
      <c r="R23" s="17" t="inlineStr">
        <is>
          <t>24100 CE</t>
        </is>
      </c>
      <c r="S23" s="17" t="n">
        <v>41</v>
      </c>
      <c r="T23" s="17" t="n">
        <v>65</v>
      </c>
      <c r="U23" s="17" t="n">
        <v>2665</v>
      </c>
      <c r="V23" s="17" t="n">
        <v>18.05</v>
      </c>
      <c r="W23" s="17" t="n">
        <v>23.47</v>
      </c>
      <c r="X23" s="17" t="n">
        <v>48103.25</v>
      </c>
      <c r="Y23" s="17" t="n">
        <v>48158.02</v>
      </c>
      <c r="Z23" s="17" t="n">
        <v>218396.75</v>
      </c>
      <c r="AA23" s="17" t="n">
        <v>14430.98</v>
      </c>
      <c r="AB23" s="17" t="n">
        <v>14430.98</v>
      </c>
      <c r="AC23" s="17" t="n">
        <v>14444.3</v>
      </c>
      <c r="AD23" s="17" t="n">
        <v>30</v>
      </c>
      <c r="AE23" s="17" t="n">
        <v>40</v>
      </c>
      <c r="AF23" s="17" t="n">
        <v>6.01</v>
      </c>
      <c r="AG23" s="17" t="n">
        <v>0.1</v>
      </c>
      <c r="AH23" s="17" t="n">
        <v>1.44</v>
      </c>
      <c r="AI23" s="17" t="n">
        <v>7.22</v>
      </c>
      <c r="AJ23" s="17" t="n">
        <v>54.77</v>
      </c>
      <c r="AK23" s="17" t="n">
        <v>14389.53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2026-06-25</t>
        </is>
      </c>
      <c r="B24" s="17" t="inlineStr">
        <is>
          <t>NIFTY</t>
        </is>
      </c>
      <c r="C24" s="17" t="inlineStr">
        <is>
          <t>Both Spreads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Price↑(24056.0&gt;24021.65) &amp; EMA9↑(23930.53&gt;23806.47)</t>
        </is>
      </c>
      <c r="H24" s="17" t="n">
        <v>23930.53</v>
      </c>
      <c r="I24" s="17" t="n">
        <v>23806.47</v>
      </c>
      <c r="J24" s="17" t="inlineStr">
        <is>
          <t>2026-06-25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11:04 IST</t>
        </is>
      </c>
      <c r="O24" s="17" t="n">
        <v>24056</v>
      </c>
      <c r="P24" s="17" t="n">
        <v>24021.65</v>
      </c>
      <c r="Q24" s="17" t="inlineStr">
        <is>
          <t>24100 PE</t>
        </is>
      </c>
      <c r="R24" s="17" t="inlineStr">
        <is>
          <t>24000 PE</t>
        </is>
      </c>
      <c r="S24" s="17" t="n">
        <v>41</v>
      </c>
      <c r="T24" s="17" t="n">
        <v>65</v>
      </c>
      <c r="U24" s="17" t="n">
        <v>2665</v>
      </c>
      <c r="V24" s="17" t="n">
        <v>17.8</v>
      </c>
      <c r="W24" s="17" t="n">
        <v>23.14</v>
      </c>
      <c r="X24" s="17" t="n">
        <v>47437</v>
      </c>
      <c r="Y24" s="17" t="n">
        <v>47491.66</v>
      </c>
      <c r="Z24" s="17" t="n">
        <v>219063</v>
      </c>
      <c r="AA24" s="17" t="n">
        <v>14231.1</v>
      </c>
      <c r="AB24" s="17" t="n">
        <v>14231.1</v>
      </c>
      <c r="AC24" s="17" t="n">
        <v>14231.1</v>
      </c>
      <c r="AD24" s="17" t="n">
        <v>30</v>
      </c>
      <c r="AE24" s="17" t="n">
        <v>40</v>
      </c>
      <c r="AF24" s="17" t="n">
        <v>5.93</v>
      </c>
      <c r="AG24" s="17" t="n">
        <v>0.09</v>
      </c>
      <c r="AH24" s="17" t="n">
        <v>1.42</v>
      </c>
      <c r="AI24" s="17" t="n">
        <v>7.22</v>
      </c>
      <c r="AJ24" s="17" t="n">
        <v>54.66</v>
      </c>
      <c r="AK24" s="17" t="n">
        <v>14176.44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Price↑(24021.65&gt;23824.1) &amp; EMA9↑(23899.17&gt;23781.51)</t>
        </is>
      </c>
      <c r="H25" s="17" t="n">
        <v>23899.17</v>
      </c>
      <c r="I25" s="17" t="n">
        <v>23781.51</v>
      </c>
      <c r="J25" s="17" t="inlineStr">
        <is>
          <t>2026-06-25</t>
        </is>
      </c>
      <c r="K25" s="17" t="inlineStr">
        <is>
          <t>WEEKLY</t>
        </is>
      </c>
      <c r="L25" s="17" t="n">
        <v>0</v>
      </c>
      <c r="M25" s="17" t="inlineStr">
        <is>
          <t>09:20 IST</t>
        </is>
      </c>
      <c r="N25" s="17" t="inlineStr">
        <is>
          <t>11:42 IST</t>
        </is>
      </c>
      <c r="O25" s="17" t="n">
        <v>24021.65</v>
      </c>
      <c r="P25" s="17" t="n">
        <v>23824.1</v>
      </c>
      <c r="Q25" s="17" t="inlineStr">
        <is>
          <t>24000 CE</t>
        </is>
      </c>
      <c r="R25" s="17" t="inlineStr">
        <is>
          <t>24100 CE</t>
        </is>
      </c>
      <c r="S25" s="17" t="n">
        <v>31</v>
      </c>
      <c r="T25" s="17" t="n">
        <v>65</v>
      </c>
      <c r="U25" s="17" t="n">
        <v>2015</v>
      </c>
      <c r="V25" s="17" t="n">
        <v>24.16</v>
      </c>
      <c r="W25" s="17" t="n">
        <v>31.41</v>
      </c>
      <c r="X25" s="17" t="n">
        <v>48682.4</v>
      </c>
      <c r="Y25" s="17" t="n">
        <v>48737.26</v>
      </c>
      <c r="Z25" s="17" t="n">
        <v>152817.6</v>
      </c>
      <c r="AA25" s="17" t="n">
        <v>14604.72</v>
      </c>
      <c r="AB25" s="17" t="n">
        <v>14604.72</v>
      </c>
      <c r="AC25" s="17" t="n">
        <v>14608.75</v>
      </c>
      <c r="AD25" s="17" t="n">
        <v>30</v>
      </c>
      <c r="AE25" s="17" t="n">
        <v>40</v>
      </c>
      <c r="AF25" s="17" t="n">
        <v>6.09</v>
      </c>
      <c r="AG25" s="17" t="n">
        <v>0.1</v>
      </c>
      <c r="AH25" s="17" t="n">
        <v>1.46</v>
      </c>
      <c r="AI25" s="17" t="n">
        <v>7.22</v>
      </c>
      <c r="AJ25" s="17" t="n">
        <v>54.86</v>
      </c>
      <c r="AK25" s="17" t="n">
        <v>14553.89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2026-06-26</t>
        </is>
      </c>
      <c r="B26" s="17" t="inlineStr">
        <is>
          <t>NIFTY</t>
        </is>
      </c>
      <c r="C26" s="17" t="inlineStr">
        <is>
          <t>Both Spreads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Price↑(24021.65&gt;23824.1) &amp; EMA9↑(23899.17&gt;23781.51)</t>
        </is>
      </c>
      <c r="H26" s="17" t="n">
        <v>23899.17</v>
      </c>
      <c r="I26" s="17" t="n">
        <v>23781.51</v>
      </c>
      <c r="J26" s="17" t="inlineStr">
        <is>
          <t>2026-06-25</t>
        </is>
      </c>
      <c r="K26" s="17" t="inlineStr">
        <is>
          <t>WEEKLY</t>
        </is>
      </c>
      <c r="L26" s="17" t="n">
        <v>0</v>
      </c>
      <c r="M26" s="17" t="inlineStr">
        <is>
          <t>09:20 IST</t>
        </is>
      </c>
      <c r="N26" s="17" t="inlineStr">
        <is>
          <t>09:57 IST</t>
        </is>
      </c>
      <c r="O26" s="17" t="n">
        <v>24021.65</v>
      </c>
      <c r="P26" s="17" t="n">
        <v>23824.1</v>
      </c>
      <c r="Q26" s="17" t="inlineStr">
        <is>
          <t>24100 PE</t>
        </is>
      </c>
      <c r="R26" s="17" t="inlineStr">
        <is>
          <t>24000 PE</t>
        </is>
      </c>
      <c r="S26" s="17" t="n">
        <v>35</v>
      </c>
      <c r="T26" s="17" t="n">
        <v>65</v>
      </c>
      <c r="U26" s="17" t="n">
        <v>2275</v>
      </c>
      <c r="V26" s="17" t="n">
        <v>20.83</v>
      </c>
      <c r="W26" s="17" t="n">
        <v>27.08</v>
      </c>
      <c r="X26" s="17" t="n">
        <v>47388.25</v>
      </c>
      <c r="Y26" s="17" t="n">
        <v>47442.91</v>
      </c>
      <c r="Z26" s="17" t="n">
        <v>180111.75</v>
      </c>
      <c r="AA26" s="17" t="n">
        <v>14216.48</v>
      </c>
      <c r="AB26" s="17" t="n">
        <v>14216.48</v>
      </c>
      <c r="AC26" s="17" t="n">
        <v>14218.75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14164.09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Price↑(24056.0&gt;24021.65) &amp; EMA9↑(23930.98&gt;23794.58)</t>
        </is>
      </c>
      <c r="H27" s="15" t="n">
        <v>23930.98</v>
      </c>
      <c r="I27" s="15" t="n">
        <v>23794.58</v>
      </c>
      <c r="J27" s="15" t="inlineStr">
        <is>
          <t>2026-07-02</t>
        </is>
      </c>
      <c r="K27" s="15" t="inlineStr">
        <is>
          <t>WEEKLY</t>
        </is>
      </c>
      <c r="L27" s="15" t="n">
        <v>6</v>
      </c>
      <c r="M27" s="15" t="inlineStr">
        <is>
          <t>09:20 IST</t>
        </is>
      </c>
      <c r="N27" s="15" t="inlineStr">
        <is>
          <t>09:58 IST</t>
        </is>
      </c>
      <c r="O27" s="15" t="n">
        <v>24056</v>
      </c>
      <c r="P27" s="15" t="n">
        <v>24021.65</v>
      </c>
      <c r="Q27" s="15" t="inlineStr">
        <is>
          <t>24000 CE</t>
        </is>
      </c>
      <c r="R27" s="15" t="inlineStr">
        <is>
          <t>24100 CE</t>
        </is>
      </c>
      <c r="S27" s="15" t="n">
        <v>21</v>
      </c>
      <c r="T27" s="15" t="n">
        <v>65</v>
      </c>
      <c r="U27" s="15" t="n">
        <v>1365</v>
      </c>
      <c r="V27" s="15" t="n">
        <v>34.45</v>
      </c>
      <c r="W27" s="15" t="n">
        <v>24.12</v>
      </c>
      <c r="X27" s="15" t="n">
        <v>47024.25</v>
      </c>
      <c r="Y27" s="15" t="n">
        <v>47078.85</v>
      </c>
      <c r="Z27" s="15" t="n">
        <v>89475.75</v>
      </c>
      <c r="AA27" s="15" t="n">
        <v>14107.27</v>
      </c>
      <c r="AB27" s="15" t="n">
        <v>14107.27</v>
      </c>
      <c r="AC27" s="15" t="n">
        <v>-14100.45</v>
      </c>
      <c r="AD27" s="15" t="n">
        <v>-30</v>
      </c>
      <c r="AE27" s="15" t="n">
        <v>40</v>
      </c>
      <c r="AF27" s="15" t="n">
        <v>5.88</v>
      </c>
      <c r="AG27" s="15" t="n">
        <v>0.09</v>
      </c>
      <c r="AH27" s="15" t="n">
        <v>1.41</v>
      </c>
      <c r="AI27" s="15" t="n">
        <v>7.22</v>
      </c>
      <c r="AJ27" s="15" t="n">
        <v>54.6</v>
      </c>
      <c r="AK27" s="15" t="n">
        <v>-14155.05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2026-06-26</t>
        </is>
      </c>
      <c r="B28" s="17" t="inlineStr">
        <is>
          <t>NIFTY</t>
        </is>
      </c>
      <c r="C28" s="17" t="inlineStr">
        <is>
          <t>Both Spreads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Price↑(24056.0&gt;24021.65) &amp; EMA9↑(23930.98&gt;23794.58)</t>
        </is>
      </c>
      <c r="H28" s="17" t="n">
        <v>23930.98</v>
      </c>
      <c r="I28" s="17" t="n">
        <v>23794.58</v>
      </c>
      <c r="J28" s="17" t="inlineStr">
        <is>
          <t>2026-07-02</t>
        </is>
      </c>
      <c r="K28" s="17" t="inlineStr">
        <is>
          <t>WEEKLY</t>
        </is>
      </c>
      <c r="L28" s="17" t="n">
        <v>6</v>
      </c>
      <c r="M28" s="17" t="inlineStr">
        <is>
          <t>09:20 IST</t>
        </is>
      </c>
      <c r="N28" s="17" t="inlineStr">
        <is>
          <t>10:22 IST</t>
        </is>
      </c>
      <c r="O28" s="17" t="n">
        <v>24056</v>
      </c>
      <c r="P28" s="17" t="n">
        <v>24021.65</v>
      </c>
      <c r="Q28" s="17" t="inlineStr">
        <is>
          <t>24100 PE</t>
        </is>
      </c>
      <c r="R28" s="17" t="inlineStr">
        <is>
          <t>24000 PE</t>
        </is>
      </c>
      <c r="S28" s="17" t="n">
        <v>22</v>
      </c>
      <c r="T28" s="17" t="n">
        <v>65</v>
      </c>
      <c r="U28" s="17" t="n">
        <v>1430</v>
      </c>
      <c r="V28" s="17" t="n">
        <v>33.09</v>
      </c>
      <c r="W28" s="17" t="n">
        <v>43.02</v>
      </c>
      <c r="X28" s="17" t="n">
        <v>47318.7</v>
      </c>
      <c r="Y28" s="17" t="n">
        <v>47373.35</v>
      </c>
      <c r="Z28" s="17" t="n">
        <v>95681.3</v>
      </c>
      <c r="AA28" s="17" t="n">
        <v>14195.61</v>
      </c>
      <c r="AB28" s="17" t="n">
        <v>14195.61</v>
      </c>
      <c r="AC28" s="17" t="n">
        <v>14199.9</v>
      </c>
      <c r="AD28" s="17" t="n">
        <v>30</v>
      </c>
      <c r="AE28" s="17" t="n">
        <v>40</v>
      </c>
      <c r="AF28" s="17" t="n">
        <v>5.91</v>
      </c>
      <c r="AG28" s="17" t="n">
        <v>0.09</v>
      </c>
      <c r="AH28" s="17" t="n">
        <v>1.42</v>
      </c>
      <c r="AI28" s="17" t="n">
        <v>7.22</v>
      </c>
      <c r="AJ28" s="17" t="n">
        <v>54.65</v>
      </c>
      <c r="AK28" s="17" t="n">
        <v>14145.25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Price↑(24056.0&gt;24021.65) &amp; EMA9↑(23930.98&gt;23794.58)</t>
        </is>
      </c>
      <c r="H29" s="17" t="n">
        <v>23930.98</v>
      </c>
      <c r="I29" s="17" t="n">
        <v>23794.58</v>
      </c>
      <c r="J29" s="17" t="inlineStr">
        <is>
          <t>2026-07-02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10:09 IST</t>
        </is>
      </c>
      <c r="O29" s="17" t="n">
        <v>24056</v>
      </c>
      <c r="P29" s="17" t="n">
        <v>24021.65</v>
      </c>
      <c r="Q29" s="17" t="inlineStr">
        <is>
          <t>24000 CE</t>
        </is>
      </c>
      <c r="R29" s="17" t="inlineStr">
        <is>
          <t>24100 CE</t>
        </is>
      </c>
      <c r="S29" s="17" t="n">
        <v>19</v>
      </c>
      <c r="T29" s="17" t="n">
        <v>65</v>
      </c>
      <c r="U29" s="17" t="n">
        <v>1235</v>
      </c>
      <c r="V29" s="17" t="n">
        <v>39.59</v>
      </c>
      <c r="W29" s="17" t="n">
        <v>51.47</v>
      </c>
      <c r="X29" s="17" t="n">
        <v>48893.65</v>
      </c>
      <c r="Y29" s="17" t="n">
        <v>48948.54</v>
      </c>
      <c r="Z29" s="17" t="n">
        <v>74606.35000000001</v>
      </c>
      <c r="AA29" s="17" t="n">
        <v>14668.09</v>
      </c>
      <c r="AB29" s="17" t="n">
        <v>14668.09</v>
      </c>
      <c r="AC29" s="17" t="n">
        <v>14671.8</v>
      </c>
      <c r="AD29" s="17" t="n">
        <v>30</v>
      </c>
      <c r="AE29" s="17" t="n">
        <v>40</v>
      </c>
      <c r="AF29" s="17" t="n">
        <v>6.11</v>
      </c>
      <c r="AG29" s="17" t="n">
        <v>0.1</v>
      </c>
      <c r="AH29" s="17" t="n">
        <v>1.47</v>
      </c>
      <c r="AI29" s="17" t="n">
        <v>7.22</v>
      </c>
      <c r="AJ29" s="17" t="n">
        <v>54.89</v>
      </c>
      <c r="AK29" s="17" t="n">
        <v>14616.91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Price↑(24056.0&gt;24021.65) &amp; EMA9↑(23930.98&gt;23794.58)</t>
        </is>
      </c>
      <c r="H30" s="17" t="n">
        <v>23930.98</v>
      </c>
      <c r="I30" s="17" t="n">
        <v>23794.58</v>
      </c>
      <c r="J30" s="17" t="inlineStr">
        <is>
          <t>2026-07-02</t>
        </is>
      </c>
      <c r="K30" s="17" t="inlineStr">
        <is>
          <t>WEEKLY</t>
        </is>
      </c>
      <c r="L30" s="17" t="n">
        <v>6</v>
      </c>
      <c r="M30" s="17" t="inlineStr">
        <is>
          <t>09:20 IST</t>
        </is>
      </c>
      <c r="N30" s="17" t="inlineStr">
        <is>
          <t>11:12 IST</t>
        </is>
      </c>
      <c r="O30" s="17" t="n">
        <v>24056</v>
      </c>
      <c r="P30" s="17" t="n">
        <v>24021.65</v>
      </c>
      <c r="Q30" s="17" t="inlineStr">
        <is>
          <t>24100 PE</t>
        </is>
      </c>
      <c r="R30" s="17" t="inlineStr">
        <is>
          <t>24000 PE</t>
        </is>
      </c>
      <c r="S30" s="17" t="n">
        <v>21</v>
      </c>
      <c r="T30" s="17" t="n">
        <v>65</v>
      </c>
      <c r="U30" s="17" t="n">
        <v>1365</v>
      </c>
      <c r="V30" s="17" t="n">
        <v>35.93</v>
      </c>
      <c r="W30" s="17" t="n">
        <v>46.71</v>
      </c>
      <c r="X30" s="17" t="n">
        <v>49044.45</v>
      </c>
      <c r="Y30" s="17" t="n">
        <v>49099.37</v>
      </c>
      <c r="Z30" s="17" t="n">
        <v>87455.55</v>
      </c>
      <c r="AA30" s="17" t="n">
        <v>14713.33</v>
      </c>
      <c r="AB30" s="17" t="n">
        <v>14713.33</v>
      </c>
      <c r="AC30" s="17" t="n">
        <v>14714.7</v>
      </c>
      <c r="AD30" s="17" t="n">
        <v>30</v>
      </c>
      <c r="AE30" s="17" t="n">
        <v>40</v>
      </c>
      <c r="AF30" s="17" t="n">
        <v>6.13</v>
      </c>
      <c r="AG30" s="17" t="n">
        <v>0.1</v>
      </c>
      <c r="AH30" s="17" t="n">
        <v>1.47</v>
      </c>
      <c r="AI30" s="17" t="n">
        <v>7.22</v>
      </c>
      <c r="AJ30" s="17" t="n">
        <v>54.92</v>
      </c>
      <c r="AK30" s="17" t="n">
        <v>14659.78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23934.65</v>
      </c>
      <c r="I31" s="16" t="n">
        <v>23794.94</v>
      </c>
      <c r="J31" s="16" t="inlineStr">
        <is>
          <t>2026-07-02</t>
        </is>
      </c>
      <c r="K31" s="16" t="inlineStr">
        <is>
          <t>WEEKLY</t>
        </is>
      </c>
      <c r="L31" s="16" t="n">
        <v>3</v>
      </c>
      <c r="M31" s="16" t="inlineStr">
        <is>
          <t>09:20 IST</t>
        </is>
      </c>
      <c r="N31" s="16" t="inlineStr">
        <is>
          <t>14:07 IST</t>
        </is>
      </c>
      <c r="O31" s="16" t="n">
        <v>23946.25</v>
      </c>
      <c r="P31" s="16" t="n">
        <v>24056</v>
      </c>
      <c r="Q31" s="16" t="inlineStr">
        <is>
          <t>23900 CE</t>
        </is>
      </c>
      <c r="R31" s="16" t="inlineStr">
        <is>
          <t>24000 CE</t>
        </is>
      </c>
      <c r="S31" s="16" t="n">
        <v>23</v>
      </c>
      <c r="T31" s="16" t="n">
        <v>65</v>
      </c>
      <c r="U31" s="16" t="n">
        <v>1495</v>
      </c>
      <c r="V31" s="16" t="n">
        <v>31.78</v>
      </c>
      <c r="W31" s="16" t="n">
        <v>31.9</v>
      </c>
      <c r="X31" s="16" t="n">
        <v>47511.1</v>
      </c>
      <c r="Y31" s="16" t="n">
        <v>47565.78</v>
      </c>
      <c r="Z31" s="16" t="n">
        <v>101988.9</v>
      </c>
      <c r="AA31" s="16" t="n">
        <v>14253.33</v>
      </c>
      <c r="AB31" s="16" t="n">
        <v>14253.33</v>
      </c>
      <c r="AC31" s="16" t="n">
        <v>179.4</v>
      </c>
      <c r="AD31" s="16" t="n">
        <v>0.4</v>
      </c>
      <c r="AE31" s="16" t="n">
        <v>40</v>
      </c>
      <c r="AF31" s="16" t="n">
        <v>5.94</v>
      </c>
      <c r="AG31" s="16" t="n">
        <v>0.1</v>
      </c>
      <c r="AH31" s="16" t="n">
        <v>1.43</v>
      </c>
      <c r="AI31" s="16" t="n">
        <v>7.22</v>
      </c>
      <c r="AJ31" s="16" t="n">
        <v>54.68</v>
      </c>
      <c r="AK31" s="16" t="n">
        <v>124.72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23934.65</v>
      </c>
      <c r="I32" s="15" t="n">
        <v>23794.94</v>
      </c>
      <c r="J32" s="15" t="inlineStr">
        <is>
          <t>2026-07-02</t>
        </is>
      </c>
      <c r="K32" s="15" t="inlineStr">
        <is>
          <t>WEEKLY</t>
        </is>
      </c>
      <c r="L32" s="15" t="n">
        <v>3</v>
      </c>
      <c r="M32" s="15" t="inlineStr">
        <is>
          <t>09:20 IST</t>
        </is>
      </c>
      <c r="N32" s="15" t="inlineStr">
        <is>
          <t>10:02 IST</t>
        </is>
      </c>
      <c r="O32" s="15" t="n">
        <v>23946.25</v>
      </c>
      <c r="P32" s="15" t="n">
        <v>24056</v>
      </c>
      <c r="Q32" s="15" t="inlineStr">
        <is>
          <t>24000 PE</t>
        </is>
      </c>
      <c r="R32" s="15" t="inlineStr">
        <is>
          <t>23900 PE</t>
        </is>
      </c>
      <c r="S32" s="15" t="n">
        <v>23</v>
      </c>
      <c r="T32" s="15" t="n">
        <v>65</v>
      </c>
      <c r="U32" s="15" t="n">
        <v>1495</v>
      </c>
      <c r="V32" s="15" t="n">
        <v>32.25</v>
      </c>
      <c r="W32" s="15" t="n">
        <v>22.57</v>
      </c>
      <c r="X32" s="15" t="n">
        <v>48213.75</v>
      </c>
      <c r="Y32" s="15" t="n">
        <v>48268.54</v>
      </c>
      <c r="Z32" s="15" t="n">
        <v>101286.25</v>
      </c>
      <c r="AA32" s="15" t="n">
        <v>14464.12</v>
      </c>
      <c r="AB32" s="15" t="n">
        <v>14464.12</v>
      </c>
      <c r="AC32" s="15" t="n">
        <v>-14471.6</v>
      </c>
      <c r="AD32" s="15" t="n">
        <v>-30</v>
      </c>
      <c r="AE32" s="15" t="n">
        <v>40</v>
      </c>
      <c r="AF32" s="15" t="n">
        <v>6.03</v>
      </c>
      <c r="AG32" s="15" t="n">
        <v>0.1</v>
      </c>
      <c r="AH32" s="15" t="n">
        <v>1.45</v>
      </c>
      <c r="AI32" s="15" t="n">
        <v>7.22</v>
      </c>
      <c r="AJ32" s="15" t="n">
        <v>54.79</v>
      </c>
      <c r="AK32" s="15" t="n">
        <v>-14526.39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2026-06-30</t>
        </is>
      </c>
      <c r="B33" s="17" t="inlineStr">
        <is>
          <t>NIFTY</t>
        </is>
      </c>
      <c r="C33" s="17" t="inlineStr">
        <is>
          <t>Both Spreads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Price↑(24056.0&gt;24021.65) &amp; EMA9↑(23931.75&gt;23779.81)</t>
        </is>
      </c>
      <c r="H33" s="17" t="n">
        <v>23931.75</v>
      </c>
      <c r="I33" s="17" t="n">
        <v>23779.81</v>
      </c>
      <c r="J33" s="17" t="inlineStr">
        <is>
          <t>2026-07-02</t>
        </is>
      </c>
      <c r="K33" s="17" t="inlineStr">
        <is>
          <t>WEEKLY</t>
        </is>
      </c>
      <c r="L33" s="17" t="n">
        <v>3</v>
      </c>
      <c r="M33" s="17" t="inlineStr">
        <is>
          <t>09:20 IST</t>
        </is>
      </c>
      <c r="N33" s="17" t="inlineStr">
        <is>
          <t>10:34 IST</t>
        </is>
      </c>
      <c r="O33" s="17" t="n">
        <v>24056</v>
      </c>
      <c r="P33" s="17" t="n">
        <v>24021.65</v>
      </c>
      <c r="Q33" s="17" t="inlineStr">
        <is>
          <t>24000 CE</t>
        </is>
      </c>
      <c r="R33" s="17" t="inlineStr">
        <is>
          <t>24100 CE</t>
        </is>
      </c>
      <c r="S33" s="17" t="n">
        <v>28</v>
      </c>
      <c r="T33" s="17" t="n">
        <v>65</v>
      </c>
      <c r="U33" s="17" t="n">
        <v>1820</v>
      </c>
      <c r="V33" s="17" t="n">
        <v>26.29</v>
      </c>
      <c r="W33" s="17" t="n">
        <v>34.18</v>
      </c>
      <c r="X33" s="17" t="n">
        <v>47847.8</v>
      </c>
      <c r="Y33" s="17" t="n">
        <v>47902.53</v>
      </c>
      <c r="Z33" s="17" t="n">
        <v>134152.2</v>
      </c>
      <c r="AA33" s="17" t="n">
        <v>14354.34</v>
      </c>
      <c r="AB33" s="17" t="n">
        <v>14354.34</v>
      </c>
      <c r="AC33" s="17" t="n">
        <v>14359.8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14305.07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2026-06-30</t>
        </is>
      </c>
      <c r="B34" s="17" t="inlineStr">
        <is>
          <t>NIFTY</t>
        </is>
      </c>
      <c r="C34" s="17" t="inlineStr">
        <is>
          <t>Both Spreads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Price↑(24056.0&gt;24021.65) &amp; EMA9↑(23931.75&gt;23779.81)</t>
        </is>
      </c>
      <c r="H34" s="17" t="n">
        <v>23931.75</v>
      </c>
      <c r="I34" s="17" t="n">
        <v>23779.81</v>
      </c>
      <c r="J34" s="17" t="inlineStr">
        <is>
          <t>2026-07-02</t>
        </is>
      </c>
      <c r="K34" s="17" t="inlineStr">
        <is>
          <t>WEEKLY</t>
        </is>
      </c>
      <c r="L34" s="17" t="n">
        <v>3</v>
      </c>
      <c r="M34" s="17" t="inlineStr">
        <is>
          <t>09:20 IST</t>
        </is>
      </c>
      <c r="N34" s="17" t="inlineStr">
        <is>
          <t>11:56 IST</t>
        </is>
      </c>
      <c r="O34" s="17" t="n">
        <v>24056</v>
      </c>
      <c r="P34" s="17" t="n">
        <v>24021.65</v>
      </c>
      <c r="Q34" s="17" t="inlineStr">
        <is>
          <t>24100 PE</t>
        </is>
      </c>
      <c r="R34" s="17" t="inlineStr">
        <is>
          <t>24000 PE</t>
        </is>
      </c>
      <c r="S34" s="17" t="n">
        <v>25</v>
      </c>
      <c r="T34" s="17" t="n">
        <v>65</v>
      </c>
      <c r="U34" s="17" t="n">
        <v>1625</v>
      </c>
      <c r="V34" s="17" t="n">
        <v>29.66</v>
      </c>
      <c r="W34" s="17" t="n">
        <v>38.56</v>
      </c>
      <c r="X34" s="17" t="n">
        <v>48197.5</v>
      </c>
      <c r="Y34" s="17" t="n">
        <v>48252.28</v>
      </c>
      <c r="Z34" s="17" t="n">
        <v>114302.5</v>
      </c>
      <c r="AA34" s="17" t="n">
        <v>14459.25</v>
      </c>
      <c r="AB34" s="17" t="n">
        <v>14459.25</v>
      </c>
      <c r="AC34" s="17" t="n">
        <v>14462.5</v>
      </c>
      <c r="AD34" s="17" t="n">
        <v>30</v>
      </c>
      <c r="AE34" s="17" t="n">
        <v>40</v>
      </c>
      <c r="AF34" s="17" t="n">
        <v>6.02</v>
      </c>
      <c r="AG34" s="17" t="n">
        <v>0.1</v>
      </c>
      <c r="AH34" s="17" t="n">
        <v>1.45</v>
      </c>
      <c r="AI34" s="17" t="n">
        <v>7.22</v>
      </c>
      <c r="AJ34" s="17" t="n">
        <v>54.78</v>
      </c>
      <c r="AK34" s="17" t="n">
        <v>14407.72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23921.32</v>
      </c>
      <c r="I35" s="16" t="n">
        <v>23787.88</v>
      </c>
      <c r="J35" s="16" t="inlineStr">
        <is>
          <t>2026-07-02</t>
        </is>
      </c>
      <c r="K35" s="16" t="inlineStr">
        <is>
          <t>WEEKLY</t>
        </is>
      </c>
      <c r="L35" s="16" t="n">
        <v>2</v>
      </c>
      <c r="M35" s="16" t="inlineStr">
        <is>
          <t>09:20 IST</t>
        </is>
      </c>
      <c r="N35" s="16" t="inlineStr">
        <is>
          <t>15:12 IST</t>
        </is>
      </c>
      <c r="O35" s="16" t="n">
        <v>23865.75</v>
      </c>
      <c r="P35" s="16" t="n">
        <v>23946.25</v>
      </c>
      <c r="Q35" s="16" t="inlineStr">
        <is>
          <t>23800 CE</t>
        </is>
      </c>
      <c r="R35" s="16" t="inlineStr">
        <is>
          <t>23900 CE</t>
        </is>
      </c>
      <c r="S35" s="16" t="n">
        <v>44</v>
      </c>
      <c r="T35" s="16" t="n">
        <v>65</v>
      </c>
      <c r="U35" s="16" t="n">
        <v>2860</v>
      </c>
      <c r="V35" s="16" t="n">
        <v>16.51</v>
      </c>
      <c r="W35" s="16" t="n">
        <v>16.87</v>
      </c>
      <c r="X35" s="16" t="n">
        <v>47218.6</v>
      </c>
      <c r="Y35" s="16" t="n">
        <v>47273.23</v>
      </c>
      <c r="Z35" s="16" t="n">
        <v>238781.4</v>
      </c>
      <c r="AA35" s="16" t="n">
        <v>14165.58</v>
      </c>
      <c r="AB35" s="16" t="n">
        <v>14165.58</v>
      </c>
      <c r="AC35" s="16" t="n">
        <v>1029.6</v>
      </c>
      <c r="AD35" s="16" t="n">
        <v>2.2</v>
      </c>
      <c r="AE35" s="16" t="n">
        <v>40</v>
      </c>
      <c r="AF35" s="16" t="n">
        <v>5.9</v>
      </c>
      <c r="AG35" s="16" t="n">
        <v>0.09</v>
      </c>
      <c r="AH35" s="16" t="n">
        <v>1.42</v>
      </c>
      <c r="AI35" s="16" t="n">
        <v>7.22</v>
      </c>
      <c r="AJ35" s="16" t="n">
        <v>54.63</v>
      </c>
      <c r="AK35" s="16" t="n">
        <v>974.97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2026-06-30</t>
        </is>
      </c>
      <c r="B36" s="16" t="inlineStr">
        <is>
          <t>NIFTY</t>
        </is>
      </c>
      <c r="C36" s="16" t="inlineStr">
        <is>
          <t>Both Spreads</t>
        </is>
      </c>
      <c r="D36" s="16" t="inlineStr">
        <is>
          <t>Bear Put Spread</t>
        </is>
      </c>
      <c r="E36" s="16" t="inlineStr">
        <is>
          <t>SIMULATED</t>
        </is>
      </c>
      <c r="F36" s="16" t="inlineStr">
        <is>
          <t>SKIP</t>
        </is>
      </c>
      <c r="G36" s="16" t="inlineStr">
        <is>
          <t>Conflicting — Price:BEARISH EMA:BULLISH</t>
        </is>
      </c>
      <c r="H36" s="16" t="n">
        <v>23921.32</v>
      </c>
      <c r="I36" s="16" t="n">
        <v>23787.88</v>
      </c>
      <c r="J36" s="16" t="inlineStr">
        <is>
          <t>2026-07-02</t>
        </is>
      </c>
      <c r="K36" s="16" t="inlineStr">
        <is>
          <t>WEEKLY</t>
        </is>
      </c>
      <c r="L36" s="16" t="n">
        <v>2</v>
      </c>
      <c r="M36" s="16" t="inlineStr">
        <is>
          <t>09:20 IST</t>
        </is>
      </c>
      <c r="N36" s="16" t="inlineStr">
        <is>
          <t>14:57 IST</t>
        </is>
      </c>
      <c r="O36" s="16" t="n">
        <v>23865.75</v>
      </c>
      <c r="P36" s="16" t="n">
        <v>23946.25</v>
      </c>
      <c r="Q36" s="16" t="inlineStr">
        <is>
          <t>23900 PE</t>
        </is>
      </c>
      <c r="R36" s="16" t="inlineStr">
        <is>
          <t>23800 PE</t>
        </is>
      </c>
      <c r="S36" s="16" t="n">
        <v>48</v>
      </c>
      <c r="T36" s="16" t="n">
        <v>65</v>
      </c>
      <c r="U36" s="16" t="n">
        <v>3120</v>
      </c>
      <c r="V36" s="16" t="n">
        <v>15.39</v>
      </c>
      <c r="W36" s="16" t="n">
        <v>15.29</v>
      </c>
      <c r="X36" s="16" t="n">
        <v>48016.8</v>
      </c>
      <c r="Y36" s="16" t="n">
        <v>48071.56</v>
      </c>
      <c r="Z36" s="16" t="n">
        <v>263983.2</v>
      </c>
      <c r="AA36" s="16" t="n">
        <v>14405.04</v>
      </c>
      <c r="AB36" s="16" t="n">
        <v>14405.04</v>
      </c>
      <c r="AC36" s="16" t="n">
        <v>-312</v>
      </c>
      <c r="AD36" s="16" t="n">
        <v>-0.6</v>
      </c>
      <c r="AE36" s="16" t="n">
        <v>40</v>
      </c>
      <c r="AF36" s="16" t="n">
        <v>6</v>
      </c>
      <c r="AG36" s="16" t="n">
        <v>0.1</v>
      </c>
      <c r="AH36" s="16" t="n">
        <v>1.44</v>
      </c>
      <c r="AI36" s="16" t="n">
        <v>7.22</v>
      </c>
      <c r="AJ36" s="16" t="n">
        <v>54.76</v>
      </c>
      <c r="AK36" s="16" t="n">
        <v>-366.76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5" t="inlineStr">
        <is>
          <t>2026-07-01</t>
        </is>
      </c>
      <c r="B37" s="15" t="inlineStr">
        <is>
          <t>NIFTY</t>
        </is>
      </c>
      <c r="C37" s="15" t="inlineStr">
        <is>
          <t>Both Spreads</t>
        </is>
      </c>
      <c r="D37" s="15" t="inlineStr">
        <is>
          <t>Bull Call Spread</t>
        </is>
      </c>
      <c r="E37" s="15" t="inlineStr">
        <is>
          <t>SIMULATED</t>
        </is>
      </c>
      <c r="F37" s="15" t="inlineStr">
        <is>
          <t>SKIP</t>
        </is>
      </c>
      <c r="G37" s="15" t="inlineStr">
        <is>
          <t>Conflicting — Price:BEARISH EMA:BULLISH</t>
        </is>
      </c>
      <c r="H37" s="15" t="n">
        <v>23935.21</v>
      </c>
      <c r="I37" s="15" t="n">
        <v>23780.09</v>
      </c>
      <c r="J37" s="15" t="inlineStr">
        <is>
          <t>2026-07-02</t>
        </is>
      </c>
      <c r="K37" s="15" t="inlineStr">
        <is>
          <t>WEEKLY</t>
        </is>
      </c>
      <c r="L37" s="15" t="n">
        <v>2</v>
      </c>
      <c r="M37" s="15" t="inlineStr">
        <is>
          <t>09:20 IST</t>
        </is>
      </c>
      <c r="N37" s="15" t="inlineStr">
        <is>
          <t>09:57 IST</t>
        </is>
      </c>
      <c r="O37" s="15" t="n">
        <v>23946.25</v>
      </c>
      <c r="P37" s="15" t="n">
        <v>24056</v>
      </c>
      <c r="Q37" s="15" t="inlineStr">
        <is>
          <t>23900 CE</t>
        </is>
      </c>
      <c r="R37" s="15" t="inlineStr">
        <is>
          <t>24000 CE</t>
        </is>
      </c>
      <c r="S37" s="15" t="n">
        <v>40</v>
      </c>
      <c r="T37" s="15" t="n">
        <v>65</v>
      </c>
      <c r="U37" s="15" t="n">
        <v>2600</v>
      </c>
      <c r="V37" s="15" t="n">
        <v>18.53</v>
      </c>
      <c r="W37" s="15" t="n">
        <v>12.97</v>
      </c>
      <c r="X37" s="15" t="n">
        <v>48178</v>
      </c>
      <c r="Y37" s="15" t="n">
        <v>48232.78</v>
      </c>
      <c r="Z37" s="15" t="n">
        <v>211822</v>
      </c>
      <c r="AA37" s="15" t="n">
        <v>14453.4</v>
      </c>
      <c r="AB37" s="15" t="n">
        <v>14453.4</v>
      </c>
      <c r="AC37" s="15" t="n">
        <v>-14456</v>
      </c>
      <c r="AD37" s="15" t="n">
        <v>-30</v>
      </c>
      <c r="AE37" s="15" t="n">
        <v>40</v>
      </c>
      <c r="AF37" s="15" t="n">
        <v>6.02</v>
      </c>
      <c r="AG37" s="15" t="n">
        <v>0.1</v>
      </c>
      <c r="AH37" s="15" t="n">
        <v>1.45</v>
      </c>
      <c r="AI37" s="15" t="n">
        <v>7.22</v>
      </c>
      <c r="AJ37" s="15" t="n">
        <v>54.78</v>
      </c>
      <c r="AK37" s="15" t="n">
        <v>-14510.78</v>
      </c>
      <c r="AL37" s="15" t="inlineStr">
        <is>
          <t>STOP LOSS</t>
        </is>
      </c>
      <c r="AM37" s="15" t="n">
        <v>50000</v>
      </c>
      <c r="AN37" s="15" t="inlineStr">
        <is>
          <t>PAPER TRADING</t>
        </is>
      </c>
    </row>
    <row r="38">
      <c r="A38" s="17" t="inlineStr">
        <is>
          <t>2026-07-01</t>
        </is>
      </c>
      <c r="B38" s="17" t="inlineStr">
        <is>
          <t>NIFTY</t>
        </is>
      </c>
      <c r="C38" s="17" t="inlineStr">
        <is>
          <t>Both Spreads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SKIP</t>
        </is>
      </c>
      <c r="G38" s="17" t="inlineStr">
        <is>
          <t>Conflicting — Price:BEARISH EMA:BULLISH</t>
        </is>
      </c>
      <c r="H38" s="17" t="n">
        <v>23935.21</v>
      </c>
      <c r="I38" s="17" t="n">
        <v>23780.09</v>
      </c>
      <c r="J38" s="17" t="inlineStr">
        <is>
          <t>2026-07-02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09:57 IST</t>
        </is>
      </c>
      <c r="O38" s="17" t="n">
        <v>23946.25</v>
      </c>
      <c r="P38" s="17" t="n">
        <v>24056</v>
      </c>
      <c r="Q38" s="17" t="inlineStr">
        <is>
          <t>24000 PE</t>
        </is>
      </c>
      <c r="R38" s="17" t="inlineStr">
        <is>
          <t>23900 PE</t>
        </is>
      </c>
      <c r="S38" s="17" t="n">
        <v>48</v>
      </c>
      <c r="T38" s="17" t="n">
        <v>65</v>
      </c>
      <c r="U38" s="17" t="n">
        <v>3120</v>
      </c>
      <c r="V38" s="17" t="n">
        <v>15.39</v>
      </c>
      <c r="W38" s="17" t="n">
        <v>20.01</v>
      </c>
      <c r="X38" s="17" t="n">
        <v>48016.8</v>
      </c>
      <c r="Y38" s="17" t="n">
        <v>48071.56</v>
      </c>
      <c r="Z38" s="17" t="n">
        <v>263983.2</v>
      </c>
      <c r="AA38" s="17" t="n">
        <v>14405.04</v>
      </c>
      <c r="AB38" s="17" t="n">
        <v>14405.04</v>
      </c>
      <c r="AC38" s="17" t="n">
        <v>14414.4</v>
      </c>
      <c r="AD38" s="17" t="n">
        <v>30</v>
      </c>
      <c r="AE38" s="17" t="n">
        <v>40</v>
      </c>
      <c r="AF38" s="17" t="n">
        <v>6</v>
      </c>
      <c r="AG38" s="17" t="n">
        <v>0.1</v>
      </c>
      <c r="AH38" s="17" t="n">
        <v>1.44</v>
      </c>
      <c r="AI38" s="17" t="n">
        <v>7.22</v>
      </c>
      <c r="AJ38" s="17" t="n">
        <v>54.76</v>
      </c>
      <c r="AK38" s="17" t="n">
        <v>14359.64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Price↑(24005.85&gt;23865.75) &amp; EMA9↑(23938.67&gt;23797.85)</t>
        </is>
      </c>
      <c r="H39" s="17" t="n">
        <v>23938.67</v>
      </c>
      <c r="I39" s="17" t="n">
        <v>23797.85</v>
      </c>
      <c r="J39" s="17" t="inlineStr">
        <is>
          <t>2026-07-02</t>
        </is>
      </c>
      <c r="K39" s="17" t="inlineStr">
        <is>
          <t>WEEKLY</t>
        </is>
      </c>
      <c r="L39" s="17" t="n">
        <v>1</v>
      </c>
      <c r="M39" s="17" t="inlineStr">
        <is>
          <t>09:20 IST</t>
        </is>
      </c>
      <c r="N39" s="17" t="inlineStr">
        <is>
          <t>10:09 IST</t>
        </is>
      </c>
      <c r="O39" s="17" t="n">
        <v>24005.85</v>
      </c>
      <c r="P39" s="17" t="n">
        <v>23865.75</v>
      </c>
      <c r="Q39" s="17" t="inlineStr">
        <is>
          <t>24000 CE</t>
        </is>
      </c>
      <c r="R39" s="17" t="inlineStr">
        <is>
          <t>24100 CE</t>
        </is>
      </c>
      <c r="S39" s="17" t="n">
        <v>33</v>
      </c>
      <c r="T39" s="17" t="n">
        <v>65</v>
      </c>
      <c r="U39" s="17" t="n">
        <v>2145</v>
      </c>
      <c r="V39" s="17" t="n">
        <v>22.57</v>
      </c>
      <c r="W39" s="17" t="n">
        <v>29.34</v>
      </c>
      <c r="X39" s="17" t="n">
        <v>48412.65</v>
      </c>
      <c r="Y39" s="17" t="n">
        <v>48467.47</v>
      </c>
      <c r="Z39" s="17" t="n">
        <v>166087.35</v>
      </c>
      <c r="AA39" s="17" t="n">
        <v>14523.8</v>
      </c>
      <c r="AB39" s="17" t="n">
        <v>14523.8</v>
      </c>
      <c r="AC39" s="17" t="n">
        <v>14521.65</v>
      </c>
      <c r="AD39" s="17" t="n">
        <v>30</v>
      </c>
      <c r="AE39" s="17" t="n">
        <v>40</v>
      </c>
      <c r="AF39" s="17" t="n">
        <v>6.05</v>
      </c>
      <c r="AG39" s="17" t="n">
        <v>0.1</v>
      </c>
      <c r="AH39" s="17" t="n">
        <v>1.45</v>
      </c>
      <c r="AI39" s="17" t="n">
        <v>7.22</v>
      </c>
      <c r="AJ39" s="17" t="n">
        <v>54.82</v>
      </c>
      <c r="AK39" s="17" t="n">
        <v>14466.83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2026-07-01</t>
        </is>
      </c>
      <c r="B40" s="17" t="inlineStr">
        <is>
          <t>NIFTY</t>
        </is>
      </c>
      <c r="C40" s="17" t="inlineStr">
        <is>
          <t>Both Spreads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Price↑(24005.85&gt;23865.75) &amp; EMA9↑(23938.67&gt;23797.85)</t>
        </is>
      </c>
      <c r="H40" s="17" t="n">
        <v>23938.67</v>
      </c>
      <c r="I40" s="17" t="n">
        <v>23797.85</v>
      </c>
      <c r="J40" s="17" t="inlineStr">
        <is>
          <t>2026-07-02</t>
        </is>
      </c>
      <c r="K40" s="17" t="inlineStr">
        <is>
          <t>WEEKLY</t>
        </is>
      </c>
      <c r="L40" s="17" t="n">
        <v>1</v>
      </c>
      <c r="M40" s="17" t="inlineStr">
        <is>
          <t>09:20 IST</t>
        </is>
      </c>
      <c r="N40" s="17" t="inlineStr">
        <is>
          <t>11:51 IST</t>
        </is>
      </c>
      <c r="O40" s="17" t="n">
        <v>24005.85</v>
      </c>
      <c r="P40" s="17" t="n">
        <v>23865.75</v>
      </c>
      <c r="Q40" s="17" t="inlineStr">
        <is>
          <t>24100 PE</t>
        </is>
      </c>
      <c r="R40" s="17" t="inlineStr">
        <is>
          <t>24000 PE</t>
        </is>
      </c>
      <c r="S40" s="17" t="n">
        <v>40</v>
      </c>
      <c r="T40" s="17" t="n">
        <v>65</v>
      </c>
      <c r="U40" s="17" t="n">
        <v>2600</v>
      </c>
      <c r="V40" s="17" t="n">
        <v>18.49</v>
      </c>
      <c r="W40" s="17" t="n">
        <v>24.04</v>
      </c>
      <c r="X40" s="17" t="n">
        <v>48074</v>
      </c>
      <c r="Y40" s="17" t="n">
        <v>48128.76</v>
      </c>
      <c r="Z40" s="17" t="n">
        <v>211926</v>
      </c>
      <c r="AA40" s="17" t="n">
        <v>14422.2</v>
      </c>
      <c r="AB40" s="17" t="n">
        <v>14422.2</v>
      </c>
      <c r="AC40" s="17" t="n">
        <v>14430</v>
      </c>
      <c r="AD40" s="17" t="n">
        <v>30</v>
      </c>
      <c r="AE40" s="17" t="n">
        <v>40</v>
      </c>
      <c r="AF40" s="17" t="n">
        <v>6.01</v>
      </c>
      <c r="AG40" s="17" t="n">
        <v>0.1</v>
      </c>
      <c r="AH40" s="17" t="n">
        <v>1.44</v>
      </c>
      <c r="AI40" s="17" t="n">
        <v>7.22</v>
      </c>
      <c r="AJ40" s="17" t="n">
        <v>54.76</v>
      </c>
      <c r="AK40" s="17" t="n">
        <v>14375.24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2026-07-02</t>
        </is>
      </c>
      <c r="B41" s="15" t="inlineStr">
        <is>
          <t>NIFTY</t>
        </is>
      </c>
      <c r="C41" s="15" t="inlineStr">
        <is>
          <t>Both Spreads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23921.87</v>
      </c>
      <c r="I41" s="15" t="n">
        <v>23777.05</v>
      </c>
      <c r="J41" s="15" t="inlineStr">
        <is>
          <t>2026-07-02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09:52 IST</t>
        </is>
      </c>
      <c r="O41" s="15" t="n">
        <v>23865.75</v>
      </c>
      <c r="P41" s="15" t="n">
        <v>23946.25</v>
      </c>
      <c r="Q41" s="15" t="inlineStr">
        <is>
          <t>23800 CE</t>
        </is>
      </c>
      <c r="R41" s="15" t="inlineStr">
        <is>
          <t>23900 CE</t>
        </is>
      </c>
      <c r="S41" s="15" t="n">
        <v>30</v>
      </c>
      <c r="T41" s="15" t="n">
        <v>65</v>
      </c>
      <c r="U41" s="15" t="n">
        <v>1950</v>
      </c>
      <c r="V41" s="15" t="n">
        <v>24.74</v>
      </c>
      <c r="W41" s="15" t="n">
        <v>17.32</v>
      </c>
      <c r="X41" s="15" t="n">
        <v>48243</v>
      </c>
      <c r="Y41" s="15" t="n">
        <v>48297.79</v>
      </c>
      <c r="Z41" s="15" t="n">
        <v>146757</v>
      </c>
      <c r="AA41" s="15" t="n">
        <v>14472.9</v>
      </c>
      <c r="AB41" s="15" t="n">
        <v>14472.9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5" t="inlineStr">
        <is>
          <t>2026-07-02</t>
        </is>
      </c>
      <c r="B42" s="15" t="inlineStr">
        <is>
          <t>NIFTY</t>
        </is>
      </c>
      <c r="C42" s="15" t="inlineStr">
        <is>
          <t>Both Spreads</t>
        </is>
      </c>
      <c r="D42" s="15" t="inlineStr">
        <is>
          <t>Bear Put Spread</t>
        </is>
      </c>
      <c r="E42" s="15" t="inlineStr">
        <is>
          <t>SIMULATED</t>
        </is>
      </c>
      <c r="F42" s="15" t="inlineStr">
        <is>
          <t>SKIP</t>
        </is>
      </c>
      <c r="G42" s="15" t="inlineStr">
        <is>
          <t>Conflicting — Price:BEARISH EMA:BULLISH</t>
        </is>
      </c>
      <c r="H42" s="15" t="n">
        <v>23921.87</v>
      </c>
      <c r="I42" s="15" t="n">
        <v>23777.05</v>
      </c>
      <c r="J42" s="15" t="inlineStr">
        <is>
          <t>2026-07-02</t>
        </is>
      </c>
      <c r="K42" s="15" t="inlineStr">
        <is>
          <t>WEEKLY</t>
        </is>
      </c>
      <c r="L42" s="15" t="n">
        <v>1</v>
      </c>
      <c r="M42" s="15" t="inlineStr">
        <is>
          <t>09:20 IST</t>
        </is>
      </c>
      <c r="N42" s="15" t="inlineStr">
        <is>
          <t>09:56 IST</t>
        </is>
      </c>
      <c r="O42" s="15" t="n">
        <v>23865.75</v>
      </c>
      <c r="P42" s="15" t="n">
        <v>23946.25</v>
      </c>
      <c r="Q42" s="15" t="inlineStr">
        <is>
          <t>23900 PE</t>
        </is>
      </c>
      <c r="R42" s="15" t="inlineStr">
        <is>
          <t>23800 PE</t>
        </is>
      </c>
      <c r="S42" s="15" t="n">
        <v>37</v>
      </c>
      <c r="T42" s="15" t="n">
        <v>65</v>
      </c>
      <c r="U42" s="15" t="n">
        <v>2405</v>
      </c>
      <c r="V42" s="15" t="n">
        <v>19.92</v>
      </c>
      <c r="W42" s="15" t="n">
        <v>13.94</v>
      </c>
      <c r="X42" s="15" t="n">
        <v>47907.6</v>
      </c>
      <c r="Y42" s="15" t="n">
        <v>47962.34</v>
      </c>
      <c r="Z42" s="15" t="n">
        <v>192592.4</v>
      </c>
      <c r="AA42" s="15" t="n">
        <v>14372.28</v>
      </c>
      <c r="AB42" s="15" t="n">
        <v>14372.28</v>
      </c>
      <c r="AC42" s="15" t="n">
        <v>-14381.9</v>
      </c>
      <c r="AD42" s="15" t="n">
        <v>-30</v>
      </c>
      <c r="AE42" s="15" t="n">
        <v>40</v>
      </c>
      <c r="AF42" s="15" t="n">
        <v>5.99</v>
      </c>
      <c r="AG42" s="15" t="n">
        <v>0.1</v>
      </c>
      <c r="AH42" s="15" t="n">
        <v>1.44</v>
      </c>
      <c r="AI42" s="15" t="n">
        <v>7.22</v>
      </c>
      <c r="AJ42" s="15" t="n">
        <v>54.74</v>
      </c>
      <c r="AK42" s="15" t="n">
        <v>-14436.64</v>
      </c>
      <c r="AL42" s="15" t="inlineStr">
        <is>
          <t>STOP LOSS</t>
        </is>
      </c>
      <c r="AM42" s="15" t="n">
        <v>50000</v>
      </c>
      <c r="AN42" s="15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Price↑(24175.7&gt;24005.85) &amp; EMA9↑(23986.43&gt;23821.26)</t>
        </is>
      </c>
      <c r="H43" s="17" t="n">
        <v>23986.43</v>
      </c>
      <c r="I43" s="17" t="n">
        <v>23821.26</v>
      </c>
      <c r="J43" s="17" t="inlineStr">
        <is>
          <t>2026-07-02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12:09 IST</t>
        </is>
      </c>
      <c r="O43" s="17" t="n">
        <v>24175.7</v>
      </c>
      <c r="P43" s="17" t="n">
        <v>24005.85</v>
      </c>
      <c r="Q43" s="17" t="inlineStr">
        <is>
          <t>24100 CE</t>
        </is>
      </c>
      <c r="R43" s="17" t="inlineStr">
        <is>
          <t>24200 CE</t>
        </is>
      </c>
      <c r="S43" s="17" t="n">
        <v>32</v>
      </c>
      <c r="T43" s="17" t="n">
        <v>65</v>
      </c>
      <c r="U43" s="17" t="n">
        <v>2080</v>
      </c>
      <c r="V43" s="17" t="n">
        <v>22.77</v>
      </c>
      <c r="W43" s="17" t="n">
        <v>29.6</v>
      </c>
      <c r="X43" s="17" t="n">
        <v>47361.6</v>
      </c>
      <c r="Y43" s="17" t="n">
        <v>47416.25</v>
      </c>
      <c r="Z43" s="17" t="n">
        <v>160638.4</v>
      </c>
      <c r="AA43" s="17" t="n">
        <v>14208.48</v>
      </c>
      <c r="AB43" s="17" t="n">
        <v>14208.48</v>
      </c>
      <c r="AC43" s="17" t="n">
        <v>14206.4</v>
      </c>
      <c r="AD43" s="17" t="n">
        <v>30</v>
      </c>
      <c r="AE43" s="17" t="n">
        <v>40</v>
      </c>
      <c r="AF43" s="17" t="n">
        <v>5.92</v>
      </c>
      <c r="AG43" s="17" t="n">
        <v>0.09</v>
      </c>
      <c r="AH43" s="17" t="n">
        <v>1.42</v>
      </c>
      <c r="AI43" s="17" t="n">
        <v>7.22</v>
      </c>
      <c r="AJ43" s="17" t="n">
        <v>54.65</v>
      </c>
      <c r="AK43" s="17" t="n">
        <v>14151.75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BULLISH</t>
        </is>
      </c>
      <c r="G44" s="16" t="inlineStr">
        <is>
          <t>Price↑(24175.7&gt;24005.85) &amp; EMA9↑(23986.43&gt;23821.26)</t>
        </is>
      </c>
      <c r="H44" s="16" t="n">
        <v>23986.43</v>
      </c>
      <c r="I44" s="16" t="n">
        <v>23821.26</v>
      </c>
      <c r="J44" s="16" t="inlineStr">
        <is>
          <t>2026-07-02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13:56 IST</t>
        </is>
      </c>
      <c r="O44" s="16" t="n">
        <v>24175.7</v>
      </c>
      <c r="P44" s="16" t="n">
        <v>24005.85</v>
      </c>
      <c r="Q44" s="16" t="inlineStr">
        <is>
          <t>24200 PE</t>
        </is>
      </c>
      <c r="R44" s="16" t="inlineStr">
        <is>
          <t>24100 PE</t>
        </is>
      </c>
      <c r="S44" s="16" t="n">
        <v>49</v>
      </c>
      <c r="T44" s="16" t="n">
        <v>65</v>
      </c>
      <c r="U44" s="16" t="n">
        <v>3185</v>
      </c>
      <c r="V44" s="16" t="n">
        <v>15.02</v>
      </c>
      <c r="W44" s="16" t="n">
        <v>14.6</v>
      </c>
      <c r="X44" s="16" t="n">
        <v>47838.7</v>
      </c>
      <c r="Y44" s="16" t="n">
        <v>47893.43</v>
      </c>
      <c r="Z44" s="16" t="n">
        <v>270661.3</v>
      </c>
      <c r="AA44" s="16" t="n">
        <v>14351.61</v>
      </c>
      <c r="AB44" s="16" t="n">
        <v>14351.61</v>
      </c>
      <c r="AC44" s="16" t="n">
        <v>-1337.7</v>
      </c>
      <c r="AD44" s="16" t="n">
        <v>-2.8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-1392.43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Price↑(24005.85&gt;23865.75) &amp; EMA9↑(23939.11&gt;23785.81)</t>
        </is>
      </c>
      <c r="H45" s="17" t="n">
        <v>23939.11</v>
      </c>
      <c r="I45" s="17" t="n">
        <v>23785.81</v>
      </c>
      <c r="J45" s="17" t="inlineStr">
        <is>
          <t>2026-07-02</t>
        </is>
      </c>
      <c r="K45" s="17" t="inlineStr">
        <is>
          <t>WEEKLY</t>
        </is>
      </c>
      <c r="L45" s="17" t="n">
        <v>0</v>
      </c>
      <c r="M45" s="17" t="inlineStr">
        <is>
          <t>09:20 IST</t>
        </is>
      </c>
      <c r="N45" s="17" t="inlineStr">
        <is>
          <t>10:54 IST</t>
        </is>
      </c>
      <c r="O45" s="17" t="n">
        <v>24005.85</v>
      </c>
      <c r="P45" s="17" t="n">
        <v>23865.75</v>
      </c>
      <c r="Q45" s="17" t="inlineStr">
        <is>
          <t>24000 CE</t>
        </is>
      </c>
      <c r="R45" s="17" t="inlineStr">
        <is>
          <t>24100 CE</t>
        </is>
      </c>
      <c r="S45" s="17" t="n">
        <v>40</v>
      </c>
      <c r="T45" s="17" t="n">
        <v>65</v>
      </c>
      <c r="U45" s="17" t="n">
        <v>2600</v>
      </c>
      <c r="V45" s="17" t="n">
        <v>18.38</v>
      </c>
      <c r="W45" s="17" t="n">
        <v>23.89</v>
      </c>
      <c r="X45" s="17" t="n">
        <v>47788</v>
      </c>
      <c r="Y45" s="17" t="n">
        <v>47842.72</v>
      </c>
      <c r="Z45" s="17" t="n">
        <v>212212</v>
      </c>
      <c r="AA45" s="17" t="n">
        <v>14336.4</v>
      </c>
      <c r="AB45" s="17" t="n">
        <v>14336.4</v>
      </c>
      <c r="AC45" s="17" t="n">
        <v>14326</v>
      </c>
      <c r="AD45" s="17" t="n">
        <v>30</v>
      </c>
      <c r="AE45" s="17" t="n">
        <v>40</v>
      </c>
      <c r="AF45" s="17" t="n">
        <v>5.97</v>
      </c>
      <c r="AG45" s="17" t="n">
        <v>0.1</v>
      </c>
      <c r="AH45" s="17" t="n">
        <v>1.43</v>
      </c>
      <c r="AI45" s="17" t="n">
        <v>7.22</v>
      </c>
      <c r="AJ45" s="17" t="n">
        <v>54.72</v>
      </c>
      <c r="AK45" s="17" t="n">
        <v>14271.28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6" t="inlineStr">
        <is>
          <t>2026-07-03</t>
        </is>
      </c>
      <c r="B46" s="16" t="inlineStr">
        <is>
          <t>NIFTY</t>
        </is>
      </c>
      <c r="C46" s="16" t="inlineStr">
        <is>
          <t>Both Spreads</t>
        </is>
      </c>
      <c r="D46" s="16" t="inlineStr">
        <is>
          <t>Bear Put Spread</t>
        </is>
      </c>
      <c r="E46" s="16" t="inlineStr">
        <is>
          <t>SIMULATED</t>
        </is>
      </c>
      <c r="F46" s="16" t="inlineStr">
        <is>
          <t>BULLISH</t>
        </is>
      </c>
      <c r="G46" s="16" t="inlineStr">
        <is>
          <t>Price↑(24005.85&gt;23865.75) &amp; EMA9↑(23939.11&gt;23785.81)</t>
        </is>
      </c>
      <c r="H46" s="16" t="n">
        <v>23939.11</v>
      </c>
      <c r="I46" s="16" t="n">
        <v>23785.81</v>
      </c>
      <c r="J46" s="16" t="inlineStr">
        <is>
          <t>2026-07-02</t>
        </is>
      </c>
      <c r="K46" s="16" t="inlineStr">
        <is>
          <t>WEEKLY</t>
        </is>
      </c>
      <c r="L46" s="16" t="n">
        <v>0</v>
      </c>
      <c r="M46" s="16" t="inlineStr">
        <is>
          <t>09:20 IST</t>
        </is>
      </c>
      <c r="N46" s="16" t="inlineStr">
        <is>
          <t>14:41 IST</t>
        </is>
      </c>
      <c r="O46" s="16" t="n">
        <v>24005.85</v>
      </c>
      <c r="P46" s="16" t="n">
        <v>23865.75</v>
      </c>
      <c r="Q46" s="16" t="inlineStr">
        <is>
          <t>24100 PE</t>
        </is>
      </c>
      <c r="R46" s="16" t="inlineStr">
        <is>
          <t>24000 PE</t>
        </is>
      </c>
      <c r="S46" s="16" t="n">
        <v>48</v>
      </c>
      <c r="T46" s="16" t="n">
        <v>65</v>
      </c>
      <c r="U46" s="16" t="n">
        <v>3120</v>
      </c>
      <c r="V46" s="16" t="n">
        <v>15.16</v>
      </c>
      <c r="W46" s="16" t="n">
        <v>14.77</v>
      </c>
      <c r="X46" s="16" t="n">
        <v>47299.2</v>
      </c>
      <c r="Y46" s="16" t="n">
        <v>47353.84</v>
      </c>
      <c r="Z46" s="16" t="n">
        <v>264700.8</v>
      </c>
      <c r="AA46" s="16" t="n">
        <v>14189.76</v>
      </c>
      <c r="AB46" s="16" t="n">
        <v>14189.76</v>
      </c>
      <c r="AC46" s="16" t="n">
        <v>-1216.8</v>
      </c>
      <c r="AD46" s="16" t="n">
        <v>-2.6</v>
      </c>
      <c r="AE46" s="16" t="n">
        <v>40</v>
      </c>
      <c r="AF46" s="16" t="n">
        <v>5.91</v>
      </c>
      <c r="AG46" s="16" t="n">
        <v>0.09</v>
      </c>
      <c r="AH46" s="16" t="n">
        <v>1.42</v>
      </c>
      <c r="AI46" s="16" t="n">
        <v>7.22</v>
      </c>
      <c r="AJ46" s="16" t="n">
        <v>54.64</v>
      </c>
      <c r="AK46" s="16" t="n">
        <v>-1271.44</v>
      </c>
      <c r="AL46" s="16" t="inlineStr">
        <is>
          <t>FLAT</t>
        </is>
      </c>
      <c r="AM46" s="16" t="n">
        <v>50000</v>
      </c>
      <c r="AN46" s="16" t="inlineStr">
        <is>
          <t>PAPER TRADING</t>
        </is>
      </c>
    </row>
    <row r="47">
      <c r="A47" s="17" t="inlineStr">
        <is>
          <t>2026-07-03</t>
        </is>
      </c>
      <c r="B47" s="17" t="inlineStr">
        <is>
          <t>NIFTY</t>
        </is>
      </c>
      <c r="C47" s="17" t="inlineStr">
        <is>
          <t>Both Spreads</t>
        </is>
      </c>
      <c r="D47" s="17" t="inlineStr">
        <is>
          <t>Bull Call Spread</t>
        </is>
      </c>
      <c r="E47" s="17" t="inlineStr">
        <is>
          <t>SIMULATED</t>
        </is>
      </c>
      <c r="F47" s="17" t="inlineStr">
        <is>
          <t>BULLISH</t>
        </is>
      </c>
      <c r="G47" s="17" t="inlineStr">
        <is>
          <t>Price↑(24270.85&gt;24175.7) &amp; EMA9↑(24043.55&gt;23856.79)</t>
        </is>
      </c>
      <c r="H47" s="17" t="n">
        <v>24043.55</v>
      </c>
      <c r="I47" s="17" t="n">
        <v>23856.79</v>
      </c>
      <c r="J47" s="17" t="inlineStr">
        <is>
          <t>2026-07-09</t>
        </is>
      </c>
      <c r="K47" s="17" t="inlineStr">
        <is>
          <t>WEEKLY</t>
        </is>
      </c>
      <c r="L47" s="17" t="n">
        <v>6</v>
      </c>
      <c r="M47" s="17" t="inlineStr">
        <is>
          <t>09:20 IST</t>
        </is>
      </c>
      <c r="N47" s="17" t="inlineStr">
        <is>
          <t>10:45 IST</t>
        </is>
      </c>
      <c r="O47" s="17" t="n">
        <v>24270.85</v>
      </c>
      <c r="P47" s="17" t="n">
        <v>24175.7</v>
      </c>
      <c r="Q47" s="17" t="inlineStr">
        <is>
          <t>24200 CE</t>
        </is>
      </c>
      <c r="R47" s="17" t="inlineStr">
        <is>
          <t>24300 CE</t>
        </is>
      </c>
      <c r="S47" s="17" t="n">
        <v>23</v>
      </c>
      <c r="T47" s="17" t="n">
        <v>65</v>
      </c>
      <c r="U47" s="17" t="n">
        <v>1495</v>
      </c>
      <c r="V47" s="17" t="n">
        <v>31.53</v>
      </c>
      <c r="W47" s="17" t="n">
        <v>40.99</v>
      </c>
      <c r="X47" s="17" t="n">
        <v>47137.35</v>
      </c>
      <c r="Y47" s="17" t="n">
        <v>47191.97</v>
      </c>
      <c r="Z47" s="17" t="n">
        <v>102362.65</v>
      </c>
      <c r="AA47" s="17" t="n">
        <v>14141.2</v>
      </c>
      <c r="AB47" s="17" t="n">
        <v>14141.2</v>
      </c>
      <c r="AC47" s="17" t="n">
        <v>14142.7</v>
      </c>
      <c r="AD47" s="17" t="n">
        <v>30</v>
      </c>
      <c r="AE47" s="17" t="n">
        <v>40</v>
      </c>
      <c r="AF47" s="17" t="n">
        <v>5.89</v>
      </c>
      <c r="AG47" s="17" t="n">
        <v>0.09</v>
      </c>
      <c r="AH47" s="17" t="n">
        <v>1.41</v>
      </c>
      <c r="AI47" s="17" t="n">
        <v>7.22</v>
      </c>
      <c r="AJ47" s="17" t="n">
        <v>54.62</v>
      </c>
      <c r="AK47" s="17" t="n">
        <v>14088.08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BULLISH</t>
        </is>
      </c>
      <c r="G48" s="15" t="inlineStr">
        <is>
          <t>Price↑(24270.85&gt;24175.7) &amp; EMA9↑(24043.55&gt;23856.79)</t>
        </is>
      </c>
      <c r="H48" s="15" t="n">
        <v>24043.55</v>
      </c>
      <c r="I48" s="15" t="n">
        <v>23856.79</v>
      </c>
      <c r="J48" s="15" t="inlineStr">
        <is>
          <t>2026-07-09</t>
        </is>
      </c>
      <c r="K48" s="15" t="inlineStr">
        <is>
          <t>WEEKLY</t>
        </is>
      </c>
      <c r="L48" s="15" t="n">
        <v>6</v>
      </c>
      <c r="M48" s="15" t="inlineStr">
        <is>
          <t>09:20 IST</t>
        </is>
      </c>
      <c r="N48" s="15" t="inlineStr">
        <is>
          <t>10:57 IST</t>
        </is>
      </c>
      <c r="O48" s="15" t="n">
        <v>24270.85</v>
      </c>
      <c r="P48" s="15" t="n">
        <v>24175.7</v>
      </c>
      <c r="Q48" s="15" t="inlineStr">
        <is>
          <t>24300 PE</t>
        </is>
      </c>
      <c r="R48" s="15" t="inlineStr">
        <is>
          <t>24200 PE</t>
        </is>
      </c>
      <c r="S48" s="15" t="n">
        <v>21</v>
      </c>
      <c r="T48" s="15" t="n">
        <v>65</v>
      </c>
      <c r="U48" s="15" t="n">
        <v>1365</v>
      </c>
      <c r="V48" s="15" t="n">
        <v>35.01</v>
      </c>
      <c r="W48" s="15" t="n">
        <v>24.51</v>
      </c>
      <c r="X48" s="15" t="n">
        <v>47788.65</v>
      </c>
      <c r="Y48" s="15" t="n">
        <v>47843.37</v>
      </c>
      <c r="Z48" s="15" t="n">
        <v>88711.35000000001</v>
      </c>
      <c r="AA48" s="15" t="n">
        <v>14336.59</v>
      </c>
      <c r="AB48" s="15" t="n">
        <v>14336.59</v>
      </c>
      <c r="AC48" s="15" t="n">
        <v>-14332.5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-14387.22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N1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2026-06-18</t>
        </is>
      </c>
      <c r="B3" s="17" t="inlineStr">
        <is>
          <t>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Price↑(24168.0&gt;24085.7) &amp; EMA9↑(23778.35&gt;23687.38)</t>
        </is>
      </c>
      <c r="G3" s="17" t="n">
        <v>23778.35</v>
      </c>
      <c r="H3" s="17" t="n">
        <v>23687.38</v>
      </c>
      <c r="I3" s="17" t="inlineStr">
        <is>
          <t>2026-06-18</t>
        </is>
      </c>
      <c r="J3" s="17" t="inlineStr">
        <is>
          <t>WEEKLY</t>
        </is>
      </c>
      <c r="K3" s="17" t="n">
        <v>0</v>
      </c>
      <c r="L3" s="17" t="inlineStr">
        <is>
          <t>09:20 IST</t>
        </is>
      </c>
      <c r="M3" s="17" t="inlineStr">
        <is>
          <t>11:59 IST</t>
        </is>
      </c>
      <c r="N3" s="17" t="n">
        <v>24168</v>
      </c>
      <c r="O3" s="17" t="n">
        <v>24085.7</v>
      </c>
      <c r="P3" s="17" t="inlineStr">
        <is>
          <t>24100 CE</t>
        </is>
      </c>
      <c r="Q3" s="17" t="inlineStr">
        <is>
          <t>24200 CE</t>
        </is>
      </c>
      <c r="R3" s="17" t="n">
        <v>31</v>
      </c>
      <c r="S3" s="17" t="n">
        <v>75</v>
      </c>
      <c r="T3" s="17" t="n">
        <v>2325</v>
      </c>
      <c r="U3" s="17" t="n">
        <v>20.44</v>
      </c>
      <c r="V3" s="17" t="n">
        <v>26.57</v>
      </c>
      <c r="W3" s="17" t="n">
        <v>47523</v>
      </c>
      <c r="X3" s="17" t="n">
        <v>47577.68</v>
      </c>
      <c r="Y3" s="17" t="n">
        <v>184977</v>
      </c>
      <c r="Z3" s="17" t="n">
        <v>14256.9</v>
      </c>
      <c r="AA3" s="17" t="n">
        <v>14256.9</v>
      </c>
      <c r="AB3" s="17" t="n">
        <v>14252.25</v>
      </c>
      <c r="AC3" s="17" t="n">
        <v>30</v>
      </c>
      <c r="AD3" s="17" t="n">
        <v>40</v>
      </c>
      <c r="AE3" s="17" t="n">
        <v>5.94</v>
      </c>
      <c r="AF3" s="17" t="n">
        <v>0.1</v>
      </c>
      <c r="AG3" s="17" t="n">
        <v>1.43</v>
      </c>
      <c r="AH3" s="17" t="n">
        <v>7.22</v>
      </c>
      <c r="AI3" s="17" t="n">
        <v>54.68</v>
      </c>
      <c r="AJ3" s="17" t="n">
        <v>14197.57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2026-06-20</t>
        </is>
      </c>
      <c r="B4" s="17" t="inlineStr">
        <is>
          <t>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EMA9↑(23777.57&gt;23682.14)</t>
        </is>
      </c>
      <c r="G4" s="17" t="n">
        <v>23777.57</v>
      </c>
      <c r="H4" s="17" t="n">
        <v>23682.14</v>
      </c>
      <c r="I4" s="17" t="inlineStr">
        <is>
          <t>2026-06-25</t>
        </is>
      </c>
      <c r="J4" s="17" t="inlineStr">
        <is>
          <t>WEEKLY</t>
        </is>
      </c>
      <c r="K4" s="17" t="n">
        <v>6</v>
      </c>
      <c r="L4" s="17" t="inlineStr">
        <is>
          <t>09:20 IST</t>
        </is>
      </c>
      <c r="M4" s="17" t="inlineStr">
        <is>
          <t>10:03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25</v>
      </c>
      <c r="S4" s="17" t="n">
        <v>75</v>
      </c>
      <c r="T4" s="17" t="n">
        <v>1875</v>
      </c>
      <c r="U4" s="17" t="n">
        <v>26.1</v>
      </c>
      <c r="V4" s="17" t="n">
        <v>33.93</v>
      </c>
      <c r="W4" s="17" t="n">
        <v>48937.5</v>
      </c>
      <c r="X4" s="17" t="n">
        <v>48992.4</v>
      </c>
      <c r="Y4" s="17" t="n">
        <v>138562.5</v>
      </c>
      <c r="Z4" s="17" t="n">
        <v>14681.25</v>
      </c>
      <c r="AA4" s="17" t="n">
        <v>14681.25</v>
      </c>
      <c r="AB4" s="17" t="n">
        <v>14681.25</v>
      </c>
      <c r="AC4" s="17" t="n">
        <v>30</v>
      </c>
      <c r="AD4" s="17" t="n">
        <v>40</v>
      </c>
      <c r="AE4" s="17" t="n">
        <v>6.12</v>
      </c>
      <c r="AF4" s="17" t="n">
        <v>0.1</v>
      </c>
      <c r="AG4" s="17" t="n">
        <v>1.47</v>
      </c>
      <c r="AH4" s="17" t="n">
        <v>7.22</v>
      </c>
      <c r="AI4" s="17" t="n">
        <v>54.9</v>
      </c>
      <c r="AJ4" s="17" t="n">
        <v>14626.35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7" t="inlineStr">
        <is>
          <t>2026-06-24</t>
        </is>
      </c>
      <c r="B5" s="17" t="inlineStr">
        <is>
          <t>NIFTY</t>
        </is>
      </c>
      <c r="C5" s="17" t="inlineStr">
        <is>
          <t>Smart Trend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Price↑(24102.9&gt;24013.1) &amp; EMA9↑(23879.76&gt;23762.23)</t>
        </is>
      </c>
      <c r="G5" s="17" t="n">
        <v>23879.76</v>
      </c>
      <c r="H5" s="17" t="n">
        <v>23762.23</v>
      </c>
      <c r="I5" s="17" t="inlineStr">
        <is>
          <t>2026-06-25</t>
        </is>
      </c>
      <c r="J5" s="17" t="inlineStr">
        <is>
          <t>WEEKLY</t>
        </is>
      </c>
      <c r="K5" s="17" t="n">
        <v>2</v>
      </c>
      <c r="L5" s="17" t="inlineStr">
        <is>
          <t>09:20 IST</t>
        </is>
      </c>
      <c r="M5" s="17" t="inlineStr">
        <is>
          <t>11:10 IST</t>
        </is>
      </c>
      <c r="N5" s="17" t="n">
        <v>24102.9</v>
      </c>
      <c r="O5" s="17" t="n">
        <v>24013.1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21.13</v>
      </c>
      <c r="V5" s="17" t="n">
        <v>27.47</v>
      </c>
      <c r="W5" s="17" t="n">
        <v>47542.5</v>
      </c>
      <c r="X5" s="17" t="n">
        <v>47597.18</v>
      </c>
      <c r="Y5" s="17" t="n">
        <v>177457.5</v>
      </c>
      <c r="Z5" s="17" t="n">
        <v>14262.75</v>
      </c>
      <c r="AA5" s="17" t="n">
        <v>14262.75</v>
      </c>
      <c r="AB5" s="17" t="n">
        <v>14265</v>
      </c>
      <c r="AC5" s="17" t="n">
        <v>30</v>
      </c>
      <c r="AD5" s="17" t="n">
        <v>40</v>
      </c>
      <c r="AE5" s="17" t="n">
        <v>5.94</v>
      </c>
      <c r="AF5" s="17" t="n">
        <v>0.1</v>
      </c>
      <c r="AG5" s="17" t="n">
        <v>1.43</v>
      </c>
      <c r="AH5" s="17" t="n">
        <v>7.22</v>
      </c>
      <c r="AI5" s="17" t="n">
        <v>54.68</v>
      </c>
      <c r="AJ5" s="17" t="n">
        <v>14210.32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SIMULATED</t>
        </is>
      </c>
      <c r="F6" s="17" t="inlineStr">
        <is>
          <t>BULLISH</t>
        </is>
      </c>
      <c r="G6" s="17" t="inlineStr">
        <is>
          <t>Price↑(24021.65&gt;23824.1) &amp; EMA9↑(23899.33&gt;23791.89)</t>
        </is>
      </c>
      <c r="H6" s="17" t="n">
        <v>23899.33</v>
      </c>
      <c r="I6" s="17" t="n">
        <v>23791.89</v>
      </c>
      <c r="J6" s="17" t="inlineStr">
        <is>
          <t>2026-06-25</t>
        </is>
      </c>
      <c r="K6" s="17" t="inlineStr">
        <is>
          <t>WEEKLY</t>
        </is>
      </c>
      <c r="L6" s="17" t="n">
        <v>1</v>
      </c>
      <c r="M6" s="17" t="inlineStr">
        <is>
          <t>09:20 IST</t>
        </is>
      </c>
      <c r="N6" s="17" t="inlineStr">
        <is>
          <t>10:54 IST</t>
        </is>
      </c>
      <c r="O6" s="17" t="n">
        <v>24021.65</v>
      </c>
      <c r="P6" s="17" t="n">
        <v>23824.1</v>
      </c>
      <c r="Q6" s="17" t="inlineStr">
        <is>
          <t>24000 CE</t>
        </is>
      </c>
      <c r="R6" s="17" t="inlineStr">
        <is>
          <t>24100 CE</t>
        </is>
      </c>
      <c r="S6" s="17" t="n">
        <v>38</v>
      </c>
      <c r="T6" s="17" t="n">
        <v>65</v>
      </c>
      <c r="U6" s="17" t="n">
        <v>2470</v>
      </c>
      <c r="V6" s="17" t="n">
        <v>19.58</v>
      </c>
      <c r="W6" s="17" t="n">
        <v>25.45</v>
      </c>
      <c r="X6" s="17" t="n">
        <v>48362.6</v>
      </c>
      <c r="Y6" s="17" t="n">
        <v>48417.41</v>
      </c>
      <c r="Z6" s="17" t="n">
        <v>198637.4</v>
      </c>
      <c r="AA6" s="17" t="n">
        <v>14508.78</v>
      </c>
      <c r="AB6" s="17" t="n">
        <v>14508.78</v>
      </c>
      <c r="AC6" s="17" t="n">
        <v>14498.9</v>
      </c>
      <c r="AD6" s="17" t="n">
        <v>30</v>
      </c>
      <c r="AE6" s="17" t="n">
        <v>40</v>
      </c>
      <c r="AF6" s="17" t="n">
        <v>6.05</v>
      </c>
      <c r="AG6" s="17" t="n">
        <v>0.1</v>
      </c>
      <c r="AH6" s="17" t="n">
        <v>1.45</v>
      </c>
      <c r="AI6" s="17" t="n">
        <v>7.22</v>
      </c>
      <c r="AJ6" s="17" t="n">
        <v>54.81</v>
      </c>
      <c r="AK6" s="17" t="n">
        <v>14444.09</v>
      </c>
      <c r="AL6" s="17" t="inlineStr">
        <is>
          <t>PROFIT</t>
        </is>
      </c>
      <c r="AM6" s="17" t="n">
        <v>50000</v>
      </c>
      <c r="AN6" s="17" t="inlineStr">
        <is>
          <t>PAPER TRADING</t>
        </is>
      </c>
    </row>
    <row r="7">
      <c r="A7" s="17" t="inlineStr">
        <is>
          <t>2026-06-25</t>
        </is>
      </c>
      <c r="B7" s="17" t="inlineStr">
        <is>
          <t>NIFTY</t>
        </is>
      </c>
      <c r="C7" s="17" t="inlineStr">
        <is>
          <t>Smart Trend</t>
        </is>
      </c>
      <c r="D7" s="17" t="inlineStr">
        <is>
          <t>Bull Call Spread</t>
        </is>
      </c>
      <c r="E7" s="17" t="inlineStr">
        <is>
          <t>SIMULATED</t>
        </is>
      </c>
      <c r="F7" s="17" t="inlineStr">
        <is>
          <t>BULLISH</t>
        </is>
      </c>
      <c r="G7" s="17" t="inlineStr">
        <is>
          <t>Price↑(24056.0&gt;24021.65) &amp; EMA9↑(23930.53&gt;23806.47)</t>
        </is>
      </c>
      <c r="H7" s="17" t="n">
        <v>23930.53</v>
      </c>
      <c r="I7" s="17" t="n">
        <v>23806.47</v>
      </c>
      <c r="J7" s="17" t="inlineStr">
        <is>
          <t>2026-06-25</t>
        </is>
      </c>
      <c r="K7" s="17" t="inlineStr">
        <is>
          <t>WEEKLY</t>
        </is>
      </c>
      <c r="L7" s="17" t="n">
        <v>0</v>
      </c>
      <c r="M7" s="17" t="inlineStr">
        <is>
          <t>09:20 IST</t>
        </is>
      </c>
      <c r="N7" s="17" t="inlineStr">
        <is>
          <t>10:56 IST</t>
        </is>
      </c>
      <c r="O7" s="17" t="n">
        <v>24056</v>
      </c>
      <c r="P7" s="17" t="n">
        <v>24021.65</v>
      </c>
      <c r="Q7" s="17" t="inlineStr">
        <is>
          <t>24000 CE</t>
        </is>
      </c>
      <c r="R7" s="17" t="inlineStr">
        <is>
          <t>24100 CE</t>
        </is>
      </c>
      <c r="S7" s="17" t="n">
        <v>39</v>
      </c>
      <c r="T7" s="17" t="n">
        <v>65</v>
      </c>
      <c r="U7" s="17" t="n">
        <v>2535</v>
      </c>
      <c r="V7" s="17" t="n">
        <v>18.79</v>
      </c>
      <c r="W7" s="17" t="n">
        <v>24.43</v>
      </c>
      <c r="X7" s="17" t="n">
        <v>47632.65</v>
      </c>
      <c r="Y7" s="17" t="n">
        <v>47687.35</v>
      </c>
      <c r="Z7" s="17" t="n">
        <v>205867.35</v>
      </c>
      <c r="AA7" s="17" t="n">
        <v>14289.8</v>
      </c>
      <c r="AB7" s="17" t="n">
        <v>14289.8</v>
      </c>
      <c r="AC7" s="17" t="n">
        <v>14297.4</v>
      </c>
      <c r="AD7" s="17" t="n">
        <v>30</v>
      </c>
      <c r="AE7" s="17" t="n">
        <v>40</v>
      </c>
      <c r="AF7" s="17" t="n">
        <v>5.95</v>
      </c>
      <c r="AG7" s="17" t="n">
        <v>0.1</v>
      </c>
      <c r="AH7" s="17" t="n">
        <v>1.43</v>
      </c>
      <c r="AI7" s="17" t="n">
        <v>7.22</v>
      </c>
      <c r="AJ7" s="17" t="n">
        <v>54.7</v>
      </c>
      <c r="AK7" s="17" t="n">
        <v>14242.7</v>
      </c>
      <c r="AL7" s="17" t="inlineStr">
        <is>
          <t>PROFIT</t>
        </is>
      </c>
      <c r="AM7" s="17" t="n">
        <v>50000</v>
      </c>
      <c r="AN7" s="17" t="inlineStr">
        <is>
          <t>PAPER TRADING</t>
        </is>
      </c>
    </row>
    <row r="8">
      <c r="A8" s="17" t="inlineStr">
        <is>
          <t>2026-06-26</t>
        </is>
      </c>
      <c r="B8" s="17" t="inlineStr">
        <is>
          <t>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Price↑(24021.65&gt;23824.1) &amp; EMA9↑(23899.17&gt;23781.51)</t>
        </is>
      </c>
      <c r="H8" s="17" t="n">
        <v>23899.17</v>
      </c>
      <c r="I8" s="17" t="n">
        <v>23781.51</v>
      </c>
      <c r="J8" s="17" t="inlineStr">
        <is>
          <t>2026-06-25</t>
        </is>
      </c>
      <c r="K8" s="17" t="inlineStr">
        <is>
          <t>WEEKLY</t>
        </is>
      </c>
      <c r="L8" s="17" t="n">
        <v>0</v>
      </c>
      <c r="M8" s="17" t="inlineStr">
        <is>
          <t>09:20 IST</t>
        </is>
      </c>
      <c r="N8" s="17" t="inlineStr">
        <is>
          <t>09:53 IST</t>
        </is>
      </c>
      <c r="O8" s="17" t="n">
        <v>24021.65</v>
      </c>
      <c r="P8" s="17" t="n">
        <v>23824.1</v>
      </c>
      <c r="Q8" s="17" t="inlineStr">
        <is>
          <t>24000 CE</t>
        </is>
      </c>
      <c r="R8" s="17" t="inlineStr">
        <is>
          <t>24100 CE</t>
        </is>
      </c>
      <c r="S8" s="17" t="n">
        <v>41</v>
      </c>
      <c r="T8" s="17" t="n">
        <v>65</v>
      </c>
      <c r="U8" s="17" t="n">
        <v>2665</v>
      </c>
      <c r="V8" s="17" t="n">
        <v>17.74</v>
      </c>
      <c r="W8" s="17" t="n">
        <v>23.06</v>
      </c>
      <c r="X8" s="17" t="n">
        <v>47277.1</v>
      </c>
      <c r="Y8" s="17" t="n">
        <v>47331.74</v>
      </c>
      <c r="Z8" s="17" t="n">
        <v>219222.9</v>
      </c>
      <c r="AA8" s="17" t="n">
        <v>14183.13</v>
      </c>
      <c r="AB8" s="17" t="n">
        <v>14183.13</v>
      </c>
      <c r="AC8" s="17" t="n">
        <v>14177.8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14123.16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5" t="inlineStr">
        <is>
          <t>2026-06-26</t>
        </is>
      </c>
      <c r="B9" s="15" t="inlineStr">
        <is>
          <t>NIFTY</t>
        </is>
      </c>
      <c r="C9" s="15" t="inlineStr">
        <is>
          <t>Smart Trend</t>
        </is>
      </c>
      <c r="D9" s="15" t="inlineStr">
        <is>
          <t>Bull Call Spread</t>
        </is>
      </c>
      <c r="E9" s="15" t="inlineStr">
        <is>
          <t>SIMULATED</t>
        </is>
      </c>
      <c r="F9" s="15" t="inlineStr">
        <is>
          <t>BULLISH</t>
        </is>
      </c>
      <c r="G9" s="15" t="inlineStr">
        <is>
          <t>Price↑(24056.0&gt;24021.65) &amp; EMA9↑(23930.98&gt;23794.58)</t>
        </is>
      </c>
      <c r="H9" s="15" t="n">
        <v>23930.98</v>
      </c>
      <c r="I9" s="15" t="n">
        <v>23794.58</v>
      </c>
      <c r="J9" s="15" t="inlineStr">
        <is>
          <t>2026-07-02</t>
        </is>
      </c>
      <c r="K9" s="15" t="inlineStr">
        <is>
          <t>WEEKLY</t>
        </is>
      </c>
      <c r="L9" s="15" t="n">
        <v>6</v>
      </c>
      <c r="M9" s="15" t="inlineStr">
        <is>
          <t>09:20 IST</t>
        </is>
      </c>
      <c r="N9" s="15" t="inlineStr">
        <is>
          <t>09:56 IST</t>
        </is>
      </c>
      <c r="O9" s="15" t="n">
        <v>24056</v>
      </c>
      <c r="P9" s="15" t="n">
        <v>24021.65</v>
      </c>
      <c r="Q9" s="15" t="inlineStr">
        <is>
          <t>24000 CE</t>
        </is>
      </c>
      <c r="R9" s="15" t="inlineStr">
        <is>
          <t>24100 CE</t>
        </is>
      </c>
      <c r="S9" s="15" t="n">
        <v>24</v>
      </c>
      <c r="T9" s="15" t="n">
        <v>65</v>
      </c>
      <c r="U9" s="15" t="n">
        <v>1560</v>
      </c>
      <c r="V9" s="15" t="n">
        <v>30.85</v>
      </c>
      <c r="W9" s="15" t="n">
        <v>21.59</v>
      </c>
      <c r="X9" s="15" t="n">
        <v>48126</v>
      </c>
      <c r="Y9" s="15" t="n">
        <v>48180.77</v>
      </c>
      <c r="Z9" s="15" t="n">
        <v>107874</v>
      </c>
      <c r="AA9" s="15" t="n">
        <v>14437.8</v>
      </c>
      <c r="AB9" s="15" t="n">
        <v>14437.8</v>
      </c>
      <c r="AC9" s="15" t="n">
        <v>-14445.6</v>
      </c>
      <c r="AD9" s="15" t="n">
        <v>-30</v>
      </c>
      <c r="AE9" s="15" t="n">
        <v>40</v>
      </c>
      <c r="AF9" s="15" t="n">
        <v>6.02</v>
      </c>
      <c r="AG9" s="15" t="n">
        <v>0.1</v>
      </c>
      <c r="AH9" s="15" t="n">
        <v>1.44</v>
      </c>
      <c r="AI9" s="15" t="n">
        <v>7.22</v>
      </c>
      <c r="AJ9" s="15" t="n">
        <v>54.77</v>
      </c>
      <c r="AK9" s="15" t="n">
        <v>-14500.37</v>
      </c>
      <c r="AL9" s="15" t="inlineStr">
        <is>
          <t>STOP LOSS</t>
        </is>
      </c>
      <c r="AM9" s="15" t="n">
        <v>50000</v>
      </c>
      <c r="AN9" s="15" t="inlineStr">
        <is>
          <t>PAPER TRADING</t>
        </is>
      </c>
    </row>
    <row r="10">
      <c r="A10" s="17" t="inlineStr">
        <is>
          <t>2026-06-27</t>
        </is>
      </c>
      <c r="B10" s="17" t="inlineStr">
        <is>
          <t>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Price↑(24056.0&gt;24021.65) &amp; EMA9↑(23930.98&gt;23794.58)</t>
        </is>
      </c>
      <c r="H10" s="17" t="n">
        <v>23930.98</v>
      </c>
      <c r="I10" s="17" t="n">
        <v>23794.58</v>
      </c>
      <c r="J10" s="17" t="inlineStr">
        <is>
          <t>2026-07-02</t>
        </is>
      </c>
      <c r="K10" s="17" t="inlineStr">
        <is>
          <t>WEEKLY</t>
        </is>
      </c>
      <c r="L10" s="17" t="n">
        <v>6</v>
      </c>
      <c r="M10" s="17" t="inlineStr">
        <is>
          <t>09:20 IST</t>
        </is>
      </c>
      <c r="N10" s="17" t="inlineStr">
        <is>
          <t>11:06 IST</t>
        </is>
      </c>
      <c r="O10" s="17" t="n">
        <v>24056</v>
      </c>
      <c r="P10" s="17" t="n">
        <v>24021.65</v>
      </c>
      <c r="Q10" s="17" t="inlineStr">
        <is>
          <t>24000 CE</t>
        </is>
      </c>
      <c r="R10" s="17" t="inlineStr">
        <is>
          <t>24100 CE</t>
        </is>
      </c>
      <c r="S10" s="17" t="n">
        <v>19</v>
      </c>
      <c r="T10" s="17" t="n">
        <v>65</v>
      </c>
      <c r="U10" s="17" t="n">
        <v>1235</v>
      </c>
      <c r="V10" s="17" t="n">
        <v>38.8</v>
      </c>
      <c r="W10" s="17" t="n">
        <v>50.44</v>
      </c>
      <c r="X10" s="17" t="n">
        <v>47918</v>
      </c>
      <c r="Y10" s="17" t="n">
        <v>47972.74</v>
      </c>
      <c r="Z10" s="17" t="n">
        <v>75582</v>
      </c>
      <c r="AA10" s="17" t="n">
        <v>14375.4</v>
      </c>
      <c r="AB10" s="17" t="n">
        <v>14375.4</v>
      </c>
      <c r="AC10" s="17" t="n">
        <v>14375.4</v>
      </c>
      <c r="AD10" s="17" t="n">
        <v>30</v>
      </c>
      <c r="AE10" s="17" t="n">
        <v>40</v>
      </c>
      <c r="AF10" s="17" t="n">
        <v>5.99</v>
      </c>
      <c r="AG10" s="17" t="n">
        <v>0.1</v>
      </c>
      <c r="AH10" s="17" t="n">
        <v>1.44</v>
      </c>
      <c r="AI10" s="17" t="n">
        <v>7.22</v>
      </c>
      <c r="AJ10" s="17" t="n">
        <v>54.74</v>
      </c>
      <c r="AK10" s="17" t="n">
        <v>14320.66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5" t="inlineStr">
        <is>
          <t>2026-06-30</t>
        </is>
      </c>
      <c r="B11" s="15" t="inlineStr">
        <is>
          <t>NIFTY</t>
        </is>
      </c>
      <c r="C11" s="15" t="inlineStr">
        <is>
          <t>Smart Trend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Price↑(24056.0&gt;24021.65) &amp; EMA9↑(23931.75&gt;23779.81)</t>
        </is>
      </c>
      <c r="H11" s="15" t="n">
        <v>23931.75</v>
      </c>
      <c r="I11" s="15" t="n">
        <v>23779.81</v>
      </c>
      <c r="J11" s="15" t="inlineStr">
        <is>
          <t>2026-07-02</t>
        </is>
      </c>
      <c r="K11" s="15" t="inlineStr">
        <is>
          <t>WEEKLY</t>
        </is>
      </c>
      <c r="L11" s="15" t="n">
        <v>3</v>
      </c>
      <c r="M11" s="15" t="inlineStr">
        <is>
          <t>09:20 IST</t>
        </is>
      </c>
      <c r="N11" s="15" t="inlineStr">
        <is>
          <t>09:42 IST</t>
        </is>
      </c>
      <c r="O11" s="15" t="n">
        <v>24056</v>
      </c>
      <c r="P11" s="15" t="n">
        <v>24021.65</v>
      </c>
      <c r="Q11" s="15" t="inlineStr">
        <is>
          <t>24000 CE</t>
        </is>
      </c>
      <c r="R11" s="15" t="inlineStr">
        <is>
          <t>24100 CE</t>
        </is>
      </c>
      <c r="S11" s="15" t="n">
        <v>25</v>
      </c>
      <c r="T11" s="15" t="n">
        <v>65</v>
      </c>
      <c r="U11" s="15" t="n">
        <v>1625</v>
      </c>
      <c r="V11" s="15" t="n">
        <v>29.99</v>
      </c>
      <c r="W11" s="15" t="n">
        <v>20.99</v>
      </c>
      <c r="X11" s="15" t="n">
        <v>48733.75</v>
      </c>
      <c r="Y11" s="15" t="n">
        <v>48788.62</v>
      </c>
      <c r="Z11" s="15" t="n">
        <v>113766.25</v>
      </c>
      <c r="AA11" s="15" t="n">
        <v>14620.12</v>
      </c>
      <c r="AB11" s="15" t="n">
        <v>14620.12</v>
      </c>
      <c r="AC11" s="15" t="n">
        <v>-14625</v>
      </c>
      <c r="AD11" s="15" t="n">
        <v>-30</v>
      </c>
      <c r="AE11" s="15" t="n">
        <v>40</v>
      </c>
      <c r="AF11" s="15" t="n">
        <v>6.09</v>
      </c>
      <c r="AG11" s="15" t="n">
        <v>0.1</v>
      </c>
      <c r="AH11" s="15" t="n">
        <v>1.46</v>
      </c>
      <c r="AI11" s="15" t="n">
        <v>7.22</v>
      </c>
      <c r="AJ11" s="15" t="n">
        <v>54.87</v>
      </c>
      <c r="AK11" s="15" t="n">
        <v>-14679.87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7" t="inlineStr">
        <is>
          <t>2026-07-01</t>
        </is>
      </c>
      <c r="B12" s="17" t="inlineStr">
        <is>
          <t>NIFTY</t>
        </is>
      </c>
      <c r="C12" s="17" t="inlineStr">
        <is>
          <t>Smart Trend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BULLISH</t>
        </is>
      </c>
      <c r="G12" s="17" t="inlineStr">
        <is>
          <t>Price↑(24005.85&gt;23865.75) &amp; EMA9↑(23938.67&gt;23797.85)</t>
        </is>
      </c>
      <c r="H12" s="17" t="n">
        <v>23938.67</v>
      </c>
      <c r="I12" s="17" t="n">
        <v>23797.85</v>
      </c>
      <c r="J12" s="17" t="inlineStr">
        <is>
          <t>2026-07-02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10:07 IST</t>
        </is>
      </c>
      <c r="O12" s="17" t="n">
        <v>24005.85</v>
      </c>
      <c r="P12" s="17" t="n">
        <v>23865.75</v>
      </c>
      <c r="Q12" s="17" t="inlineStr">
        <is>
          <t>24000 CE</t>
        </is>
      </c>
      <c r="R12" s="17" t="inlineStr">
        <is>
          <t>24100 CE</t>
        </is>
      </c>
      <c r="S12" s="17" t="n">
        <v>34</v>
      </c>
      <c r="T12" s="17" t="n">
        <v>65</v>
      </c>
      <c r="U12" s="17" t="n">
        <v>2210</v>
      </c>
      <c r="V12" s="17" t="n">
        <v>21.44</v>
      </c>
      <c r="W12" s="17" t="n">
        <v>27.87</v>
      </c>
      <c r="X12" s="17" t="n">
        <v>47382.4</v>
      </c>
      <c r="Y12" s="17" t="n">
        <v>47437.06</v>
      </c>
      <c r="Z12" s="17" t="n">
        <v>173617.6</v>
      </c>
      <c r="AA12" s="17" t="n">
        <v>14214.72</v>
      </c>
      <c r="AB12" s="17" t="n">
        <v>14214.72</v>
      </c>
      <c r="AC12" s="17" t="n">
        <v>14210.3</v>
      </c>
      <c r="AD12" s="17" t="n">
        <v>30</v>
      </c>
      <c r="AE12" s="17" t="n">
        <v>40</v>
      </c>
      <c r="AF12" s="17" t="n">
        <v>5.92</v>
      </c>
      <c r="AG12" s="17" t="n">
        <v>0.09</v>
      </c>
      <c r="AH12" s="17" t="n">
        <v>1.42</v>
      </c>
      <c r="AI12" s="17" t="n">
        <v>7.22</v>
      </c>
      <c r="AJ12" s="17" t="n">
        <v>54.66</v>
      </c>
      <c r="AK12" s="17" t="n">
        <v>14155.64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2026-07-02</t>
        </is>
      </c>
      <c r="B13" s="17" t="inlineStr">
        <is>
          <t>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Price↑(24175.7&gt;24005.85) &amp; EMA9↑(23986.43&gt;23821.26)</t>
        </is>
      </c>
      <c r="H13" s="17" t="n">
        <v>23986.43</v>
      </c>
      <c r="I13" s="17" t="n">
        <v>23821.26</v>
      </c>
      <c r="J13" s="17" t="inlineStr">
        <is>
          <t>2026-07-02</t>
        </is>
      </c>
      <c r="K13" s="17" t="inlineStr">
        <is>
          <t>WEEKLY</t>
        </is>
      </c>
      <c r="L13" s="17" t="n">
        <v>0</v>
      </c>
      <c r="M13" s="17" t="inlineStr">
        <is>
          <t>09:20 IST</t>
        </is>
      </c>
      <c r="N13" s="17" t="inlineStr">
        <is>
          <t>11:21 IST</t>
        </is>
      </c>
      <c r="O13" s="17" t="n">
        <v>24175.7</v>
      </c>
      <c r="P13" s="17" t="n">
        <v>24005.85</v>
      </c>
      <c r="Q13" s="17" t="inlineStr">
        <is>
          <t>24100 CE</t>
        </is>
      </c>
      <c r="R13" s="17" t="inlineStr">
        <is>
          <t>24200 CE</t>
        </is>
      </c>
      <c r="S13" s="17" t="n">
        <v>36</v>
      </c>
      <c r="T13" s="17" t="n">
        <v>65</v>
      </c>
      <c r="U13" s="17" t="n">
        <v>2340</v>
      </c>
      <c r="V13" s="17" t="n">
        <v>20.39</v>
      </c>
      <c r="W13" s="17" t="n">
        <v>26.51</v>
      </c>
      <c r="X13" s="17" t="n">
        <v>47712.6</v>
      </c>
      <c r="Y13" s="17" t="n">
        <v>47767.31</v>
      </c>
      <c r="Z13" s="17" t="n">
        <v>186287.4</v>
      </c>
      <c r="AA13" s="17" t="n">
        <v>14313.78</v>
      </c>
      <c r="AB13" s="17" t="n">
        <v>14313.78</v>
      </c>
      <c r="AC13" s="17" t="n">
        <v>14320.8</v>
      </c>
      <c r="AD13" s="17" t="n">
        <v>30</v>
      </c>
      <c r="AE13" s="17" t="n">
        <v>40</v>
      </c>
      <c r="AF13" s="17" t="n">
        <v>5.96</v>
      </c>
      <c r="AG13" s="17" t="n">
        <v>0.1</v>
      </c>
      <c r="AH13" s="17" t="n">
        <v>1.43</v>
      </c>
      <c r="AI13" s="17" t="n">
        <v>7.22</v>
      </c>
      <c r="AJ13" s="17" t="n">
        <v>54.71</v>
      </c>
      <c r="AK13" s="17" t="n">
        <v>14266.09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Price↑(24005.85&gt;23865.75) &amp; EMA9↑(23939.11&gt;23785.81)</t>
        </is>
      </c>
      <c r="H14" s="17" t="n">
        <v>23939.11</v>
      </c>
      <c r="I14" s="17" t="n">
        <v>23785.81</v>
      </c>
      <c r="J14" s="17" t="inlineStr">
        <is>
          <t>2026-07-02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10:03 IST</t>
        </is>
      </c>
      <c r="O14" s="17" t="n">
        <v>24005.85</v>
      </c>
      <c r="P14" s="17" t="n">
        <v>23865.75</v>
      </c>
      <c r="Q14" s="17" t="inlineStr">
        <is>
          <t>24000 CE</t>
        </is>
      </c>
      <c r="R14" s="17" t="inlineStr">
        <is>
          <t>24100 CE</t>
        </is>
      </c>
      <c r="S14" s="17" t="n">
        <v>47</v>
      </c>
      <c r="T14" s="17" t="n">
        <v>65</v>
      </c>
      <c r="U14" s="17" t="n">
        <v>3055</v>
      </c>
      <c r="V14" s="17" t="n">
        <v>15.71</v>
      </c>
      <c r="W14" s="17" t="n">
        <v>20.42</v>
      </c>
      <c r="X14" s="17" t="n">
        <v>47994.05</v>
      </c>
      <c r="Y14" s="17" t="n">
        <v>48048.8</v>
      </c>
      <c r="Z14" s="17" t="n">
        <v>257505.95</v>
      </c>
      <c r="AA14" s="17" t="n">
        <v>14398.22</v>
      </c>
      <c r="AB14" s="17" t="n">
        <v>14398.22</v>
      </c>
      <c r="AC14" s="17" t="n">
        <v>14389.05</v>
      </c>
      <c r="AD14" s="17" t="n">
        <v>30</v>
      </c>
      <c r="AE14" s="17" t="n">
        <v>40</v>
      </c>
      <c r="AF14" s="17" t="n">
        <v>6</v>
      </c>
      <c r="AG14" s="17" t="n">
        <v>0.1</v>
      </c>
      <c r="AH14" s="17" t="n">
        <v>1.44</v>
      </c>
      <c r="AI14" s="17" t="n">
        <v>7.22</v>
      </c>
      <c r="AJ14" s="17" t="n">
        <v>54.75</v>
      </c>
      <c r="AK14" s="17" t="n">
        <v>14334.3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2026-07-03</t>
        </is>
      </c>
      <c r="B15" s="16" t="inlineStr">
        <is>
          <t>NIFTY</t>
        </is>
      </c>
      <c r="C15" s="16" t="inlineStr">
        <is>
          <t>Smart Trend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Price↑(24270.85&gt;24175.7) &amp; EMA9↑(24043.55&gt;23856.79)</t>
        </is>
      </c>
      <c r="H15" s="16" t="n">
        <v>24043.55</v>
      </c>
      <c r="I15" s="16" t="n">
        <v>23856.79</v>
      </c>
      <c r="J15" s="16" t="inlineStr">
        <is>
          <t>2026-07-09</t>
        </is>
      </c>
      <c r="K15" s="16" t="inlineStr">
        <is>
          <t>WEEKLY</t>
        </is>
      </c>
      <c r="L15" s="16" t="n">
        <v>6</v>
      </c>
      <c r="M15" s="16" t="inlineStr">
        <is>
          <t>09:20 IST</t>
        </is>
      </c>
      <c r="N15" s="16" t="inlineStr">
        <is>
          <t>15:01 IST</t>
        </is>
      </c>
      <c r="O15" s="16" t="n">
        <v>24270.85</v>
      </c>
      <c r="P15" s="16" t="n">
        <v>24175.7</v>
      </c>
      <c r="Q15" s="16" t="inlineStr">
        <is>
          <t>24200 CE</t>
        </is>
      </c>
      <c r="R15" s="16" t="inlineStr">
        <is>
          <t>24300 CE</t>
        </is>
      </c>
      <c r="S15" s="16" t="n">
        <v>26</v>
      </c>
      <c r="T15" s="16" t="n">
        <v>65</v>
      </c>
      <c r="U15" s="16" t="n">
        <v>1690</v>
      </c>
      <c r="V15" s="16" t="n">
        <v>28.75</v>
      </c>
      <c r="W15" s="16" t="n">
        <v>27.86</v>
      </c>
      <c r="X15" s="16" t="n">
        <v>48587.5</v>
      </c>
      <c r="Y15" s="16" t="n">
        <v>48642.35</v>
      </c>
      <c r="Z15" s="16" t="n">
        <v>120412.5</v>
      </c>
      <c r="AA15" s="16" t="n">
        <v>14576.25</v>
      </c>
      <c r="AB15" s="16" t="n">
        <v>14576.25</v>
      </c>
      <c r="AC15" s="16" t="n">
        <v>-1504.1</v>
      </c>
      <c r="AD15" s="16" t="n">
        <v>-3.1</v>
      </c>
      <c r="AE15" s="16" t="n">
        <v>40</v>
      </c>
      <c r="AF15" s="16" t="n">
        <v>6.07</v>
      </c>
      <c r="AG15" s="16" t="n">
        <v>0.1</v>
      </c>
      <c r="AH15" s="16" t="n">
        <v>1.46</v>
      </c>
      <c r="AI15" s="16" t="n">
        <v>7.22</v>
      </c>
      <c r="AJ15" s="16" t="n">
        <v>54.85</v>
      </c>
      <c r="AK15" s="16" t="n">
        <v>-1558.95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N2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BANKNIFTY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Bull Call Spread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11:45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82.20999999999999</v>
      </c>
      <c r="V3" s="17" t="n">
        <v>106.87</v>
      </c>
      <c r="W3" s="17" t="n">
        <v>46859.7</v>
      </c>
      <c r="X3" s="17" t="n">
        <v>46914.27</v>
      </c>
      <c r="Y3" s="17" t="n">
        <v>67140.3</v>
      </c>
      <c r="Z3" s="17" t="n">
        <v>14057.91</v>
      </c>
      <c r="AA3" s="17" t="n">
        <v>14057.91</v>
      </c>
      <c r="AB3" s="17" t="n">
        <v>14056.2</v>
      </c>
      <c r="AC3" s="17" t="n">
        <v>30</v>
      </c>
      <c r="AD3" s="17" t="n">
        <v>40</v>
      </c>
      <c r="AE3" s="17" t="n">
        <v>5.86</v>
      </c>
      <c r="AF3" s="17" t="n">
        <v>0.09</v>
      </c>
      <c r="AG3" s="17" t="n">
        <v>1.41</v>
      </c>
      <c r="AH3" s="17" t="n">
        <v>7.22</v>
      </c>
      <c r="AI3" s="17" t="n">
        <v>54.57</v>
      </c>
      <c r="AJ3" s="17" t="n">
        <v>14001.63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12:02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29</v>
      </c>
      <c r="S4" s="17" t="n">
        <v>30</v>
      </c>
      <c r="T4" s="17" t="n">
        <v>870</v>
      </c>
      <c r="U4" s="17" t="n">
        <v>55.8</v>
      </c>
      <c r="V4" s="17" t="n">
        <v>72.54000000000001</v>
      </c>
      <c r="W4" s="17" t="n">
        <v>48546</v>
      </c>
      <c r="X4" s="17" t="n">
        <v>48600.84</v>
      </c>
      <c r="Y4" s="17" t="n">
        <v>125454</v>
      </c>
      <c r="Z4" s="17" t="n">
        <v>14563.8</v>
      </c>
      <c r="AA4" s="17" t="n">
        <v>14563.8</v>
      </c>
      <c r="AB4" s="17" t="n">
        <v>14563.8</v>
      </c>
      <c r="AC4" s="17" t="n">
        <v>30</v>
      </c>
      <c r="AD4" s="17" t="n">
        <v>40</v>
      </c>
      <c r="AE4" s="17" t="n">
        <v>6.07</v>
      </c>
      <c r="AF4" s="17" t="n">
        <v>0.1</v>
      </c>
      <c r="AG4" s="17" t="n">
        <v>1.46</v>
      </c>
      <c r="AH4" s="17" t="n">
        <v>7.22</v>
      </c>
      <c r="AI4" s="17" t="n">
        <v>54.84</v>
      </c>
      <c r="AJ4" s="17" t="n">
        <v>14508.96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6" t="inlineStr">
        <is>
          <t>2026-06-19</t>
        </is>
      </c>
      <c r="B5" s="16" t="inlineStr">
        <is>
          <t>BANKNIFTY</t>
        </is>
      </c>
      <c r="C5" s="16" t="inlineStr">
        <is>
          <t>Bull Call Spread</t>
        </is>
      </c>
      <c r="D5" s="16" t="inlineStr">
        <is>
          <t>Bull Call Spread</t>
        </is>
      </c>
      <c r="E5" s="16" t="inlineStr">
        <is>
          <t>SKIP</t>
        </is>
      </c>
      <c r="F5" s="16" t="inlineStr">
        <is>
          <t>Conflicting — Price:BEARISH EMA:BULLISH</t>
        </is>
      </c>
      <c r="G5" s="16" t="n">
        <v>56788.95</v>
      </c>
      <c r="H5" s="16" t="n">
        <v>55679.28</v>
      </c>
      <c r="I5" s="16" t="inlineStr">
        <is>
          <t>2026-06-25</t>
        </is>
      </c>
      <c r="J5" s="16" t="inlineStr">
        <is>
          <t>MONTHLY</t>
        </is>
      </c>
      <c r="K5" s="16" t="n">
        <v>6</v>
      </c>
      <c r="L5" s="16" t="inlineStr">
        <is>
          <t>09:20 IST</t>
        </is>
      </c>
      <c r="M5" s="16" t="inlineStr">
        <is>
          <t>14:40 IST</t>
        </is>
      </c>
      <c r="N5" s="16" t="n">
        <v>57685.75</v>
      </c>
      <c r="O5" s="16" t="n">
        <v>57963.8</v>
      </c>
      <c r="P5" s="16" t="inlineStr">
        <is>
          <t>57600 CE</t>
        </is>
      </c>
      <c r="Q5" s="16" t="inlineStr">
        <is>
          <t>57800 CE</t>
        </is>
      </c>
      <c r="R5" s="16" t="n">
        <v>32</v>
      </c>
      <c r="S5" s="16" t="n">
        <v>30</v>
      </c>
      <c r="T5" s="16" t="n">
        <v>960</v>
      </c>
      <c r="U5" s="16" t="n">
        <v>50.62</v>
      </c>
      <c r="V5" s="16" t="n">
        <v>49.94</v>
      </c>
      <c r="W5" s="16" t="n">
        <v>48595.2</v>
      </c>
      <c r="X5" s="16" t="n">
        <v>48650.05</v>
      </c>
      <c r="Y5" s="16" t="n">
        <v>143404.8</v>
      </c>
      <c r="Z5" s="16" t="n">
        <v>14578.56</v>
      </c>
      <c r="AA5" s="16" t="n">
        <v>14578.56</v>
      </c>
      <c r="AB5" s="16" t="n">
        <v>-652.8</v>
      </c>
      <c r="AC5" s="16" t="n">
        <v>-1.3</v>
      </c>
      <c r="AD5" s="16" t="n">
        <v>40</v>
      </c>
      <c r="AE5" s="16" t="n">
        <v>6.07</v>
      </c>
      <c r="AF5" s="16" t="n">
        <v>0.1</v>
      </c>
      <c r="AG5" s="16" t="n">
        <v>1.46</v>
      </c>
      <c r="AH5" s="16" t="n">
        <v>7.22</v>
      </c>
      <c r="AI5" s="16" t="n">
        <v>54.85</v>
      </c>
      <c r="AJ5" s="16" t="n">
        <v>-707.65</v>
      </c>
      <c r="AK5" s="16" t="inlineStr">
        <is>
          <t>FLAT</t>
        </is>
      </c>
      <c r="AL5" s="16" t="n">
        <v>50000</v>
      </c>
      <c r="AM5" s="16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BANKNIFTY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Price↑(57963.8&gt;57585.05) &amp; EMA9↑(56564.74&gt;55478.64)</t>
        </is>
      </c>
      <c r="G6" s="15" t="n">
        <v>56564.74</v>
      </c>
      <c r="H6" s="15" t="n">
        <v>55478.64</v>
      </c>
      <c r="I6" s="15" t="inlineStr">
        <is>
          <t>2026-06-25</t>
        </is>
      </c>
      <c r="J6" s="15" t="inlineStr">
        <is>
          <t>MONTHLY</t>
        </is>
      </c>
      <c r="K6" s="15" t="n">
        <v>6</v>
      </c>
      <c r="L6" s="15" t="inlineStr">
        <is>
          <t>09:20 IST</t>
        </is>
      </c>
      <c r="M6" s="15" t="inlineStr">
        <is>
          <t>10:18 IST</t>
        </is>
      </c>
      <c r="N6" s="15" t="n">
        <v>57963.8</v>
      </c>
      <c r="O6" s="15" t="n">
        <v>57585.05</v>
      </c>
      <c r="P6" s="15" t="inlineStr">
        <is>
          <t>57800 CE</t>
        </is>
      </c>
      <c r="Q6" s="15" t="inlineStr">
        <is>
          <t>58000 CE</t>
        </is>
      </c>
      <c r="R6" s="15" t="n">
        <v>23</v>
      </c>
      <c r="S6" s="15" t="n">
        <v>30</v>
      </c>
      <c r="T6" s="15" t="n">
        <v>690</v>
      </c>
      <c r="U6" s="15" t="n">
        <v>70.66</v>
      </c>
      <c r="V6" s="15" t="n">
        <v>49.46</v>
      </c>
      <c r="W6" s="15" t="n">
        <v>48755.4</v>
      </c>
      <c r="X6" s="15" t="n">
        <v>48810.27</v>
      </c>
      <c r="Y6" s="15" t="n">
        <v>89244.60000000001</v>
      </c>
      <c r="Z6" s="15" t="n">
        <v>14626.62</v>
      </c>
      <c r="AA6" s="15" t="n">
        <v>14626.62</v>
      </c>
      <c r="AB6" s="15" t="n">
        <v>-14628</v>
      </c>
      <c r="AC6" s="15" t="n">
        <v>-30</v>
      </c>
      <c r="AD6" s="15" t="n">
        <v>40</v>
      </c>
      <c r="AE6" s="15" t="n">
        <v>6.09</v>
      </c>
      <c r="AF6" s="15" t="n">
        <v>0.1</v>
      </c>
      <c r="AG6" s="15" t="n">
        <v>1.46</v>
      </c>
      <c r="AH6" s="15" t="n">
        <v>7.22</v>
      </c>
      <c r="AI6" s="15" t="n">
        <v>54.87</v>
      </c>
      <c r="AJ6" s="15" t="n">
        <v>-14682.87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5" t="inlineStr">
        <is>
          <t>2026-06-23</t>
        </is>
      </c>
      <c r="B7" s="15" t="inlineStr">
        <is>
          <t>BANKNIFTY</t>
        </is>
      </c>
      <c r="C7" s="15" t="inlineStr">
        <is>
          <t>Bull Call Spread</t>
        </is>
      </c>
      <c r="D7" s="15" t="inlineStr">
        <is>
          <t>Bull Call Spread</t>
        </is>
      </c>
      <c r="E7" s="15" t="inlineStr">
        <is>
          <t>SKIP</t>
        </is>
      </c>
      <c r="F7" s="15" t="inlineStr">
        <is>
          <t>Conflicting — Price:BEARISH EMA:BULLISH</t>
        </is>
      </c>
      <c r="G7" s="15" t="n">
        <v>56787.29</v>
      </c>
      <c r="H7" s="15" t="n">
        <v>55649.38</v>
      </c>
      <c r="I7" s="15" t="inlineStr">
        <is>
          <t>2026-06-25</t>
        </is>
      </c>
      <c r="J7" s="15" t="inlineStr">
        <is>
          <t>MONTHLY</t>
        </is>
      </c>
      <c r="K7" s="15" t="n">
        <v>3</v>
      </c>
      <c r="L7" s="15" t="inlineStr">
        <is>
          <t>09:20 IST</t>
        </is>
      </c>
      <c r="M7" s="15" t="inlineStr">
        <is>
          <t>11:05 IST</t>
        </is>
      </c>
      <c r="N7" s="15" t="n">
        <v>57685.75</v>
      </c>
      <c r="O7" s="15" t="n">
        <v>57963.8</v>
      </c>
      <c r="P7" s="15" t="inlineStr">
        <is>
          <t>57600 CE</t>
        </is>
      </c>
      <c r="Q7" s="15" t="inlineStr">
        <is>
          <t>57800 CE</t>
        </is>
      </c>
      <c r="R7" s="15" t="n">
        <v>22</v>
      </c>
      <c r="S7" s="15" t="n">
        <v>30</v>
      </c>
      <c r="T7" s="15" t="n">
        <v>660</v>
      </c>
      <c r="U7" s="15" t="n">
        <v>71.52</v>
      </c>
      <c r="V7" s="15" t="n">
        <v>50.06</v>
      </c>
      <c r="W7" s="15" t="n">
        <v>47203.2</v>
      </c>
      <c r="X7" s="15" t="n">
        <v>47257.83</v>
      </c>
      <c r="Y7" s="15" t="n">
        <v>84796.8</v>
      </c>
      <c r="Z7" s="15" t="n">
        <v>14160.96</v>
      </c>
      <c r="AA7" s="15" t="n">
        <v>14160.96</v>
      </c>
      <c r="AB7" s="15" t="n">
        <v>-14163.6</v>
      </c>
      <c r="AC7" s="15" t="n">
        <v>-30</v>
      </c>
      <c r="AD7" s="15" t="n">
        <v>40</v>
      </c>
      <c r="AE7" s="15" t="n">
        <v>5.9</v>
      </c>
      <c r="AF7" s="15" t="n">
        <v>0.09</v>
      </c>
      <c r="AG7" s="15" t="n">
        <v>1.42</v>
      </c>
      <c r="AH7" s="15" t="n">
        <v>7.22</v>
      </c>
      <c r="AI7" s="15" t="n">
        <v>54.63</v>
      </c>
      <c r="AJ7" s="15" t="n">
        <v>-14218.23</v>
      </c>
      <c r="AK7" s="15" t="inlineStr">
        <is>
          <t>STOP LOSS</t>
        </is>
      </c>
      <c r="AL7" s="15" t="n">
        <v>50000</v>
      </c>
      <c r="AM7" s="15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10:34 IST</t>
        </is>
      </c>
      <c r="N8" s="15" t="n">
        <v>57685.75</v>
      </c>
      <c r="O8" s="15" t="n">
        <v>57963.8</v>
      </c>
      <c r="P8" s="15" t="inlineStr">
        <is>
          <t>57600 CE</t>
        </is>
      </c>
      <c r="Q8" s="15" t="inlineStr">
        <is>
          <t>57800 CE</t>
        </is>
      </c>
      <c r="R8" s="15" t="n">
        <v>23</v>
      </c>
      <c r="S8" s="15" t="n">
        <v>30</v>
      </c>
      <c r="T8" s="15" t="n">
        <v>690</v>
      </c>
      <c r="U8" s="15" t="n">
        <v>68.47</v>
      </c>
      <c r="V8" s="15" t="n">
        <v>47.93</v>
      </c>
      <c r="W8" s="15" t="n">
        <v>47244.3</v>
      </c>
      <c r="X8" s="15" t="n">
        <v>47298.93</v>
      </c>
      <c r="Y8" s="15" t="n">
        <v>90755.7</v>
      </c>
      <c r="Z8" s="15" t="n">
        <v>14173.29</v>
      </c>
      <c r="AA8" s="15" t="n">
        <v>14173.29</v>
      </c>
      <c r="AB8" s="15" t="n">
        <v>-14172.6</v>
      </c>
      <c r="AC8" s="15" t="n">
        <v>-30</v>
      </c>
      <c r="AD8" s="15" t="n">
        <v>40</v>
      </c>
      <c r="AE8" s="15" t="n">
        <v>5.91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-14227.23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BANKNIFTY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57048.75</v>
      </c>
      <c r="H9" s="17" t="n">
        <v>55970.07</v>
      </c>
      <c r="I9" s="17" t="inlineStr">
        <is>
          <t>2026-06-25</t>
        </is>
      </c>
      <c r="J9" s="17" t="inlineStr">
        <is>
          <t>MONTHLY</t>
        </is>
      </c>
      <c r="K9" s="17" t="n">
        <v>2</v>
      </c>
      <c r="L9" s="17" t="inlineStr">
        <is>
          <t>09:20 IST</t>
        </is>
      </c>
      <c r="M9" s="17" t="inlineStr">
        <is>
          <t>09:49 IST</t>
        </is>
      </c>
      <c r="N9" s="17" t="n">
        <v>57183.75</v>
      </c>
      <c r="O9" s="17" t="n">
        <v>57935.6</v>
      </c>
      <c r="P9" s="17" t="inlineStr">
        <is>
          <t>57000 CE</t>
        </is>
      </c>
      <c r="Q9" s="17" t="inlineStr">
        <is>
          <t>57200 CE</t>
        </is>
      </c>
      <c r="R9" s="17" t="n">
        <v>49</v>
      </c>
      <c r="S9" s="17" t="n">
        <v>30</v>
      </c>
      <c r="T9" s="17" t="n">
        <v>1470</v>
      </c>
      <c r="U9" s="17" t="n">
        <v>32.55</v>
      </c>
      <c r="V9" s="17" t="n">
        <v>42.31</v>
      </c>
      <c r="W9" s="17" t="n">
        <v>47848.5</v>
      </c>
      <c r="X9" s="17" t="n">
        <v>47903.23</v>
      </c>
      <c r="Y9" s="17" t="n">
        <v>246151.5</v>
      </c>
      <c r="Z9" s="17" t="n">
        <v>14354.55</v>
      </c>
      <c r="AA9" s="17" t="n">
        <v>14354.55</v>
      </c>
      <c r="AB9" s="17" t="n">
        <v>14347.2</v>
      </c>
      <c r="AC9" s="17" t="n">
        <v>30</v>
      </c>
      <c r="AD9" s="17" t="n">
        <v>40</v>
      </c>
      <c r="AE9" s="17" t="n">
        <v>5.98</v>
      </c>
      <c r="AF9" s="17" t="n">
        <v>0.1</v>
      </c>
      <c r="AG9" s="17" t="n">
        <v>1.44</v>
      </c>
      <c r="AH9" s="17" t="n">
        <v>7.22</v>
      </c>
      <c r="AI9" s="17" t="n">
        <v>54.73</v>
      </c>
      <c r="AJ9" s="17" t="n">
        <v>14292.47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10:00 IST</t>
        </is>
      </c>
      <c r="N10" s="17" t="n">
        <v>57935.6</v>
      </c>
      <c r="O10" s="17" t="n">
        <v>57685.75</v>
      </c>
      <c r="P10" s="17" t="inlineStr">
        <is>
          <t>57800 CE</t>
        </is>
      </c>
      <c r="Q10" s="17" t="inlineStr">
        <is>
          <t>58000 CE</t>
        </is>
      </c>
      <c r="R10" s="17" t="n">
        <v>41</v>
      </c>
      <c r="S10" s="17" t="n">
        <v>30</v>
      </c>
      <c r="T10" s="17" t="n">
        <v>1230</v>
      </c>
      <c r="U10" s="17" t="n">
        <v>39.16</v>
      </c>
      <c r="V10" s="17" t="n">
        <v>50.91</v>
      </c>
      <c r="W10" s="17" t="n">
        <v>48166.8</v>
      </c>
      <c r="X10" s="17" t="n">
        <v>48221.58</v>
      </c>
      <c r="Y10" s="17" t="n">
        <v>197833.2</v>
      </c>
      <c r="Z10" s="17" t="n">
        <v>14450.04</v>
      </c>
      <c r="AA10" s="17" t="n">
        <v>14450.04</v>
      </c>
      <c r="AB10" s="17" t="n">
        <v>14452.5</v>
      </c>
      <c r="AC10" s="17" t="n">
        <v>30</v>
      </c>
      <c r="AD10" s="17" t="n">
        <v>40</v>
      </c>
      <c r="AE10" s="17" t="n">
        <v>6.02</v>
      </c>
      <c r="AF10" s="17" t="n">
        <v>0.1</v>
      </c>
      <c r="AG10" s="17" t="n">
        <v>1.45</v>
      </c>
      <c r="AH10" s="17" t="n">
        <v>7.22</v>
      </c>
      <c r="AI10" s="17" t="n">
        <v>54.78</v>
      </c>
      <c r="AJ10" s="17" t="n">
        <v>14397.72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6" t="inlineStr">
        <is>
          <t>2026-06-24</t>
        </is>
      </c>
      <c r="B11" s="16" t="inlineStr">
        <is>
          <t>BANKNIFTY</t>
        </is>
      </c>
      <c r="C11" s="16" t="inlineStr">
        <is>
          <t>Bull Call Spread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Price↑(58150.35&gt;57183.75) &amp; EMA9↑(57268.28&gt;56132.92)</t>
        </is>
      </c>
      <c r="H11" s="16" t="n">
        <v>57268.28</v>
      </c>
      <c r="I11" s="16" t="n">
        <v>56132.92</v>
      </c>
      <c r="J11" s="16" t="inlineStr">
        <is>
          <t>2026-06-25</t>
        </is>
      </c>
      <c r="K11" s="16" t="inlineStr">
        <is>
          <t>MONTHLY</t>
        </is>
      </c>
      <c r="L11" s="16" t="n">
        <v>1</v>
      </c>
      <c r="M11" s="16" t="inlineStr">
        <is>
          <t>09:20 IST</t>
        </is>
      </c>
      <c r="N11" s="16" t="inlineStr">
        <is>
          <t>14:01 IST</t>
        </is>
      </c>
      <c r="O11" s="16" t="n">
        <v>58150.35</v>
      </c>
      <c r="P11" s="16" t="n">
        <v>57183.75</v>
      </c>
      <c r="Q11" s="16" t="inlineStr">
        <is>
          <t>58000 CE</t>
        </is>
      </c>
      <c r="R11" s="16" t="inlineStr">
        <is>
          <t>58200 CE</t>
        </is>
      </c>
      <c r="S11" s="16" t="n">
        <v>34</v>
      </c>
      <c r="T11" s="16" t="n">
        <v>30</v>
      </c>
      <c r="U11" s="16" t="n">
        <v>1020</v>
      </c>
      <c r="V11" s="16" t="n">
        <v>46.51</v>
      </c>
      <c r="W11" s="16" t="n">
        <v>45.29</v>
      </c>
      <c r="X11" s="16" t="n">
        <v>47440.2</v>
      </c>
      <c r="Y11" s="16" t="n">
        <v>47494.87</v>
      </c>
      <c r="Z11" s="16" t="n">
        <v>156559.8</v>
      </c>
      <c r="AA11" s="16" t="n">
        <v>14232.06</v>
      </c>
      <c r="AB11" s="16" t="n">
        <v>14232.06</v>
      </c>
      <c r="AC11" s="16" t="n">
        <v>-1244.4</v>
      </c>
      <c r="AD11" s="16" t="n">
        <v>-2.6</v>
      </c>
      <c r="AE11" s="16" t="n">
        <v>40</v>
      </c>
      <c r="AF11" s="16" t="n">
        <v>5.93</v>
      </c>
      <c r="AG11" s="16" t="n">
        <v>0.09</v>
      </c>
      <c r="AH11" s="16" t="n">
        <v>1.42</v>
      </c>
      <c r="AI11" s="16" t="n">
        <v>7.22</v>
      </c>
      <c r="AJ11" s="16" t="n">
        <v>54.67</v>
      </c>
      <c r="AK11" s="16" t="n">
        <v>-1299.07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BANKNIFTY</t>
        </is>
      </c>
      <c r="C12" s="17" t="inlineStr">
        <is>
          <t>Bull Call Spread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57047.77</v>
      </c>
      <c r="I12" s="17" t="n">
        <v>55931.18</v>
      </c>
      <c r="J12" s="17" t="inlineStr">
        <is>
          <t>2026-06-25</t>
        </is>
      </c>
      <c r="K12" s="17" t="inlineStr">
        <is>
          <t>MONTHLY</t>
        </is>
      </c>
      <c r="L12" s="17" t="n">
        <v>1</v>
      </c>
      <c r="M12" s="17" t="inlineStr">
        <is>
          <t>09:20 IST</t>
        </is>
      </c>
      <c r="N12" s="17" t="inlineStr">
        <is>
          <t>10:50 IST</t>
        </is>
      </c>
      <c r="O12" s="17" t="n">
        <v>57183.75</v>
      </c>
      <c r="P12" s="17" t="n">
        <v>57935.6</v>
      </c>
      <c r="Q12" s="17" t="inlineStr">
        <is>
          <t>57000 CE</t>
        </is>
      </c>
      <c r="R12" s="17" t="inlineStr">
        <is>
          <t>57200 CE</t>
        </is>
      </c>
      <c r="S12" s="17" t="n">
        <v>44</v>
      </c>
      <c r="T12" s="17" t="n">
        <v>30</v>
      </c>
      <c r="U12" s="17" t="n">
        <v>1320</v>
      </c>
      <c r="V12" s="17" t="n">
        <v>35.77</v>
      </c>
      <c r="W12" s="17" t="n">
        <v>46.5</v>
      </c>
      <c r="X12" s="17" t="n">
        <v>47216.4</v>
      </c>
      <c r="Y12" s="17" t="n">
        <v>47271.03</v>
      </c>
      <c r="Z12" s="17" t="n">
        <v>216783.6</v>
      </c>
      <c r="AA12" s="17" t="n">
        <v>14164.92</v>
      </c>
      <c r="AB12" s="17" t="n">
        <v>14164.92</v>
      </c>
      <c r="AC12" s="17" t="n">
        <v>14163.6</v>
      </c>
      <c r="AD12" s="17" t="n">
        <v>30</v>
      </c>
      <c r="AE12" s="17" t="n">
        <v>40</v>
      </c>
      <c r="AF12" s="17" t="n">
        <v>5.9</v>
      </c>
      <c r="AG12" s="17" t="n">
        <v>0.09</v>
      </c>
      <c r="AH12" s="17" t="n">
        <v>1.42</v>
      </c>
      <c r="AI12" s="17" t="n">
        <v>7.22</v>
      </c>
      <c r="AJ12" s="17" t="n">
        <v>54.63</v>
      </c>
      <c r="AK12" s="17" t="n">
        <v>14108.97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Bull Call Spread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09:55 IST</t>
        </is>
      </c>
      <c r="O13" s="17" t="n">
        <v>58177.05</v>
      </c>
      <c r="P13" s="17" t="n">
        <v>58150.35</v>
      </c>
      <c r="Q13" s="17" t="inlineStr">
        <is>
          <t>58000 CE</t>
        </is>
      </c>
      <c r="R13" s="17" t="inlineStr">
        <is>
          <t>58200 CE</t>
        </is>
      </c>
      <c r="S13" s="17" t="n">
        <v>39</v>
      </c>
      <c r="T13" s="17" t="n">
        <v>30</v>
      </c>
      <c r="U13" s="17" t="n">
        <v>1170</v>
      </c>
      <c r="V13" s="17" t="n">
        <v>41.26</v>
      </c>
      <c r="W13" s="17" t="n">
        <v>53.64</v>
      </c>
      <c r="X13" s="17" t="n">
        <v>48274.2</v>
      </c>
      <c r="Y13" s="17" t="n">
        <v>48329</v>
      </c>
      <c r="Z13" s="17" t="n">
        <v>185725.8</v>
      </c>
      <c r="AA13" s="17" t="n">
        <v>14482.26</v>
      </c>
      <c r="AB13" s="17" t="n">
        <v>14482.26</v>
      </c>
      <c r="AC13" s="17" t="n">
        <v>14484.6</v>
      </c>
      <c r="AD13" s="17" t="n">
        <v>30</v>
      </c>
      <c r="AE13" s="17" t="n">
        <v>40</v>
      </c>
      <c r="AF13" s="17" t="n">
        <v>6.03</v>
      </c>
      <c r="AG13" s="17" t="n">
        <v>0.1</v>
      </c>
      <c r="AH13" s="17" t="n">
        <v>1.45</v>
      </c>
      <c r="AI13" s="17" t="n">
        <v>7.22</v>
      </c>
      <c r="AJ13" s="17" t="n">
        <v>54.8</v>
      </c>
      <c r="AK13" s="17" t="n">
        <v>14429.8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11:05 IST</t>
        </is>
      </c>
      <c r="O14" s="17" t="n">
        <v>58150.35</v>
      </c>
      <c r="P14" s="17" t="n">
        <v>57183.75</v>
      </c>
      <c r="Q14" s="17" t="inlineStr">
        <is>
          <t>58000 CE</t>
        </is>
      </c>
      <c r="R14" s="17" t="inlineStr">
        <is>
          <t>58200 CE</t>
        </is>
      </c>
      <c r="S14" s="17" t="n">
        <v>33</v>
      </c>
      <c r="T14" s="17" t="n">
        <v>30</v>
      </c>
      <c r="U14" s="17" t="n">
        <v>990</v>
      </c>
      <c r="V14" s="17" t="n">
        <v>48.98</v>
      </c>
      <c r="W14" s="17" t="n">
        <v>63.67</v>
      </c>
      <c r="X14" s="17" t="n">
        <v>48490.2</v>
      </c>
      <c r="Y14" s="17" t="n">
        <v>48545.03</v>
      </c>
      <c r="Z14" s="17" t="n">
        <v>149509.8</v>
      </c>
      <c r="AA14" s="17" t="n">
        <v>14547.06</v>
      </c>
      <c r="AB14" s="17" t="n">
        <v>14547.06</v>
      </c>
      <c r="AC14" s="17" t="n">
        <v>14543.1</v>
      </c>
      <c r="AD14" s="17" t="n">
        <v>30</v>
      </c>
      <c r="AE14" s="17" t="n">
        <v>40</v>
      </c>
      <c r="AF14" s="17" t="n">
        <v>6.06</v>
      </c>
      <c r="AG14" s="17" t="n">
        <v>0.1</v>
      </c>
      <c r="AH14" s="17" t="n">
        <v>1.45</v>
      </c>
      <c r="AI14" s="17" t="n">
        <v>7.22</v>
      </c>
      <c r="AJ14" s="17" t="n">
        <v>54.83</v>
      </c>
      <c r="AK14" s="17" t="n">
        <v>14488.27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2026-06-26</t>
        </is>
      </c>
      <c r="B15" s="16" t="inlineStr">
        <is>
          <t>BANKNIFTY</t>
        </is>
      </c>
      <c r="C15" s="16" t="inlineStr">
        <is>
          <t>Bull Call Spread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Price↑(58177.05&gt;58150.35) &amp; EMA9↑(57449.52&gt;56225.95)</t>
        </is>
      </c>
      <c r="H15" s="16" t="n">
        <v>57449.52</v>
      </c>
      <c r="I15" s="16" t="n">
        <v>56225.95</v>
      </c>
      <c r="J15" s="16" t="inlineStr">
        <is>
          <t>2026-07-30</t>
        </is>
      </c>
      <c r="K15" s="16" t="inlineStr">
        <is>
          <t>MONTHLY</t>
        </is>
      </c>
      <c r="L15" s="16" t="n">
        <v>34</v>
      </c>
      <c r="M15" s="16" t="inlineStr">
        <is>
          <t>09:20 IST</t>
        </is>
      </c>
      <c r="N15" s="16" t="inlineStr">
        <is>
          <t>14:01 IST</t>
        </is>
      </c>
      <c r="O15" s="16" t="n">
        <v>58177.05</v>
      </c>
      <c r="P15" s="16" t="n">
        <v>58150.35</v>
      </c>
      <c r="Q15" s="16" t="inlineStr">
        <is>
          <t>58000 CE</t>
        </is>
      </c>
      <c r="R15" s="16" t="inlineStr">
        <is>
          <t>58200 CE</t>
        </is>
      </c>
      <c r="S15" s="16" t="n">
        <v>15</v>
      </c>
      <c r="T15" s="16" t="n">
        <v>30</v>
      </c>
      <c r="U15" s="16" t="n">
        <v>450</v>
      </c>
      <c r="V15" s="16" t="n">
        <v>108.17</v>
      </c>
      <c r="W15" s="16" t="n">
        <v>105.94</v>
      </c>
      <c r="X15" s="16" t="n">
        <v>48676.5</v>
      </c>
      <c r="Y15" s="16" t="n">
        <v>48731.36</v>
      </c>
      <c r="Z15" s="16" t="n">
        <v>41323.5</v>
      </c>
      <c r="AA15" s="16" t="n">
        <v>14602.95</v>
      </c>
      <c r="AB15" s="16" t="n">
        <v>14602.95</v>
      </c>
      <c r="AC15" s="16" t="n">
        <v>-1003.5</v>
      </c>
      <c r="AD15" s="16" t="n">
        <v>-2.1</v>
      </c>
      <c r="AE15" s="16" t="n">
        <v>40</v>
      </c>
      <c r="AF15" s="16" t="n">
        <v>6.08</v>
      </c>
      <c r="AG15" s="16" t="n">
        <v>0.1</v>
      </c>
      <c r="AH15" s="16" t="n">
        <v>1.46</v>
      </c>
      <c r="AI15" s="16" t="n">
        <v>7.22</v>
      </c>
      <c r="AJ15" s="16" t="n">
        <v>54.86</v>
      </c>
      <c r="AK15" s="16" t="n">
        <v>-1058.36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BANKNIFTY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Price↑(58177.05&gt;58150.35) &amp; EMA9↑(57449.52&gt;56225.95)</t>
        </is>
      </c>
      <c r="H16" s="17" t="n">
        <v>57449.52</v>
      </c>
      <c r="I16" s="17" t="n">
        <v>56225.95</v>
      </c>
      <c r="J16" s="17" t="inlineStr">
        <is>
          <t>2026-07-30</t>
        </is>
      </c>
      <c r="K16" s="17" t="inlineStr">
        <is>
          <t>MONTHLY</t>
        </is>
      </c>
      <c r="L16" s="17" t="n">
        <v>34</v>
      </c>
      <c r="M16" s="17" t="inlineStr">
        <is>
          <t>09:20 IST</t>
        </is>
      </c>
      <c r="N16" s="17" t="inlineStr">
        <is>
          <t>12:14 IST</t>
        </is>
      </c>
      <c r="O16" s="17" t="n">
        <v>58177.05</v>
      </c>
      <c r="P16" s="17" t="n">
        <v>58150.35</v>
      </c>
      <c r="Q16" s="17" t="inlineStr">
        <is>
          <t>58000 CE</t>
        </is>
      </c>
      <c r="R16" s="17" t="inlineStr">
        <is>
          <t>58200 CE</t>
        </is>
      </c>
      <c r="S16" s="17" t="n">
        <v>16</v>
      </c>
      <c r="T16" s="17" t="n">
        <v>30</v>
      </c>
      <c r="U16" s="17" t="n">
        <v>480</v>
      </c>
      <c r="V16" s="17" t="n">
        <v>97.70999999999999</v>
      </c>
      <c r="W16" s="17" t="n">
        <v>127.02</v>
      </c>
      <c r="X16" s="17" t="n">
        <v>46900.8</v>
      </c>
      <c r="Y16" s="17" t="n">
        <v>46955.38</v>
      </c>
      <c r="Z16" s="17" t="n">
        <v>49099.2</v>
      </c>
      <c r="AA16" s="17" t="n">
        <v>14070.24</v>
      </c>
      <c r="AB16" s="17" t="n">
        <v>14070.24</v>
      </c>
      <c r="AC16" s="17" t="n">
        <v>14068.8</v>
      </c>
      <c r="AD16" s="17" t="n">
        <v>30</v>
      </c>
      <c r="AE16" s="17" t="n">
        <v>40</v>
      </c>
      <c r="AF16" s="17" t="n">
        <v>5.86</v>
      </c>
      <c r="AG16" s="17" t="n">
        <v>0.09</v>
      </c>
      <c r="AH16" s="17" t="n">
        <v>1.41</v>
      </c>
      <c r="AI16" s="17" t="n">
        <v>7.22</v>
      </c>
      <c r="AJ16" s="17" t="n">
        <v>54.58</v>
      </c>
      <c r="AK16" s="17" t="n">
        <v>14014.22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BANKNIFTY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57506.76</v>
      </c>
      <c r="I17" s="15" t="n">
        <v>56326.72</v>
      </c>
      <c r="J17" s="15" t="inlineStr">
        <is>
          <t>2026-07-30</t>
        </is>
      </c>
      <c r="K17" s="15" t="inlineStr">
        <is>
          <t>MONTHLY</t>
        </is>
      </c>
      <c r="L17" s="15" t="n">
        <v>31</v>
      </c>
      <c r="M17" s="15" t="inlineStr">
        <is>
          <t>09:20 IST</t>
        </is>
      </c>
      <c r="N17" s="15" t="inlineStr">
        <is>
          <t>11:18 IST</t>
        </is>
      </c>
      <c r="O17" s="15" t="n">
        <v>57727.35</v>
      </c>
      <c r="P17" s="15" t="n">
        <v>58177.05</v>
      </c>
      <c r="Q17" s="15" t="inlineStr">
        <is>
          <t>57600 CE</t>
        </is>
      </c>
      <c r="R17" s="15" t="inlineStr">
        <is>
          <t>57800 CE</t>
        </is>
      </c>
      <c r="S17" s="15" t="n">
        <v>19</v>
      </c>
      <c r="T17" s="15" t="n">
        <v>30</v>
      </c>
      <c r="U17" s="15" t="n">
        <v>570</v>
      </c>
      <c r="V17" s="15" t="n">
        <v>83.7</v>
      </c>
      <c r="W17" s="15" t="n">
        <v>58.59</v>
      </c>
      <c r="X17" s="15" t="n">
        <v>47709</v>
      </c>
      <c r="Y17" s="15" t="n">
        <v>47763.71</v>
      </c>
      <c r="Z17" s="15" t="n">
        <v>66291</v>
      </c>
      <c r="AA17" s="15" t="n">
        <v>14312.7</v>
      </c>
      <c r="AB17" s="15" t="n">
        <v>14312.7</v>
      </c>
      <c r="AC17" s="15" t="n">
        <v>-14312.7</v>
      </c>
      <c r="AD17" s="15" t="n">
        <v>-30</v>
      </c>
      <c r="AE17" s="15" t="n">
        <v>40</v>
      </c>
      <c r="AF17" s="15" t="n">
        <v>5.96</v>
      </c>
      <c r="AG17" s="15" t="n">
        <v>0.1</v>
      </c>
      <c r="AH17" s="15" t="n">
        <v>1.43</v>
      </c>
      <c r="AI17" s="15" t="n">
        <v>7.22</v>
      </c>
      <c r="AJ17" s="15" t="n">
        <v>54.71</v>
      </c>
      <c r="AK17" s="15" t="n">
        <v>-14367.41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Bull Call Spread</t>
        </is>
      </c>
      <c r="D18" s="16" t="inlineStr">
        <is>
          <t>Bull Call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13:41 IST</t>
        </is>
      </c>
      <c r="O18" s="16" t="n">
        <v>58177.05</v>
      </c>
      <c r="P18" s="16" t="n">
        <v>58150.35</v>
      </c>
      <c r="Q18" s="16" t="inlineStr">
        <is>
          <t>58000 CE</t>
        </is>
      </c>
      <c r="R18" s="16" t="inlineStr">
        <is>
          <t>58200 CE</t>
        </is>
      </c>
      <c r="S18" s="16" t="n">
        <v>18</v>
      </c>
      <c r="T18" s="16" t="n">
        <v>30</v>
      </c>
      <c r="U18" s="16" t="n">
        <v>540</v>
      </c>
      <c r="V18" s="16" t="n">
        <v>87.48</v>
      </c>
      <c r="W18" s="16" t="n">
        <v>88.23999999999999</v>
      </c>
      <c r="X18" s="16" t="n">
        <v>47239.2</v>
      </c>
      <c r="Y18" s="16" t="n">
        <v>47293.83</v>
      </c>
      <c r="Z18" s="16" t="n">
        <v>60760.8</v>
      </c>
      <c r="AA18" s="16" t="n">
        <v>14171.76</v>
      </c>
      <c r="AB18" s="16" t="n">
        <v>14171.76</v>
      </c>
      <c r="AC18" s="16" t="n">
        <v>410.4</v>
      </c>
      <c r="AD18" s="16" t="n">
        <v>0.9</v>
      </c>
      <c r="AE18" s="16" t="n">
        <v>40</v>
      </c>
      <c r="AF18" s="16" t="n">
        <v>5.9</v>
      </c>
      <c r="AG18" s="16" t="n">
        <v>0.09</v>
      </c>
      <c r="AH18" s="16" t="n">
        <v>1.42</v>
      </c>
      <c r="AI18" s="16" t="n">
        <v>7.22</v>
      </c>
      <c r="AJ18" s="16" t="n">
        <v>54.63</v>
      </c>
      <c r="AK18" s="16" t="n">
        <v>355.77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BANKNIFTY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57515.81</v>
      </c>
      <c r="I19" s="17" t="n">
        <v>56405.26</v>
      </c>
      <c r="J19" s="17" t="inlineStr">
        <is>
          <t>2026-07-30</t>
        </is>
      </c>
      <c r="K19" s="17" t="inlineStr">
        <is>
          <t>MONTHLY</t>
        </is>
      </c>
      <c r="L19" s="17" t="n">
        <v>30</v>
      </c>
      <c r="M19" s="17" t="inlineStr">
        <is>
          <t>09:20 IST</t>
        </is>
      </c>
      <c r="N19" s="17" t="inlineStr">
        <is>
          <t>12:19 IST</t>
        </is>
      </c>
      <c r="O19" s="17" t="n">
        <v>57542.9</v>
      </c>
      <c r="P19" s="17" t="n">
        <v>57727.35</v>
      </c>
      <c r="Q19" s="17" t="inlineStr">
        <is>
          <t>57400 CE</t>
        </is>
      </c>
      <c r="R19" s="17" t="inlineStr">
        <is>
          <t>57600 CE</t>
        </is>
      </c>
      <c r="S19" s="17" t="n">
        <v>19</v>
      </c>
      <c r="T19" s="17" t="n">
        <v>30</v>
      </c>
      <c r="U19" s="17" t="n">
        <v>570</v>
      </c>
      <c r="V19" s="17" t="n">
        <v>82.67</v>
      </c>
      <c r="W19" s="17" t="n">
        <v>107.47</v>
      </c>
      <c r="X19" s="17" t="n">
        <v>47121.9</v>
      </c>
      <c r="Y19" s="17" t="n">
        <v>47176.52</v>
      </c>
      <c r="Z19" s="17" t="n">
        <v>66878.10000000001</v>
      </c>
      <c r="AA19" s="17" t="n">
        <v>14136.57</v>
      </c>
      <c r="AB19" s="17" t="n">
        <v>14136.57</v>
      </c>
      <c r="AC19" s="17" t="n">
        <v>14136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54.62</v>
      </c>
      <c r="AK19" s="17" t="n">
        <v>14081.38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10:58 IST</t>
        </is>
      </c>
      <c r="O20" s="17" t="n">
        <v>57727.35</v>
      </c>
      <c r="P20" s="17" t="n">
        <v>58177.05</v>
      </c>
      <c r="Q20" s="17" t="inlineStr">
        <is>
          <t>57600 CE</t>
        </is>
      </c>
      <c r="R20" s="17" t="inlineStr">
        <is>
          <t>57800 CE</t>
        </is>
      </c>
      <c r="S20" s="17" t="n">
        <v>15</v>
      </c>
      <c r="T20" s="17" t="n">
        <v>30</v>
      </c>
      <c r="U20" s="17" t="n">
        <v>450</v>
      </c>
      <c r="V20" s="17" t="n">
        <v>105.37</v>
      </c>
      <c r="W20" s="17" t="n">
        <v>136.98</v>
      </c>
      <c r="X20" s="17" t="n">
        <v>47416.5</v>
      </c>
      <c r="Y20" s="17" t="n">
        <v>47471.16</v>
      </c>
      <c r="Z20" s="17" t="n">
        <v>42583.5</v>
      </c>
      <c r="AA20" s="17" t="n">
        <v>14224.95</v>
      </c>
      <c r="AB20" s="17" t="n">
        <v>14224.95</v>
      </c>
      <c r="AC20" s="17" t="n">
        <v>14224.5</v>
      </c>
      <c r="AD20" s="17" t="n">
        <v>30</v>
      </c>
      <c r="AE20" s="17" t="n">
        <v>40</v>
      </c>
      <c r="AF20" s="17" t="n">
        <v>5.93</v>
      </c>
      <c r="AG20" s="17" t="n">
        <v>0.09</v>
      </c>
      <c r="AH20" s="17" t="n">
        <v>1.42</v>
      </c>
      <c r="AI20" s="17" t="n">
        <v>7.22</v>
      </c>
      <c r="AJ20" s="17" t="n">
        <v>54.66</v>
      </c>
      <c r="AK20" s="17" t="n">
        <v>14169.84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BANKNIFTY</t>
        </is>
      </c>
      <c r="C21" s="17" t="inlineStr">
        <is>
          <t>Bull Call Spread</t>
        </is>
      </c>
      <c r="D21" s="17" t="inlineStr">
        <is>
          <t>Bull Call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Price↑(58033.05&gt;57542.9) &amp; EMA9↑(57620.33&gt;56533.78)</t>
        </is>
      </c>
      <c r="H21" s="17" t="n">
        <v>57620.33</v>
      </c>
      <c r="I21" s="17" t="n">
        <v>56533.78</v>
      </c>
      <c r="J21" s="17" t="inlineStr">
        <is>
          <t>2026-07-30</t>
        </is>
      </c>
      <c r="K21" s="17" t="inlineStr">
        <is>
          <t>MONTHLY</t>
        </is>
      </c>
      <c r="L21" s="17" t="n">
        <v>29</v>
      </c>
      <c r="M21" s="17" t="inlineStr">
        <is>
          <t>09:20 IST</t>
        </is>
      </c>
      <c r="N21" s="17" t="inlineStr">
        <is>
          <t>12:01 IST</t>
        </is>
      </c>
      <c r="O21" s="17" t="n">
        <v>58033.05</v>
      </c>
      <c r="P21" s="17" t="n">
        <v>57542.9</v>
      </c>
      <c r="Q21" s="17" t="inlineStr">
        <is>
          <t>58000 CE</t>
        </is>
      </c>
      <c r="R21" s="17" t="inlineStr">
        <is>
          <t>58200 CE</t>
        </is>
      </c>
      <c r="S21" s="17" t="n">
        <v>16</v>
      </c>
      <c r="T21" s="17" t="n">
        <v>30</v>
      </c>
      <c r="U21" s="17" t="n">
        <v>480</v>
      </c>
      <c r="V21" s="17" t="n">
        <v>100.63</v>
      </c>
      <c r="W21" s="17" t="n">
        <v>130.82</v>
      </c>
      <c r="X21" s="17" t="n">
        <v>48302.4</v>
      </c>
      <c r="Y21" s="17" t="n">
        <v>48357.2</v>
      </c>
      <c r="Z21" s="17" t="n">
        <v>47697.6</v>
      </c>
      <c r="AA21" s="17" t="n">
        <v>14490.72</v>
      </c>
      <c r="AB21" s="17" t="n">
        <v>14490.72</v>
      </c>
      <c r="AC21" s="17" t="n">
        <v>14491.2</v>
      </c>
      <c r="AD21" s="17" t="n">
        <v>30</v>
      </c>
      <c r="AE21" s="17" t="n">
        <v>40</v>
      </c>
      <c r="AF21" s="17" t="n">
        <v>6.04</v>
      </c>
      <c r="AG21" s="17" t="n">
        <v>0.1</v>
      </c>
      <c r="AH21" s="17" t="n">
        <v>1.45</v>
      </c>
      <c r="AI21" s="17" t="n">
        <v>7.22</v>
      </c>
      <c r="AJ21" s="17" t="n">
        <v>54.8</v>
      </c>
      <c r="AK21" s="17" t="n">
        <v>14436.4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11:17 IST</t>
        </is>
      </c>
      <c r="O22" s="17" t="n">
        <v>57542.9</v>
      </c>
      <c r="P22" s="17" t="n">
        <v>57727.35</v>
      </c>
      <c r="Q22" s="17" t="inlineStr">
        <is>
          <t>57400 CE</t>
        </is>
      </c>
      <c r="R22" s="17" t="inlineStr">
        <is>
          <t>57600 CE</t>
        </is>
      </c>
      <c r="S22" s="17" t="n">
        <v>16</v>
      </c>
      <c r="T22" s="17" t="n">
        <v>30</v>
      </c>
      <c r="U22" s="17" t="n">
        <v>480</v>
      </c>
      <c r="V22" s="17" t="n">
        <v>99.29000000000001</v>
      </c>
      <c r="W22" s="17" t="n">
        <v>129.08</v>
      </c>
      <c r="X22" s="17" t="n">
        <v>47659.2</v>
      </c>
      <c r="Y22" s="17" t="n">
        <v>47713.9</v>
      </c>
      <c r="Z22" s="17" t="n">
        <v>48340.8</v>
      </c>
      <c r="AA22" s="17" t="n">
        <v>14297.76</v>
      </c>
      <c r="AB22" s="17" t="n">
        <v>14297.76</v>
      </c>
      <c r="AC22" s="17" t="n">
        <v>14299.2</v>
      </c>
      <c r="AD22" s="17" t="n">
        <v>30</v>
      </c>
      <c r="AE22" s="17" t="n">
        <v>40</v>
      </c>
      <c r="AF22" s="17" t="n">
        <v>5.96</v>
      </c>
      <c r="AG22" s="17" t="n">
        <v>0.1</v>
      </c>
      <c r="AH22" s="17" t="n">
        <v>1.43</v>
      </c>
      <c r="AI22" s="17" t="n">
        <v>7.22</v>
      </c>
      <c r="AJ22" s="17" t="n">
        <v>54.7</v>
      </c>
      <c r="AK22" s="17" t="n">
        <v>14244.5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BANKNIFTY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SKIP</t>
        </is>
      </c>
      <c r="G23" s="17" t="inlineStr">
        <is>
          <t>Conflicting — Price:BEARISH EMA:BULLISH</t>
        </is>
      </c>
      <c r="H23" s="17" t="n">
        <v>57703.9</v>
      </c>
      <c r="I23" s="17" t="n">
        <v>56657.09</v>
      </c>
      <c r="J23" s="17" t="inlineStr">
        <is>
          <t>2026-07-30</t>
        </is>
      </c>
      <c r="K23" s="17" t="inlineStr">
        <is>
          <t>MONTHLY</t>
        </is>
      </c>
      <c r="L23" s="17" t="n">
        <v>28</v>
      </c>
      <c r="M23" s="17" t="inlineStr">
        <is>
          <t>09:20 IST</t>
        </is>
      </c>
      <c r="N23" s="17" t="inlineStr">
        <is>
          <t>11:55 IST</t>
        </is>
      </c>
      <c r="O23" s="17" t="n">
        <v>58031.65</v>
      </c>
      <c r="P23" s="17" t="n">
        <v>58033.05</v>
      </c>
      <c r="Q23" s="17" t="inlineStr">
        <is>
          <t>58000 CE</t>
        </is>
      </c>
      <c r="R23" s="17" t="inlineStr">
        <is>
          <t>58200 CE</t>
        </is>
      </c>
      <c r="S23" s="17" t="n">
        <v>16</v>
      </c>
      <c r="T23" s="17" t="n">
        <v>30</v>
      </c>
      <c r="U23" s="17" t="n">
        <v>480</v>
      </c>
      <c r="V23" s="17" t="n">
        <v>98.04000000000001</v>
      </c>
      <c r="W23" s="17" t="n">
        <v>127.45</v>
      </c>
      <c r="X23" s="17" t="n">
        <v>47059.2</v>
      </c>
      <c r="Y23" s="17" t="n">
        <v>47113.81</v>
      </c>
      <c r="Z23" s="17" t="n">
        <v>48940.8</v>
      </c>
      <c r="AA23" s="17" t="n">
        <v>14117.76</v>
      </c>
      <c r="AB23" s="17" t="n">
        <v>14117.76</v>
      </c>
      <c r="AC23" s="17" t="n">
        <v>14116.8</v>
      </c>
      <c r="AD23" s="17" t="n">
        <v>30</v>
      </c>
      <c r="AE23" s="17" t="n">
        <v>40</v>
      </c>
      <c r="AF23" s="17" t="n">
        <v>5.88</v>
      </c>
      <c r="AG23" s="17" t="n">
        <v>0.09</v>
      </c>
      <c r="AH23" s="17" t="n">
        <v>1.41</v>
      </c>
      <c r="AI23" s="17" t="n">
        <v>7.22</v>
      </c>
      <c r="AJ23" s="17" t="n">
        <v>54.61</v>
      </c>
      <c r="AK23" s="17" t="n">
        <v>14062.19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BANKNIFTY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Price↑(58033.05&gt;57542.9) &amp; EMA9↑(57621.96&gt;56519.64)</t>
        </is>
      </c>
      <c r="H24" s="17" t="n">
        <v>57621.96</v>
      </c>
      <c r="I24" s="17" t="n">
        <v>56519.64</v>
      </c>
      <c r="J24" s="17" t="inlineStr">
        <is>
          <t>2026-07-30</t>
        </is>
      </c>
      <c r="K24" s="17" t="inlineStr">
        <is>
          <t>MONTHLY</t>
        </is>
      </c>
      <c r="L24" s="17" t="n">
        <v>28</v>
      </c>
      <c r="M24" s="17" t="inlineStr">
        <is>
          <t>09:20 IST</t>
        </is>
      </c>
      <c r="N24" s="17" t="inlineStr">
        <is>
          <t>11:02 IST</t>
        </is>
      </c>
      <c r="O24" s="17" t="n">
        <v>58033.05</v>
      </c>
      <c r="P24" s="17" t="n">
        <v>57542.9</v>
      </c>
      <c r="Q24" s="17" t="inlineStr">
        <is>
          <t>58000 CE</t>
        </is>
      </c>
      <c r="R24" s="17" t="inlineStr">
        <is>
          <t>58200 CE</t>
        </is>
      </c>
      <c r="S24" s="17" t="n">
        <v>18</v>
      </c>
      <c r="T24" s="17" t="n">
        <v>30</v>
      </c>
      <c r="U24" s="17" t="n">
        <v>540</v>
      </c>
      <c r="V24" s="17" t="n">
        <v>89.5</v>
      </c>
      <c r="W24" s="17" t="n">
        <v>116.35</v>
      </c>
      <c r="X24" s="17" t="n">
        <v>48330</v>
      </c>
      <c r="Y24" s="17" t="n">
        <v>48384.81</v>
      </c>
      <c r="Z24" s="17" t="n">
        <v>59670</v>
      </c>
      <c r="AA24" s="17" t="n">
        <v>14499</v>
      </c>
      <c r="AB24" s="17" t="n">
        <v>14499</v>
      </c>
      <c r="AC24" s="17" t="n">
        <v>14499</v>
      </c>
      <c r="AD24" s="17" t="n">
        <v>30</v>
      </c>
      <c r="AE24" s="17" t="n">
        <v>40</v>
      </c>
      <c r="AF24" s="17" t="n">
        <v>6.04</v>
      </c>
      <c r="AG24" s="17" t="n">
        <v>0.1</v>
      </c>
      <c r="AH24" s="17" t="n">
        <v>1.45</v>
      </c>
      <c r="AI24" s="17" t="n">
        <v>7.22</v>
      </c>
      <c r="AJ24" s="17" t="n">
        <v>54.81</v>
      </c>
      <c r="AK24" s="17" t="n">
        <v>14444.19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11:20 IST</t>
        </is>
      </c>
      <c r="O25" s="17" t="n">
        <v>57938.5</v>
      </c>
      <c r="P25" s="17" t="n">
        <v>58031.65</v>
      </c>
      <c r="Q25" s="17" t="inlineStr">
        <is>
          <t>57800 CE</t>
        </is>
      </c>
      <c r="R25" s="17" t="inlineStr">
        <is>
          <t>58000 CE</t>
        </is>
      </c>
      <c r="S25" s="17" t="n">
        <v>19</v>
      </c>
      <c r="T25" s="17" t="n">
        <v>30</v>
      </c>
      <c r="U25" s="17" t="n">
        <v>570</v>
      </c>
      <c r="V25" s="17" t="n">
        <v>84.70999999999999</v>
      </c>
      <c r="W25" s="17" t="n">
        <v>110.12</v>
      </c>
      <c r="X25" s="17" t="n">
        <v>48284.7</v>
      </c>
      <c r="Y25" s="17" t="n">
        <v>48339.5</v>
      </c>
      <c r="Z25" s="17" t="n">
        <v>65715.3</v>
      </c>
      <c r="AA25" s="17" t="n">
        <v>14485.41</v>
      </c>
      <c r="AB25" s="17" t="n">
        <v>14485.41</v>
      </c>
      <c r="AC25" s="17" t="n">
        <v>14483.7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14428.9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N2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BANKNIFTY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BANKNIFTY</t>
        </is>
      </c>
      <c r="C3" s="15" t="inlineStr">
        <is>
          <t>Bear Put Spread</t>
        </is>
      </c>
      <c r="D3" s="15" t="inlineStr">
        <is>
          <t>Bear Put Spread</t>
        </is>
      </c>
      <c r="E3" s="15" t="inlineStr">
        <is>
          <t>BULLISH</t>
        </is>
      </c>
      <c r="F3" s="15" t="inlineStr">
        <is>
          <t>Price↑(56814.8&gt;55176.75) &amp; EMA9↑(55104.01&gt;54716.74)</t>
        </is>
      </c>
      <c r="G3" s="15" t="n">
        <v>55104.01</v>
      </c>
      <c r="H3" s="15" t="n">
        <v>54716.74</v>
      </c>
      <c r="I3" s="15" t="inlineStr">
        <is>
          <t>2026-06-25</t>
        </is>
      </c>
      <c r="J3" s="15" t="inlineStr">
        <is>
          <t>MONTHLY</t>
        </is>
      </c>
      <c r="K3" s="15" t="n">
        <v>10</v>
      </c>
      <c r="L3" s="15" t="inlineStr">
        <is>
          <t>09:20 IST</t>
        </is>
      </c>
      <c r="M3" s="15" t="inlineStr">
        <is>
          <t>09:45 IST</t>
        </is>
      </c>
      <c r="N3" s="15" t="n">
        <v>56814.8</v>
      </c>
      <c r="O3" s="15" t="n">
        <v>55176.75</v>
      </c>
      <c r="P3" s="15" t="inlineStr">
        <is>
          <t>57000 PE</t>
        </is>
      </c>
      <c r="Q3" s="15" t="inlineStr">
        <is>
          <t>56800 PE</t>
        </is>
      </c>
      <c r="R3" s="15" t="n">
        <v>20</v>
      </c>
      <c r="S3" s="15" t="n">
        <v>30</v>
      </c>
      <c r="T3" s="15" t="n">
        <v>600</v>
      </c>
      <c r="U3" s="15" t="n">
        <v>78.70999999999999</v>
      </c>
      <c r="V3" s="15" t="n">
        <v>55.1</v>
      </c>
      <c r="W3" s="15" t="n">
        <v>47226</v>
      </c>
      <c r="X3" s="15" t="n">
        <v>47280.63</v>
      </c>
      <c r="Y3" s="15" t="n">
        <v>72774</v>
      </c>
      <c r="Z3" s="15" t="n">
        <v>14167.8</v>
      </c>
      <c r="AA3" s="15" t="n">
        <v>14167.8</v>
      </c>
      <c r="AB3" s="15" t="n">
        <v>-14166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-14220.63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Bear Put Spread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10:49 IST</t>
        </is>
      </c>
      <c r="N4" s="17" t="n">
        <v>57963.8</v>
      </c>
      <c r="O4" s="17" t="n">
        <v>57585.05</v>
      </c>
      <c r="P4" s="17" t="inlineStr">
        <is>
          <t>58000 PE</t>
        </is>
      </c>
      <c r="Q4" s="17" t="inlineStr">
        <is>
          <t>57800 PE</t>
        </is>
      </c>
      <c r="R4" s="17" t="n">
        <v>26</v>
      </c>
      <c r="S4" s="17" t="n">
        <v>30</v>
      </c>
      <c r="T4" s="17" t="n">
        <v>780</v>
      </c>
      <c r="U4" s="17" t="n">
        <v>61.13</v>
      </c>
      <c r="V4" s="17" t="n">
        <v>79.47</v>
      </c>
      <c r="W4" s="17" t="n">
        <v>47681.4</v>
      </c>
      <c r="X4" s="17" t="n">
        <v>47736.1</v>
      </c>
      <c r="Y4" s="17" t="n">
        <v>108318.6</v>
      </c>
      <c r="Z4" s="17" t="n">
        <v>14304.42</v>
      </c>
      <c r="AA4" s="17" t="n">
        <v>14304.42</v>
      </c>
      <c r="AB4" s="17" t="n">
        <v>14305.2</v>
      </c>
      <c r="AC4" s="17" t="n">
        <v>30</v>
      </c>
      <c r="AD4" s="17" t="n">
        <v>40</v>
      </c>
      <c r="AE4" s="17" t="n">
        <v>5.96</v>
      </c>
      <c r="AF4" s="17" t="n">
        <v>0.1</v>
      </c>
      <c r="AG4" s="17" t="n">
        <v>1.43</v>
      </c>
      <c r="AH4" s="17" t="n">
        <v>7.22</v>
      </c>
      <c r="AI4" s="17" t="n">
        <v>54.7</v>
      </c>
      <c r="AJ4" s="17" t="n">
        <v>14250.5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BANKNIFTY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56788.95</v>
      </c>
      <c r="H5" s="15" t="n">
        <v>55679.28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10:10 IST</t>
        </is>
      </c>
      <c r="N5" s="15" t="n">
        <v>57685.75</v>
      </c>
      <c r="O5" s="15" t="n">
        <v>57963.8</v>
      </c>
      <c r="P5" s="15" t="inlineStr">
        <is>
          <t>57800 PE</t>
        </is>
      </c>
      <c r="Q5" s="15" t="inlineStr">
        <is>
          <t>57600 PE</t>
        </is>
      </c>
      <c r="R5" s="15" t="n">
        <v>31</v>
      </c>
      <c r="S5" s="15" t="n">
        <v>30</v>
      </c>
      <c r="T5" s="15" t="n">
        <v>930</v>
      </c>
      <c r="U5" s="15" t="n">
        <v>51.34</v>
      </c>
      <c r="V5" s="15" t="n">
        <v>35.94</v>
      </c>
      <c r="W5" s="15" t="n">
        <v>47746.2</v>
      </c>
      <c r="X5" s="15" t="n">
        <v>47800.91</v>
      </c>
      <c r="Y5" s="15" t="n">
        <v>138253.8</v>
      </c>
      <c r="Z5" s="15" t="n">
        <v>14323.86</v>
      </c>
      <c r="AA5" s="15" t="n">
        <v>14323.86</v>
      </c>
      <c r="AB5" s="15" t="n">
        <v>-14322</v>
      </c>
      <c r="AC5" s="15" t="n">
        <v>-30</v>
      </c>
      <c r="AD5" s="15" t="n">
        <v>40</v>
      </c>
      <c r="AE5" s="15" t="n">
        <v>5.97</v>
      </c>
      <c r="AF5" s="15" t="n">
        <v>0.1</v>
      </c>
      <c r="AG5" s="15" t="n">
        <v>1.43</v>
      </c>
      <c r="AH5" s="15" t="n">
        <v>7.22</v>
      </c>
      <c r="AI5" s="15" t="n">
        <v>54.71</v>
      </c>
      <c r="AJ5" s="15" t="n">
        <v>-14376.71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2026-06-20</t>
        </is>
      </c>
      <c r="B6" s="17" t="inlineStr">
        <is>
          <t>BANKNIFTY</t>
        </is>
      </c>
      <c r="C6" s="17" t="inlineStr">
        <is>
          <t>Bear Put Spread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EMA9↑(56564.74&gt;55478.64)</t>
        </is>
      </c>
      <c r="G6" s="17" t="n">
        <v>56564.74</v>
      </c>
      <c r="H6" s="17" t="n">
        <v>55478.64</v>
      </c>
      <c r="I6" s="17" t="inlineStr">
        <is>
          <t>2026-06-25</t>
        </is>
      </c>
      <c r="J6" s="17" t="inlineStr">
        <is>
          <t>MONTHLY</t>
        </is>
      </c>
      <c r="K6" s="17" t="n">
        <v>6</v>
      </c>
      <c r="L6" s="17" t="inlineStr">
        <is>
          <t>09:20 IST</t>
        </is>
      </c>
      <c r="M6" s="17" t="inlineStr">
        <is>
          <t>10:36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25</v>
      </c>
      <c r="S6" s="17" t="n">
        <v>30</v>
      </c>
      <c r="T6" s="17" t="n">
        <v>750</v>
      </c>
      <c r="U6" s="17" t="n">
        <v>65.14</v>
      </c>
      <c r="V6" s="17" t="n">
        <v>84.68000000000001</v>
      </c>
      <c r="W6" s="17" t="n">
        <v>48855</v>
      </c>
      <c r="X6" s="17" t="n">
        <v>48909.89</v>
      </c>
      <c r="Y6" s="17" t="n">
        <v>101145</v>
      </c>
      <c r="Z6" s="17" t="n">
        <v>14656.5</v>
      </c>
      <c r="AA6" s="17" t="n">
        <v>14656.5</v>
      </c>
      <c r="AB6" s="17" t="n">
        <v>14655</v>
      </c>
      <c r="AC6" s="17" t="n">
        <v>30</v>
      </c>
      <c r="AD6" s="17" t="n">
        <v>40</v>
      </c>
      <c r="AE6" s="17" t="n">
        <v>6.11</v>
      </c>
      <c r="AF6" s="17" t="n">
        <v>0.1</v>
      </c>
      <c r="AG6" s="17" t="n">
        <v>1.47</v>
      </c>
      <c r="AH6" s="17" t="n">
        <v>7.22</v>
      </c>
      <c r="AI6" s="17" t="n">
        <v>54.89</v>
      </c>
      <c r="AJ6" s="17" t="n">
        <v>14600.11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BANKNIFTY</t>
        </is>
      </c>
      <c r="C7" s="16" t="inlineStr">
        <is>
          <t>Bear Put Spread</t>
        </is>
      </c>
      <c r="D7" s="16" t="inlineStr">
        <is>
          <t>Bear Put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56787.29</v>
      </c>
      <c r="H7" s="16" t="n">
        <v>55649.38</v>
      </c>
      <c r="I7" s="16" t="inlineStr">
        <is>
          <t>2026-06-25</t>
        </is>
      </c>
      <c r="J7" s="16" t="inlineStr">
        <is>
          <t>MONTHLY</t>
        </is>
      </c>
      <c r="K7" s="16" t="n">
        <v>3</v>
      </c>
      <c r="L7" s="16" t="inlineStr">
        <is>
          <t>09:20 IST</t>
        </is>
      </c>
      <c r="M7" s="16" t="inlineStr">
        <is>
          <t>13:41 IST</t>
        </is>
      </c>
      <c r="N7" s="16" t="n">
        <v>57685.75</v>
      </c>
      <c r="O7" s="16" t="n">
        <v>57963.8</v>
      </c>
      <c r="P7" s="16" t="inlineStr">
        <is>
          <t>57800 PE</t>
        </is>
      </c>
      <c r="Q7" s="16" t="inlineStr">
        <is>
          <t>57600 PE</t>
        </is>
      </c>
      <c r="R7" s="16" t="n">
        <v>20</v>
      </c>
      <c r="S7" s="16" t="n">
        <v>30</v>
      </c>
      <c r="T7" s="16" t="n">
        <v>600</v>
      </c>
      <c r="U7" s="16" t="n">
        <v>78.97</v>
      </c>
      <c r="V7" s="16" t="n">
        <v>75.94</v>
      </c>
      <c r="W7" s="16" t="n">
        <v>47382</v>
      </c>
      <c r="X7" s="16" t="n">
        <v>47436.66</v>
      </c>
      <c r="Y7" s="16" t="n">
        <v>72618</v>
      </c>
      <c r="Z7" s="16" t="n">
        <v>14214.6</v>
      </c>
      <c r="AA7" s="16" t="n">
        <v>14214.6</v>
      </c>
      <c r="AB7" s="16" t="n">
        <v>-1818</v>
      </c>
      <c r="AC7" s="16" t="n">
        <v>-3.8</v>
      </c>
      <c r="AD7" s="16" t="n">
        <v>40</v>
      </c>
      <c r="AE7" s="16" t="n">
        <v>5.92</v>
      </c>
      <c r="AF7" s="16" t="n">
        <v>0.09</v>
      </c>
      <c r="AG7" s="16" t="n">
        <v>1.42</v>
      </c>
      <c r="AH7" s="16" t="n">
        <v>7.22</v>
      </c>
      <c r="AI7" s="16" t="n">
        <v>54.66</v>
      </c>
      <c r="AJ7" s="16" t="n">
        <v>-1872.66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10:30 IST</t>
        </is>
      </c>
      <c r="N8" s="15" t="n">
        <v>57685.75</v>
      </c>
      <c r="O8" s="15" t="n">
        <v>57963.8</v>
      </c>
      <c r="P8" s="15" t="inlineStr">
        <is>
          <t>57800 PE</t>
        </is>
      </c>
      <c r="Q8" s="15" t="inlineStr">
        <is>
          <t>57600 PE</t>
        </is>
      </c>
      <c r="R8" s="15" t="n">
        <v>29</v>
      </c>
      <c r="S8" s="15" t="n">
        <v>30</v>
      </c>
      <c r="T8" s="15" t="n">
        <v>870</v>
      </c>
      <c r="U8" s="15" t="n">
        <v>54.26</v>
      </c>
      <c r="V8" s="15" t="n">
        <v>37.98</v>
      </c>
      <c r="W8" s="15" t="n">
        <v>47206.2</v>
      </c>
      <c r="X8" s="15" t="n">
        <v>47260.83</v>
      </c>
      <c r="Y8" s="15" t="n">
        <v>126793.8</v>
      </c>
      <c r="Z8" s="15" t="n">
        <v>14161.86</v>
      </c>
      <c r="AA8" s="15" t="n">
        <v>14161.86</v>
      </c>
      <c r="AB8" s="15" t="n">
        <v>-14163.6</v>
      </c>
      <c r="AC8" s="15" t="n">
        <v>-30</v>
      </c>
      <c r="AD8" s="15" t="n">
        <v>40</v>
      </c>
      <c r="AE8" s="15" t="n">
        <v>5.9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-14218.23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BANKNIFTY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57048.75</v>
      </c>
      <c r="H9" s="16" t="n">
        <v>55970.07</v>
      </c>
      <c r="I9" s="16" t="inlineStr">
        <is>
          <t>2026-06-25</t>
        </is>
      </c>
      <c r="J9" s="16" t="inlineStr">
        <is>
          <t>MONTHLY</t>
        </is>
      </c>
      <c r="K9" s="16" t="n">
        <v>2</v>
      </c>
      <c r="L9" s="16" t="inlineStr">
        <is>
          <t>09:20 IST</t>
        </is>
      </c>
      <c r="M9" s="16" t="inlineStr">
        <is>
          <t>13:33 IST</t>
        </is>
      </c>
      <c r="N9" s="16" t="n">
        <v>57183.75</v>
      </c>
      <c r="O9" s="16" t="n">
        <v>57935.6</v>
      </c>
      <c r="P9" s="16" t="inlineStr">
        <is>
          <t>57200 PE</t>
        </is>
      </c>
      <c r="Q9" s="16" t="inlineStr">
        <is>
          <t>57000 PE</t>
        </is>
      </c>
      <c r="R9" s="16" t="n">
        <v>44</v>
      </c>
      <c r="S9" s="16" t="n">
        <v>30</v>
      </c>
      <c r="T9" s="16" t="n">
        <v>1320</v>
      </c>
      <c r="U9" s="16" t="n">
        <v>36.54</v>
      </c>
      <c r="V9" s="16" t="n">
        <v>34.91</v>
      </c>
      <c r="W9" s="16" t="n">
        <v>48232.8</v>
      </c>
      <c r="X9" s="16" t="n">
        <v>48287.59</v>
      </c>
      <c r="Y9" s="16" t="n">
        <v>215767.2</v>
      </c>
      <c r="Z9" s="16" t="n">
        <v>14469.84</v>
      </c>
      <c r="AA9" s="16" t="n">
        <v>14469.84</v>
      </c>
      <c r="AB9" s="16" t="n">
        <v>-2151.6</v>
      </c>
      <c r="AC9" s="16" t="n">
        <v>-4.5</v>
      </c>
      <c r="AD9" s="16" t="n">
        <v>40</v>
      </c>
      <c r="AE9" s="16" t="n">
        <v>6.03</v>
      </c>
      <c r="AF9" s="16" t="n">
        <v>0.1</v>
      </c>
      <c r="AG9" s="16" t="n">
        <v>1.45</v>
      </c>
      <c r="AH9" s="16" t="n">
        <v>7.22</v>
      </c>
      <c r="AI9" s="16" t="n">
        <v>54.79</v>
      </c>
      <c r="AJ9" s="16" t="n">
        <v>-2206.39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10:12 IST</t>
        </is>
      </c>
      <c r="N10" s="17" t="n">
        <v>57935.6</v>
      </c>
      <c r="O10" s="17" t="n">
        <v>57685.75</v>
      </c>
      <c r="P10" s="17" t="inlineStr">
        <is>
          <t>58000 PE</t>
        </is>
      </c>
      <c r="Q10" s="17" t="inlineStr">
        <is>
          <t>57800 PE</t>
        </is>
      </c>
      <c r="R10" s="17" t="n">
        <v>39</v>
      </c>
      <c r="S10" s="17" t="n">
        <v>30</v>
      </c>
      <c r="T10" s="17" t="n">
        <v>1170</v>
      </c>
      <c r="U10" s="17" t="n">
        <v>40.39</v>
      </c>
      <c r="V10" s="17" t="n">
        <v>52.51</v>
      </c>
      <c r="W10" s="17" t="n">
        <v>47256.3</v>
      </c>
      <c r="X10" s="17" t="n">
        <v>47310.94</v>
      </c>
      <c r="Y10" s="17" t="n">
        <v>186743.7</v>
      </c>
      <c r="Z10" s="17" t="n">
        <v>14176.89</v>
      </c>
      <c r="AA10" s="17" t="n">
        <v>14176.89</v>
      </c>
      <c r="AB10" s="17" t="n">
        <v>14180.4</v>
      </c>
      <c r="AC10" s="17" t="n">
        <v>30</v>
      </c>
      <c r="AD10" s="17" t="n">
        <v>40</v>
      </c>
      <c r="AE10" s="17" t="n">
        <v>5.91</v>
      </c>
      <c r="AF10" s="17" t="n">
        <v>0.09</v>
      </c>
      <c r="AG10" s="17" t="n">
        <v>1.42</v>
      </c>
      <c r="AH10" s="17" t="n">
        <v>7.22</v>
      </c>
      <c r="AI10" s="17" t="n">
        <v>54.64</v>
      </c>
      <c r="AJ10" s="17" t="n">
        <v>14125.76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BANKNIFTY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Price↑(58150.35&gt;57183.75) &amp; EMA9↑(57268.28&gt;56132.92)</t>
        </is>
      </c>
      <c r="H11" s="17" t="n">
        <v>57268.28</v>
      </c>
      <c r="I11" s="17" t="n">
        <v>56132.92</v>
      </c>
      <c r="J11" s="17" t="inlineStr">
        <is>
          <t>2026-06-25</t>
        </is>
      </c>
      <c r="K11" s="17" t="inlineStr">
        <is>
          <t>MONTHLY</t>
        </is>
      </c>
      <c r="L11" s="17" t="n">
        <v>1</v>
      </c>
      <c r="M11" s="17" t="inlineStr">
        <is>
          <t>09:20 IST</t>
        </is>
      </c>
      <c r="N11" s="17" t="inlineStr">
        <is>
          <t>12:12 IST</t>
        </is>
      </c>
      <c r="O11" s="17" t="n">
        <v>58150.35</v>
      </c>
      <c r="P11" s="17" t="n">
        <v>57183.75</v>
      </c>
      <c r="Q11" s="17" t="inlineStr">
        <is>
          <t>58200 PE</t>
        </is>
      </c>
      <c r="R11" s="17" t="inlineStr">
        <is>
          <t>58000 PE</t>
        </is>
      </c>
      <c r="S11" s="17" t="n">
        <v>42</v>
      </c>
      <c r="T11" s="17" t="n">
        <v>30</v>
      </c>
      <c r="U11" s="17" t="n">
        <v>1260</v>
      </c>
      <c r="V11" s="17" t="n">
        <v>37.6</v>
      </c>
      <c r="W11" s="17" t="n">
        <v>48.88</v>
      </c>
      <c r="X11" s="17" t="n">
        <v>47376</v>
      </c>
      <c r="Y11" s="17" t="n">
        <v>47430.66</v>
      </c>
      <c r="Z11" s="17" t="n">
        <v>204624</v>
      </c>
      <c r="AA11" s="17" t="n">
        <v>14212.8</v>
      </c>
      <c r="AB11" s="17" t="n">
        <v>14212.8</v>
      </c>
      <c r="AC11" s="17" t="n">
        <v>14212.8</v>
      </c>
      <c r="AD11" s="17" t="n">
        <v>30</v>
      </c>
      <c r="AE11" s="17" t="n">
        <v>40</v>
      </c>
      <c r="AF11" s="17" t="n">
        <v>5.92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14158.14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BANKNIFTY</t>
        </is>
      </c>
      <c r="C12" s="16" t="inlineStr">
        <is>
          <t>Bear Put Spread</t>
        </is>
      </c>
      <c r="D12" s="16" t="inlineStr">
        <is>
          <t>Bear Put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57047.77</v>
      </c>
      <c r="I12" s="16" t="n">
        <v>55931.18</v>
      </c>
      <c r="J12" s="16" t="inlineStr">
        <is>
          <t>2026-06-25</t>
        </is>
      </c>
      <c r="K12" s="16" t="inlineStr">
        <is>
          <t>MONTHLY</t>
        </is>
      </c>
      <c r="L12" s="16" t="n">
        <v>1</v>
      </c>
      <c r="M12" s="16" t="inlineStr">
        <is>
          <t>09:20 IST</t>
        </is>
      </c>
      <c r="N12" s="16" t="inlineStr">
        <is>
          <t>14:01 IST</t>
        </is>
      </c>
      <c r="O12" s="16" t="n">
        <v>57183.75</v>
      </c>
      <c r="P12" s="16" t="n">
        <v>57935.6</v>
      </c>
      <c r="Q12" s="16" t="inlineStr">
        <is>
          <t>57200 PE</t>
        </is>
      </c>
      <c r="R12" s="16" t="inlineStr">
        <is>
          <t>57000 PE</t>
        </is>
      </c>
      <c r="S12" s="16" t="n">
        <v>32</v>
      </c>
      <c r="T12" s="16" t="n">
        <v>30</v>
      </c>
      <c r="U12" s="16" t="n">
        <v>960</v>
      </c>
      <c r="V12" s="16" t="n">
        <v>49.96</v>
      </c>
      <c r="W12" s="16" t="n">
        <v>50.89</v>
      </c>
      <c r="X12" s="16" t="n">
        <v>47961.6</v>
      </c>
      <c r="Y12" s="16" t="n">
        <v>48016.35</v>
      </c>
      <c r="Z12" s="16" t="n">
        <v>144038.4</v>
      </c>
      <c r="AA12" s="16" t="n">
        <v>14388.48</v>
      </c>
      <c r="AB12" s="16" t="n">
        <v>14388.48</v>
      </c>
      <c r="AC12" s="16" t="n">
        <v>892.8</v>
      </c>
      <c r="AD12" s="16" t="n">
        <v>1.9</v>
      </c>
      <c r="AE12" s="16" t="n">
        <v>40</v>
      </c>
      <c r="AF12" s="16" t="n">
        <v>6</v>
      </c>
      <c r="AG12" s="16" t="n">
        <v>0.1</v>
      </c>
      <c r="AH12" s="16" t="n">
        <v>1.44</v>
      </c>
      <c r="AI12" s="16" t="n">
        <v>7.22</v>
      </c>
      <c r="AJ12" s="16" t="n">
        <v>54.75</v>
      </c>
      <c r="AK12" s="16" t="n">
        <v>838.05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Bear Put Spread</t>
        </is>
      </c>
      <c r="D13" s="17" t="inlineStr">
        <is>
          <t>Bear Put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09:52 IST</t>
        </is>
      </c>
      <c r="O13" s="17" t="n">
        <v>58177.05</v>
      </c>
      <c r="P13" s="17" t="n">
        <v>58150.35</v>
      </c>
      <c r="Q13" s="17" t="inlineStr">
        <is>
          <t>58200 PE</t>
        </is>
      </c>
      <c r="R13" s="17" t="inlineStr">
        <is>
          <t>58000 PE</t>
        </is>
      </c>
      <c r="S13" s="17" t="n">
        <v>34</v>
      </c>
      <c r="T13" s="17" t="n">
        <v>30</v>
      </c>
      <c r="U13" s="17" t="n">
        <v>1020</v>
      </c>
      <c r="V13" s="17" t="n">
        <v>46.95</v>
      </c>
      <c r="W13" s="17" t="n">
        <v>61.04</v>
      </c>
      <c r="X13" s="17" t="n">
        <v>47889</v>
      </c>
      <c r="Y13" s="17" t="n">
        <v>47943.74</v>
      </c>
      <c r="Z13" s="17" t="n">
        <v>156111</v>
      </c>
      <c r="AA13" s="17" t="n">
        <v>14366.7</v>
      </c>
      <c r="AB13" s="17" t="n">
        <v>14366.7</v>
      </c>
      <c r="AC13" s="17" t="n">
        <v>14371.8</v>
      </c>
      <c r="AD13" s="17" t="n">
        <v>30</v>
      </c>
      <c r="AE13" s="17" t="n">
        <v>40</v>
      </c>
      <c r="AF13" s="17" t="n">
        <v>5.99</v>
      </c>
      <c r="AG13" s="17" t="n">
        <v>0.1</v>
      </c>
      <c r="AH13" s="17" t="n">
        <v>1.44</v>
      </c>
      <c r="AI13" s="17" t="n">
        <v>7.22</v>
      </c>
      <c r="AJ13" s="17" t="n">
        <v>54.74</v>
      </c>
      <c r="AK13" s="17" t="n">
        <v>14317.06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Bear Put Spread</t>
        </is>
      </c>
      <c r="D14" s="17" t="inlineStr">
        <is>
          <t>Bear Put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11:41 IST</t>
        </is>
      </c>
      <c r="O14" s="17" t="n">
        <v>58150.35</v>
      </c>
      <c r="P14" s="17" t="n">
        <v>57183.75</v>
      </c>
      <c r="Q14" s="17" t="inlineStr">
        <is>
          <t>58200 PE</t>
        </is>
      </c>
      <c r="R14" s="17" t="inlineStr">
        <is>
          <t>58000 PE</t>
        </is>
      </c>
      <c r="S14" s="17" t="n">
        <v>48</v>
      </c>
      <c r="T14" s="17" t="n">
        <v>30</v>
      </c>
      <c r="U14" s="17" t="n">
        <v>1440</v>
      </c>
      <c r="V14" s="17" t="n">
        <v>33.01</v>
      </c>
      <c r="W14" s="17" t="n">
        <v>42.91</v>
      </c>
      <c r="X14" s="17" t="n">
        <v>47534.4</v>
      </c>
      <c r="Y14" s="17" t="n">
        <v>47589.08</v>
      </c>
      <c r="Z14" s="17" t="n">
        <v>240465.6</v>
      </c>
      <c r="AA14" s="17" t="n">
        <v>14260.32</v>
      </c>
      <c r="AB14" s="17" t="n">
        <v>14260.32</v>
      </c>
      <c r="AC14" s="17" t="n">
        <v>14256</v>
      </c>
      <c r="AD14" s="17" t="n">
        <v>30</v>
      </c>
      <c r="AE14" s="17" t="n">
        <v>40</v>
      </c>
      <c r="AF14" s="17" t="n">
        <v>5.94</v>
      </c>
      <c r="AG14" s="17" t="n">
        <v>0.1</v>
      </c>
      <c r="AH14" s="17" t="n">
        <v>1.43</v>
      </c>
      <c r="AI14" s="17" t="n">
        <v>7.22</v>
      </c>
      <c r="AJ14" s="17" t="n">
        <v>54.68</v>
      </c>
      <c r="AK14" s="17" t="n">
        <v>14201.32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BANKNIFTY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Price↑(58177.05&gt;58150.35) &amp; EMA9↑(57449.52&gt;56225.95)</t>
        </is>
      </c>
      <c r="H15" s="17" t="n">
        <v>57449.52</v>
      </c>
      <c r="I15" s="17" t="n">
        <v>56225.95</v>
      </c>
      <c r="J15" s="17" t="inlineStr">
        <is>
          <t>2026-07-30</t>
        </is>
      </c>
      <c r="K15" s="17" t="inlineStr">
        <is>
          <t>MONTHLY</t>
        </is>
      </c>
      <c r="L15" s="17" t="n">
        <v>34</v>
      </c>
      <c r="M15" s="17" t="inlineStr">
        <is>
          <t>09:20 IST</t>
        </is>
      </c>
      <c r="N15" s="17" t="inlineStr">
        <is>
          <t>10:42 IST</t>
        </is>
      </c>
      <c r="O15" s="17" t="n">
        <v>58177.05</v>
      </c>
      <c r="P15" s="17" t="n">
        <v>58150.35</v>
      </c>
      <c r="Q15" s="17" t="inlineStr">
        <is>
          <t>58200 PE</t>
        </is>
      </c>
      <c r="R15" s="17" t="inlineStr">
        <is>
          <t>58000 PE</t>
        </is>
      </c>
      <c r="S15" s="17" t="n">
        <v>16</v>
      </c>
      <c r="T15" s="17" t="n">
        <v>30</v>
      </c>
      <c r="U15" s="17" t="n">
        <v>480</v>
      </c>
      <c r="V15" s="17" t="n">
        <v>98.05</v>
      </c>
      <c r="W15" s="17" t="n">
        <v>127.47</v>
      </c>
      <c r="X15" s="17" t="n">
        <v>47064</v>
      </c>
      <c r="Y15" s="17" t="n">
        <v>47118.61</v>
      </c>
      <c r="Z15" s="17" t="n">
        <v>48936</v>
      </c>
      <c r="AA15" s="17" t="n">
        <v>14119.2</v>
      </c>
      <c r="AB15" s="17" t="n">
        <v>14119.2</v>
      </c>
      <c r="AC15" s="17" t="n">
        <v>14121.6</v>
      </c>
      <c r="AD15" s="17" t="n">
        <v>30</v>
      </c>
      <c r="AE15" s="17" t="n">
        <v>40</v>
      </c>
      <c r="AF15" s="17" t="n">
        <v>5.88</v>
      </c>
      <c r="AG15" s="17" t="n">
        <v>0.09</v>
      </c>
      <c r="AH15" s="17" t="n">
        <v>1.41</v>
      </c>
      <c r="AI15" s="17" t="n">
        <v>7.22</v>
      </c>
      <c r="AJ15" s="17" t="n">
        <v>54.61</v>
      </c>
      <c r="AK15" s="17" t="n">
        <v>14066.99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5" t="inlineStr">
        <is>
          <t>2026-06-27</t>
        </is>
      </c>
      <c r="B16" s="15" t="inlineStr">
        <is>
          <t>BANKNIFTY</t>
        </is>
      </c>
      <c r="C16" s="15" t="inlineStr">
        <is>
          <t>Bear Put Spread</t>
        </is>
      </c>
      <c r="D16" s="15" t="inlineStr">
        <is>
          <t>Bear Put Spread</t>
        </is>
      </c>
      <c r="E16" s="15" t="inlineStr">
        <is>
          <t>SIMULATED</t>
        </is>
      </c>
      <c r="F16" s="15" t="inlineStr">
        <is>
          <t>BULLISH</t>
        </is>
      </c>
      <c r="G16" s="15" t="inlineStr">
        <is>
          <t>Price↑(58177.05&gt;58150.35) &amp; EMA9↑(57449.52&gt;56225.95)</t>
        </is>
      </c>
      <c r="H16" s="15" t="n">
        <v>57449.52</v>
      </c>
      <c r="I16" s="15" t="n">
        <v>56225.95</v>
      </c>
      <c r="J16" s="15" t="inlineStr">
        <is>
          <t>2026-07-30</t>
        </is>
      </c>
      <c r="K16" s="15" t="inlineStr">
        <is>
          <t>MONTHLY</t>
        </is>
      </c>
      <c r="L16" s="15" t="n">
        <v>34</v>
      </c>
      <c r="M16" s="15" t="inlineStr">
        <is>
          <t>09:20 IST</t>
        </is>
      </c>
      <c r="N16" s="15" t="inlineStr">
        <is>
          <t>10:05 IST</t>
        </is>
      </c>
      <c r="O16" s="15" t="n">
        <v>58177.05</v>
      </c>
      <c r="P16" s="15" t="n">
        <v>58150.35</v>
      </c>
      <c r="Q16" s="15" t="inlineStr">
        <is>
          <t>58200 PE</t>
        </is>
      </c>
      <c r="R16" s="15" t="inlineStr">
        <is>
          <t>58000 PE</t>
        </is>
      </c>
      <c r="S16" s="15" t="n">
        <v>18</v>
      </c>
      <c r="T16" s="15" t="n">
        <v>30</v>
      </c>
      <c r="U16" s="15" t="n">
        <v>540</v>
      </c>
      <c r="V16" s="15" t="n">
        <v>87.26000000000001</v>
      </c>
      <c r="W16" s="15" t="n">
        <v>61.08</v>
      </c>
      <c r="X16" s="15" t="n">
        <v>47120.4</v>
      </c>
      <c r="Y16" s="15" t="n">
        <v>47175.01</v>
      </c>
      <c r="Z16" s="15" t="n">
        <v>60879.6</v>
      </c>
      <c r="AA16" s="15" t="n">
        <v>14136.12</v>
      </c>
      <c r="AB16" s="15" t="n">
        <v>14136.12</v>
      </c>
      <c r="AC16" s="15" t="n">
        <v>-14137.2</v>
      </c>
      <c r="AD16" s="15" t="n">
        <v>-30</v>
      </c>
      <c r="AE16" s="15" t="n">
        <v>40</v>
      </c>
      <c r="AF16" s="15" t="n">
        <v>5.89</v>
      </c>
      <c r="AG16" s="15" t="n">
        <v>0.09</v>
      </c>
      <c r="AH16" s="15" t="n">
        <v>1.41</v>
      </c>
      <c r="AI16" s="15" t="n">
        <v>7.22</v>
      </c>
      <c r="AJ16" s="15" t="n">
        <v>54.61</v>
      </c>
      <c r="AK16" s="15" t="n">
        <v>-14191.81</v>
      </c>
      <c r="AL16" s="15" t="inlineStr">
        <is>
          <t>STOP LOSS</t>
        </is>
      </c>
      <c r="AM16" s="15" t="n">
        <v>50000</v>
      </c>
      <c r="AN16" s="15" t="inlineStr">
        <is>
          <t>PAPER TRADING</t>
        </is>
      </c>
    </row>
    <row r="17">
      <c r="A17" s="17" t="inlineStr">
        <is>
          <t>2026-06-29</t>
        </is>
      </c>
      <c r="B17" s="17" t="inlineStr">
        <is>
          <t>BANKNIFTY</t>
        </is>
      </c>
      <c r="C17" s="17" t="inlineStr">
        <is>
          <t>Bear Put Spread</t>
        </is>
      </c>
      <c r="D17" s="17" t="inlineStr">
        <is>
          <t>Bear Put Spread</t>
        </is>
      </c>
      <c r="E17" s="17" t="inlineStr">
        <is>
          <t>SIMULATED</t>
        </is>
      </c>
      <c r="F17" s="17" t="inlineStr">
        <is>
          <t>SKIP</t>
        </is>
      </c>
      <c r="G17" s="17" t="inlineStr">
        <is>
          <t>Conflicting — Price:BEARISH EMA:BULLISH</t>
        </is>
      </c>
      <c r="H17" s="17" t="n">
        <v>57506.76</v>
      </c>
      <c r="I17" s="17" t="n">
        <v>56326.72</v>
      </c>
      <c r="J17" s="17" t="inlineStr">
        <is>
          <t>2026-07-30</t>
        </is>
      </c>
      <c r="K17" s="17" t="inlineStr">
        <is>
          <t>MONTHLY</t>
        </is>
      </c>
      <c r="L17" s="17" t="n">
        <v>31</v>
      </c>
      <c r="M17" s="17" t="inlineStr">
        <is>
          <t>09:20 IST</t>
        </is>
      </c>
      <c r="N17" s="17" t="inlineStr">
        <is>
          <t>12:05 IST</t>
        </is>
      </c>
      <c r="O17" s="17" t="n">
        <v>57727.35</v>
      </c>
      <c r="P17" s="17" t="n">
        <v>58177.05</v>
      </c>
      <c r="Q17" s="17" t="inlineStr">
        <is>
          <t>57800 PE</t>
        </is>
      </c>
      <c r="R17" s="17" t="inlineStr">
        <is>
          <t>57600 PE</t>
        </is>
      </c>
      <c r="S17" s="17" t="n">
        <v>18</v>
      </c>
      <c r="T17" s="17" t="n">
        <v>30</v>
      </c>
      <c r="U17" s="17" t="n">
        <v>540</v>
      </c>
      <c r="V17" s="17" t="n">
        <v>87.79000000000001</v>
      </c>
      <c r="W17" s="17" t="n">
        <v>114.13</v>
      </c>
      <c r="X17" s="17" t="n">
        <v>47406.6</v>
      </c>
      <c r="Y17" s="17" t="n">
        <v>47461.26</v>
      </c>
      <c r="Z17" s="17" t="n">
        <v>60593.4</v>
      </c>
      <c r="AA17" s="17" t="n">
        <v>14221.98</v>
      </c>
      <c r="AB17" s="17" t="n">
        <v>14221.98</v>
      </c>
      <c r="AC17" s="17" t="n">
        <v>14223.6</v>
      </c>
      <c r="AD17" s="17" t="n">
        <v>30</v>
      </c>
      <c r="AE17" s="17" t="n">
        <v>40</v>
      </c>
      <c r="AF17" s="17" t="n">
        <v>5.93</v>
      </c>
      <c r="AG17" s="17" t="n">
        <v>0.09</v>
      </c>
      <c r="AH17" s="17" t="n">
        <v>1.42</v>
      </c>
      <c r="AI17" s="17" t="n">
        <v>7.22</v>
      </c>
      <c r="AJ17" s="17" t="n">
        <v>54.66</v>
      </c>
      <c r="AK17" s="17" t="n">
        <v>14168.94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Bear Put Spread</t>
        </is>
      </c>
      <c r="D18" s="16" t="inlineStr">
        <is>
          <t>Bear Put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15:11 IST</t>
        </is>
      </c>
      <c r="O18" s="16" t="n">
        <v>58177.05</v>
      </c>
      <c r="P18" s="16" t="n">
        <v>58150.35</v>
      </c>
      <c r="Q18" s="16" t="inlineStr">
        <is>
          <t>58200 PE</t>
        </is>
      </c>
      <c r="R18" s="16" t="inlineStr">
        <is>
          <t>58000 PE</t>
        </is>
      </c>
      <c r="S18" s="16" t="n">
        <v>19</v>
      </c>
      <c r="T18" s="16" t="n">
        <v>30</v>
      </c>
      <c r="U18" s="16" t="n">
        <v>570</v>
      </c>
      <c r="V18" s="16" t="n">
        <v>85.28</v>
      </c>
      <c r="W18" s="16" t="n">
        <v>84</v>
      </c>
      <c r="X18" s="16" t="n">
        <v>48609.6</v>
      </c>
      <c r="Y18" s="16" t="n">
        <v>48664.45</v>
      </c>
      <c r="Z18" s="16" t="n">
        <v>65390.4</v>
      </c>
      <c r="AA18" s="16" t="n">
        <v>14582.88</v>
      </c>
      <c r="AB18" s="16" t="n">
        <v>14582.88</v>
      </c>
      <c r="AC18" s="16" t="n">
        <v>-729.6</v>
      </c>
      <c r="AD18" s="16" t="n">
        <v>-1.5</v>
      </c>
      <c r="AE18" s="16" t="n">
        <v>40</v>
      </c>
      <c r="AF18" s="16" t="n">
        <v>6.08</v>
      </c>
      <c r="AG18" s="16" t="n">
        <v>0.1</v>
      </c>
      <c r="AH18" s="16" t="n">
        <v>1.46</v>
      </c>
      <c r="AI18" s="16" t="n">
        <v>7.22</v>
      </c>
      <c r="AJ18" s="16" t="n">
        <v>54.85</v>
      </c>
      <c r="AK18" s="16" t="n">
        <v>-784.45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BANKNIFTY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57515.81</v>
      </c>
      <c r="I19" s="15" t="n">
        <v>56405.26</v>
      </c>
      <c r="J19" s="15" t="inlineStr">
        <is>
          <t>2026-07-30</t>
        </is>
      </c>
      <c r="K19" s="15" t="inlineStr">
        <is>
          <t>MONTHLY</t>
        </is>
      </c>
      <c r="L19" s="15" t="n">
        <v>30</v>
      </c>
      <c r="M19" s="15" t="inlineStr">
        <is>
          <t>09:20 IST</t>
        </is>
      </c>
      <c r="N19" s="15" t="inlineStr">
        <is>
          <t>09:36 IST</t>
        </is>
      </c>
      <c r="O19" s="15" t="n">
        <v>57542.9</v>
      </c>
      <c r="P19" s="15" t="n">
        <v>57727.35</v>
      </c>
      <c r="Q19" s="15" t="inlineStr">
        <is>
          <t>57600 PE</t>
        </is>
      </c>
      <c r="R19" s="15" t="inlineStr">
        <is>
          <t>57400 PE</t>
        </is>
      </c>
      <c r="S19" s="15" t="n">
        <v>16</v>
      </c>
      <c r="T19" s="15" t="n">
        <v>30</v>
      </c>
      <c r="U19" s="15" t="n">
        <v>480</v>
      </c>
      <c r="V19" s="15" t="n">
        <v>99.3</v>
      </c>
      <c r="W19" s="15" t="n">
        <v>69.51000000000001</v>
      </c>
      <c r="X19" s="15" t="n">
        <v>47664</v>
      </c>
      <c r="Y19" s="15" t="n">
        <v>47718.7</v>
      </c>
      <c r="Z19" s="15" t="n">
        <v>48336</v>
      </c>
      <c r="AA19" s="15" t="n">
        <v>14299.2</v>
      </c>
      <c r="AB19" s="15" t="n">
        <v>14299.2</v>
      </c>
      <c r="AC19" s="15" t="n">
        <v>-14299.2</v>
      </c>
      <c r="AD19" s="15" t="n">
        <v>-30</v>
      </c>
      <c r="AE19" s="15" t="n">
        <v>40</v>
      </c>
      <c r="AF19" s="15" t="n">
        <v>5.96</v>
      </c>
      <c r="AG19" s="15" t="n">
        <v>0.1</v>
      </c>
      <c r="AH19" s="15" t="n">
        <v>1.43</v>
      </c>
      <c r="AI19" s="15" t="n">
        <v>7.22</v>
      </c>
      <c r="AJ19" s="15" t="n">
        <v>54.7</v>
      </c>
      <c r="AK19" s="15" t="n">
        <v>-14353.9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11:36 IST</t>
        </is>
      </c>
      <c r="O20" s="17" t="n">
        <v>57727.35</v>
      </c>
      <c r="P20" s="17" t="n">
        <v>58177.05</v>
      </c>
      <c r="Q20" s="17" t="inlineStr">
        <is>
          <t>57800 PE</t>
        </is>
      </c>
      <c r="R20" s="17" t="inlineStr">
        <is>
          <t>57600 PE</t>
        </is>
      </c>
      <c r="S20" s="17" t="n">
        <v>17</v>
      </c>
      <c r="T20" s="17" t="n">
        <v>30</v>
      </c>
      <c r="U20" s="17" t="n">
        <v>510</v>
      </c>
      <c r="V20" s="17" t="n">
        <v>95.34</v>
      </c>
      <c r="W20" s="17" t="n">
        <v>123.94</v>
      </c>
      <c r="X20" s="17" t="n">
        <v>48623.4</v>
      </c>
      <c r="Y20" s="17" t="n">
        <v>48678.25</v>
      </c>
      <c r="Z20" s="17" t="n">
        <v>53376.6</v>
      </c>
      <c r="AA20" s="17" t="n">
        <v>14587.02</v>
      </c>
      <c r="AB20" s="17" t="n">
        <v>14587.02</v>
      </c>
      <c r="AC20" s="17" t="n">
        <v>14586</v>
      </c>
      <c r="AD20" s="17" t="n">
        <v>30</v>
      </c>
      <c r="AE20" s="17" t="n">
        <v>40</v>
      </c>
      <c r="AF20" s="17" t="n">
        <v>6.08</v>
      </c>
      <c r="AG20" s="17" t="n">
        <v>0.1</v>
      </c>
      <c r="AH20" s="17" t="n">
        <v>1.46</v>
      </c>
      <c r="AI20" s="17" t="n">
        <v>7.22</v>
      </c>
      <c r="AJ20" s="17" t="n">
        <v>54.85</v>
      </c>
      <c r="AK20" s="17" t="n">
        <v>14531.15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2026-07-01</t>
        </is>
      </c>
      <c r="B21" s="15" t="inlineStr">
        <is>
          <t>BANKNIFTY</t>
        </is>
      </c>
      <c r="C21" s="15" t="inlineStr">
        <is>
          <t>Bear Put Spread</t>
        </is>
      </c>
      <c r="D21" s="15" t="inlineStr">
        <is>
          <t>Bear Put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Price↑(58033.05&gt;57542.9) &amp; EMA9↑(57620.33&gt;56533.78)</t>
        </is>
      </c>
      <c r="H21" s="15" t="n">
        <v>57620.33</v>
      </c>
      <c r="I21" s="15" t="n">
        <v>56533.78</v>
      </c>
      <c r="J21" s="15" t="inlineStr">
        <is>
          <t>2026-07-30</t>
        </is>
      </c>
      <c r="K21" s="15" t="inlineStr">
        <is>
          <t>MONTHLY</t>
        </is>
      </c>
      <c r="L21" s="15" t="n">
        <v>29</v>
      </c>
      <c r="M21" s="15" t="inlineStr">
        <is>
          <t>09:20 IST</t>
        </is>
      </c>
      <c r="N21" s="15" t="inlineStr">
        <is>
          <t>11:07 IST</t>
        </is>
      </c>
      <c r="O21" s="15" t="n">
        <v>58033.05</v>
      </c>
      <c r="P21" s="15" t="n">
        <v>57542.9</v>
      </c>
      <c r="Q21" s="15" t="inlineStr">
        <is>
          <t>58200 PE</t>
        </is>
      </c>
      <c r="R21" s="15" t="inlineStr">
        <is>
          <t>58000 PE</t>
        </is>
      </c>
      <c r="S21" s="15" t="n">
        <v>16</v>
      </c>
      <c r="T21" s="15" t="n">
        <v>30</v>
      </c>
      <c r="U21" s="15" t="n">
        <v>480</v>
      </c>
      <c r="V21" s="15" t="n">
        <v>98.78</v>
      </c>
      <c r="W21" s="15" t="n">
        <v>69.15000000000001</v>
      </c>
      <c r="X21" s="15" t="n">
        <v>47414.4</v>
      </c>
      <c r="Y21" s="15" t="n">
        <v>47469.06</v>
      </c>
      <c r="Z21" s="15" t="n">
        <v>48585.6</v>
      </c>
      <c r="AA21" s="15" t="n">
        <v>14224.32</v>
      </c>
      <c r="AB21" s="15" t="n">
        <v>14224.32</v>
      </c>
      <c r="AC21" s="15" t="n">
        <v>-14222.4</v>
      </c>
      <c r="AD21" s="15" t="n">
        <v>-30</v>
      </c>
      <c r="AE21" s="15" t="n">
        <v>40</v>
      </c>
      <c r="AF21" s="15" t="n">
        <v>5.93</v>
      </c>
      <c r="AG21" s="15" t="n">
        <v>0.09</v>
      </c>
      <c r="AH21" s="15" t="n">
        <v>1.42</v>
      </c>
      <c r="AI21" s="15" t="n">
        <v>7.22</v>
      </c>
      <c r="AJ21" s="15" t="n">
        <v>54.66</v>
      </c>
      <c r="AK21" s="15" t="n">
        <v>-14277.06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11:39 IST</t>
        </is>
      </c>
      <c r="O22" s="17" t="n">
        <v>57542.9</v>
      </c>
      <c r="P22" s="17" t="n">
        <v>57727.35</v>
      </c>
      <c r="Q22" s="17" t="inlineStr">
        <is>
          <t>57600 PE</t>
        </is>
      </c>
      <c r="R22" s="17" t="inlineStr">
        <is>
          <t>57400 PE</t>
        </is>
      </c>
      <c r="S22" s="17" t="n">
        <v>18</v>
      </c>
      <c r="T22" s="17" t="n">
        <v>30</v>
      </c>
      <c r="U22" s="17" t="n">
        <v>540</v>
      </c>
      <c r="V22" s="17" t="n">
        <v>86.94</v>
      </c>
      <c r="W22" s="17" t="n">
        <v>113.02</v>
      </c>
      <c r="X22" s="17" t="n">
        <v>46947.6</v>
      </c>
      <c r="Y22" s="17" t="n">
        <v>47002.19</v>
      </c>
      <c r="Z22" s="17" t="n">
        <v>61052.4</v>
      </c>
      <c r="AA22" s="17" t="n">
        <v>14084.28</v>
      </c>
      <c r="AB22" s="17" t="n">
        <v>14084.28</v>
      </c>
      <c r="AC22" s="17" t="n">
        <v>14083.2</v>
      </c>
      <c r="AD22" s="17" t="n">
        <v>30</v>
      </c>
      <c r="AE22" s="17" t="n">
        <v>40</v>
      </c>
      <c r="AF22" s="17" t="n">
        <v>5.87</v>
      </c>
      <c r="AG22" s="17" t="n">
        <v>0.09</v>
      </c>
      <c r="AH22" s="17" t="n">
        <v>1.41</v>
      </c>
      <c r="AI22" s="17" t="n">
        <v>7.22</v>
      </c>
      <c r="AJ22" s="17" t="n">
        <v>54.59</v>
      </c>
      <c r="AK22" s="17" t="n">
        <v>14028.61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6" t="inlineStr">
        <is>
          <t>2026-07-02</t>
        </is>
      </c>
      <c r="B23" s="16" t="inlineStr">
        <is>
          <t>BANKNIFTY</t>
        </is>
      </c>
      <c r="C23" s="16" t="inlineStr">
        <is>
          <t>Bear Put Spread</t>
        </is>
      </c>
      <c r="D23" s="16" t="inlineStr">
        <is>
          <t>Bear Put Spread</t>
        </is>
      </c>
      <c r="E23" s="16" t="inlineStr">
        <is>
          <t>SIMULATED</t>
        </is>
      </c>
      <c r="F23" s="16" t="inlineStr">
        <is>
          <t>SKIP</t>
        </is>
      </c>
      <c r="G23" s="16" t="inlineStr">
        <is>
          <t>Conflicting — Price:BEARISH EMA:BULLISH</t>
        </is>
      </c>
      <c r="H23" s="16" t="n">
        <v>57703.9</v>
      </c>
      <c r="I23" s="16" t="n">
        <v>56657.09</v>
      </c>
      <c r="J23" s="16" t="inlineStr">
        <is>
          <t>2026-07-30</t>
        </is>
      </c>
      <c r="K23" s="16" t="inlineStr">
        <is>
          <t>MONTHLY</t>
        </is>
      </c>
      <c r="L23" s="16" t="n">
        <v>28</v>
      </c>
      <c r="M23" s="16" t="inlineStr">
        <is>
          <t>09:20 IST</t>
        </is>
      </c>
      <c r="N23" s="16" t="inlineStr">
        <is>
          <t>14:14 IST</t>
        </is>
      </c>
      <c r="O23" s="16" t="n">
        <v>58031.65</v>
      </c>
      <c r="P23" s="16" t="n">
        <v>58033.05</v>
      </c>
      <c r="Q23" s="16" t="inlineStr">
        <is>
          <t>58200 PE</t>
        </is>
      </c>
      <c r="R23" s="16" t="inlineStr">
        <is>
          <t>58000 PE</t>
        </is>
      </c>
      <c r="S23" s="16" t="n">
        <v>18</v>
      </c>
      <c r="T23" s="16" t="n">
        <v>30</v>
      </c>
      <c r="U23" s="16" t="n">
        <v>540</v>
      </c>
      <c r="V23" s="16" t="n">
        <v>89.3</v>
      </c>
      <c r="W23" s="16" t="n">
        <v>87.7</v>
      </c>
      <c r="X23" s="16" t="n">
        <v>48222</v>
      </c>
      <c r="Y23" s="16" t="n">
        <v>48276.79</v>
      </c>
      <c r="Z23" s="16" t="n">
        <v>59778</v>
      </c>
      <c r="AA23" s="16" t="n">
        <v>14466.6</v>
      </c>
      <c r="AB23" s="16" t="n">
        <v>14466.6</v>
      </c>
      <c r="AC23" s="16" t="n">
        <v>-864</v>
      </c>
      <c r="AD23" s="16" t="n">
        <v>-1.8</v>
      </c>
      <c r="AE23" s="16" t="n">
        <v>40</v>
      </c>
      <c r="AF23" s="16" t="n">
        <v>6.03</v>
      </c>
      <c r="AG23" s="16" t="n">
        <v>0.1</v>
      </c>
      <c r="AH23" s="16" t="n">
        <v>1.45</v>
      </c>
      <c r="AI23" s="16" t="n">
        <v>7.22</v>
      </c>
      <c r="AJ23" s="16" t="n">
        <v>54.79</v>
      </c>
      <c r="AK23" s="16" t="n">
        <v>-918.79</v>
      </c>
      <c r="AL23" s="16" t="inlineStr">
        <is>
          <t>FLAT</t>
        </is>
      </c>
      <c r="AM23" s="16" t="n">
        <v>50000</v>
      </c>
      <c r="AN23" s="16" t="inlineStr">
        <is>
          <t>PAPER TRADING</t>
        </is>
      </c>
    </row>
    <row r="24">
      <c r="A24" s="16" t="inlineStr">
        <is>
          <t>2026-07-03</t>
        </is>
      </c>
      <c r="B24" s="16" t="inlineStr">
        <is>
          <t>BANKNIFTY</t>
        </is>
      </c>
      <c r="C24" s="16" t="inlineStr">
        <is>
          <t>Bear Put Spread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BULLISH</t>
        </is>
      </c>
      <c r="G24" s="16" t="inlineStr">
        <is>
          <t>Price↑(58033.05&gt;57542.9) &amp; EMA9↑(57621.96&gt;56519.64)</t>
        </is>
      </c>
      <c r="H24" s="16" t="n">
        <v>57621.96</v>
      </c>
      <c r="I24" s="16" t="n">
        <v>56519.64</v>
      </c>
      <c r="J24" s="16" t="inlineStr">
        <is>
          <t>2026-07-30</t>
        </is>
      </c>
      <c r="K24" s="16" t="inlineStr">
        <is>
          <t>MONTHLY</t>
        </is>
      </c>
      <c r="L24" s="16" t="n">
        <v>28</v>
      </c>
      <c r="M24" s="16" t="inlineStr">
        <is>
          <t>09:20 IST</t>
        </is>
      </c>
      <c r="N24" s="16" t="inlineStr">
        <is>
          <t>14:25 IST</t>
        </is>
      </c>
      <c r="O24" s="16" t="n">
        <v>58033.05</v>
      </c>
      <c r="P24" s="16" t="n">
        <v>57542.9</v>
      </c>
      <c r="Q24" s="16" t="inlineStr">
        <is>
          <t>58200 PE</t>
        </is>
      </c>
      <c r="R24" s="16" t="inlineStr">
        <is>
          <t>58000 PE</t>
        </is>
      </c>
      <c r="S24" s="16" t="n">
        <v>16</v>
      </c>
      <c r="T24" s="16" t="n">
        <v>30</v>
      </c>
      <c r="U24" s="16" t="n">
        <v>480</v>
      </c>
      <c r="V24" s="16" t="n">
        <v>101.14</v>
      </c>
      <c r="W24" s="16" t="n">
        <v>103.77</v>
      </c>
      <c r="X24" s="16" t="n">
        <v>48547.2</v>
      </c>
      <c r="Y24" s="16" t="n">
        <v>48602.04</v>
      </c>
      <c r="Z24" s="16" t="n">
        <v>47452.8</v>
      </c>
      <c r="AA24" s="16" t="n">
        <v>14564.16</v>
      </c>
      <c r="AB24" s="16" t="n">
        <v>14564.16</v>
      </c>
      <c r="AC24" s="16" t="n">
        <v>1262.4</v>
      </c>
      <c r="AD24" s="16" t="n">
        <v>2.6</v>
      </c>
      <c r="AE24" s="16" t="n">
        <v>40</v>
      </c>
      <c r="AF24" s="16" t="n">
        <v>6.07</v>
      </c>
      <c r="AG24" s="16" t="n">
        <v>0.1</v>
      </c>
      <c r="AH24" s="16" t="n">
        <v>1.46</v>
      </c>
      <c r="AI24" s="16" t="n">
        <v>7.22</v>
      </c>
      <c r="AJ24" s="16" t="n">
        <v>54.84</v>
      </c>
      <c r="AK24" s="16" t="n">
        <v>1207.56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09:43 IST</t>
        </is>
      </c>
      <c r="O25" s="17" t="n">
        <v>57938.5</v>
      </c>
      <c r="P25" s="17" t="n">
        <v>58031.65</v>
      </c>
      <c r="Q25" s="17" t="inlineStr">
        <is>
          <t>58000 PE</t>
        </is>
      </c>
      <c r="R25" s="17" t="inlineStr">
        <is>
          <t>57800 PE</t>
        </is>
      </c>
      <c r="S25" s="17" t="n">
        <v>15</v>
      </c>
      <c r="T25" s="17" t="n">
        <v>30</v>
      </c>
      <c r="U25" s="17" t="n">
        <v>450</v>
      </c>
      <c r="V25" s="17" t="n">
        <v>104.64</v>
      </c>
      <c r="W25" s="17" t="n">
        <v>136.03</v>
      </c>
      <c r="X25" s="17" t="n">
        <v>47088</v>
      </c>
      <c r="Y25" s="17" t="n">
        <v>47142.61</v>
      </c>
      <c r="Z25" s="17" t="n">
        <v>42912</v>
      </c>
      <c r="AA25" s="17" t="n">
        <v>14126.4</v>
      </c>
      <c r="AB25" s="17" t="n">
        <v>14126.4</v>
      </c>
      <c r="AC25" s="17" t="n">
        <v>14125.5</v>
      </c>
      <c r="AD25" s="17" t="n">
        <v>30</v>
      </c>
      <c r="AE25" s="17" t="n">
        <v>40</v>
      </c>
      <c r="AF25" s="17" t="n">
        <v>5.89</v>
      </c>
      <c r="AG25" s="17" t="n">
        <v>0.09</v>
      </c>
      <c r="AH25" s="17" t="n">
        <v>1.41</v>
      </c>
      <c r="AI25" s="17" t="n">
        <v>7.22</v>
      </c>
      <c r="AJ25" s="17" t="n">
        <v>54.61</v>
      </c>
      <c r="AK25" s="17" t="n">
        <v>14070.89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N4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BANKNIFTY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BANKNIFTY</t>
        </is>
      </c>
      <c r="C3" s="16" t="inlineStr">
        <is>
          <t>Both Spreads</t>
        </is>
      </c>
      <c r="D3" s="16" t="inlineStr">
        <is>
          <t>Bull Call Spread</t>
        </is>
      </c>
      <c r="E3" s="16" t="inlineStr">
        <is>
          <t>BULLISH</t>
        </is>
      </c>
      <c r="F3" s="16" t="inlineStr">
        <is>
          <t>Price↑(56814.8&gt;55176.75) &amp; EMA9↑(55104.01&gt;54716.74)</t>
        </is>
      </c>
      <c r="G3" s="16" t="n">
        <v>55104.01</v>
      </c>
      <c r="H3" s="16" t="n">
        <v>54716.74</v>
      </c>
      <c r="I3" s="16" t="inlineStr">
        <is>
          <t>2026-06-25</t>
        </is>
      </c>
      <c r="J3" s="16" t="inlineStr">
        <is>
          <t>MONTHLY</t>
        </is>
      </c>
      <c r="K3" s="16" t="n">
        <v>10</v>
      </c>
      <c r="L3" s="16" t="inlineStr">
        <is>
          <t>09:20 IST</t>
        </is>
      </c>
      <c r="M3" s="16" t="inlineStr">
        <is>
          <t>14:24 IST</t>
        </is>
      </c>
      <c r="N3" s="16" t="n">
        <v>56814.8</v>
      </c>
      <c r="O3" s="16" t="n">
        <v>55176.75</v>
      </c>
      <c r="P3" s="16" t="inlineStr">
        <is>
          <t>56800 CE</t>
        </is>
      </c>
      <c r="Q3" s="16" t="inlineStr">
        <is>
          <t>57000 CE</t>
        </is>
      </c>
      <c r="R3" s="16" t="n">
        <v>18</v>
      </c>
      <c r="S3" s="16" t="n">
        <v>30</v>
      </c>
      <c r="T3" s="16" t="n">
        <v>540</v>
      </c>
      <c r="U3" s="16" t="n">
        <v>90.67</v>
      </c>
      <c r="V3" s="16" t="n">
        <v>86.69</v>
      </c>
      <c r="W3" s="16" t="n">
        <v>48961.8</v>
      </c>
      <c r="X3" s="16" t="n">
        <v>49016.7</v>
      </c>
      <c r="Y3" s="16" t="n">
        <v>59038.2</v>
      </c>
      <c r="Z3" s="16" t="n">
        <v>14688.54</v>
      </c>
      <c r="AA3" s="16" t="n">
        <v>14688.54</v>
      </c>
      <c r="AB3" s="16" t="n">
        <v>-2149.2</v>
      </c>
      <c r="AC3" s="16" t="n">
        <v>-4.4</v>
      </c>
      <c r="AD3" s="16" t="n">
        <v>40</v>
      </c>
      <c r="AE3" s="16" t="n">
        <v>6.12</v>
      </c>
      <c r="AF3" s="16" t="n">
        <v>0.1</v>
      </c>
      <c r="AG3" s="16" t="n">
        <v>1.47</v>
      </c>
      <c r="AH3" s="16" t="n">
        <v>7.22</v>
      </c>
      <c r="AI3" s="16" t="n">
        <v>54.9</v>
      </c>
      <c r="AJ3" s="16" t="n">
        <v>-2204.1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7" t="inlineStr">
        <is>
          <t>2026-06-16</t>
        </is>
      </c>
      <c r="B4" s="17" t="inlineStr">
        <is>
          <t>BANKNIFTY</t>
        </is>
      </c>
      <c r="C4" s="17" t="inlineStr">
        <is>
          <t>Both Spreads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Price↑(56814.8&gt;55176.75) &amp; EMA9↑(55104.01&gt;54716.74)</t>
        </is>
      </c>
      <c r="G4" s="17" t="n">
        <v>55104.01</v>
      </c>
      <c r="H4" s="17" t="n">
        <v>54716.74</v>
      </c>
      <c r="I4" s="17" t="inlineStr">
        <is>
          <t>2026-06-25</t>
        </is>
      </c>
      <c r="J4" s="17" t="inlineStr">
        <is>
          <t>MONTHLY</t>
        </is>
      </c>
      <c r="K4" s="17" t="n">
        <v>10</v>
      </c>
      <c r="L4" s="17" t="inlineStr">
        <is>
          <t>09:20 IST</t>
        </is>
      </c>
      <c r="M4" s="17" t="inlineStr">
        <is>
          <t>09:56 IST</t>
        </is>
      </c>
      <c r="N4" s="17" t="n">
        <v>56814.8</v>
      </c>
      <c r="O4" s="17" t="n">
        <v>55176.75</v>
      </c>
      <c r="P4" s="17" t="inlineStr">
        <is>
          <t>57000 PE</t>
        </is>
      </c>
      <c r="Q4" s="17" t="inlineStr">
        <is>
          <t>56800 PE</t>
        </is>
      </c>
      <c r="R4" s="17" t="n">
        <v>20</v>
      </c>
      <c r="S4" s="17" t="n">
        <v>30</v>
      </c>
      <c r="T4" s="17" t="n">
        <v>600</v>
      </c>
      <c r="U4" s="17" t="n">
        <v>80.36</v>
      </c>
      <c r="V4" s="17" t="n">
        <v>104.47</v>
      </c>
      <c r="W4" s="17" t="n">
        <v>48216</v>
      </c>
      <c r="X4" s="17" t="n">
        <v>48270.79</v>
      </c>
      <c r="Y4" s="17" t="n">
        <v>71784</v>
      </c>
      <c r="Z4" s="17" t="n">
        <v>14464.8</v>
      </c>
      <c r="AA4" s="17" t="n">
        <v>14464.8</v>
      </c>
      <c r="AB4" s="17" t="n">
        <v>14466</v>
      </c>
      <c r="AC4" s="17" t="n">
        <v>30</v>
      </c>
      <c r="AD4" s="17" t="n">
        <v>40</v>
      </c>
      <c r="AE4" s="17" t="n">
        <v>6.03</v>
      </c>
      <c r="AF4" s="17" t="n">
        <v>0.1</v>
      </c>
      <c r="AG4" s="17" t="n">
        <v>1.45</v>
      </c>
      <c r="AH4" s="17" t="n">
        <v>7.22</v>
      </c>
      <c r="AI4" s="17" t="n">
        <v>54.79</v>
      </c>
      <c r="AJ4" s="17" t="n">
        <v>14411.21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BANKNIFTY</t>
        </is>
      </c>
      <c r="C5" s="15" t="inlineStr">
        <is>
          <t>Both Spreads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EMA9↑(56566.41&gt;55531.65)</t>
        </is>
      </c>
      <c r="G5" s="15" t="n">
        <v>56566.41</v>
      </c>
      <c r="H5" s="15" t="n">
        <v>55531.65</v>
      </c>
      <c r="I5" s="15" t="inlineStr">
        <is>
          <t>2026-06-25</t>
        </is>
      </c>
      <c r="J5" s="15" t="inlineStr">
        <is>
          <t>MONTHLY</t>
        </is>
      </c>
      <c r="K5" s="15" t="n">
        <v>7</v>
      </c>
      <c r="L5" s="15" t="inlineStr">
        <is>
          <t>09:20 IST</t>
        </is>
      </c>
      <c r="M5" s="15" t="inlineStr">
        <is>
          <t>09:39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27</v>
      </c>
      <c r="S5" s="15" t="n">
        <v>30</v>
      </c>
      <c r="T5" s="15" t="n">
        <v>810</v>
      </c>
      <c r="U5" s="15" t="n">
        <v>59.19</v>
      </c>
      <c r="V5" s="15" t="n">
        <v>41.43</v>
      </c>
      <c r="W5" s="15" t="n">
        <v>47943.9</v>
      </c>
      <c r="X5" s="15" t="n">
        <v>47998.64</v>
      </c>
      <c r="Y5" s="15" t="n">
        <v>114056.1</v>
      </c>
      <c r="Z5" s="15" t="n">
        <v>14383.17</v>
      </c>
      <c r="AA5" s="15" t="n">
        <v>14383.17</v>
      </c>
      <c r="AB5" s="15" t="n">
        <v>-14385.6</v>
      </c>
      <c r="AC5" s="15" t="n">
        <v>-30</v>
      </c>
      <c r="AD5" s="15" t="n">
        <v>40</v>
      </c>
      <c r="AE5" s="15" t="n">
        <v>5.99</v>
      </c>
      <c r="AF5" s="15" t="n">
        <v>0.1</v>
      </c>
      <c r="AG5" s="15" t="n">
        <v>1.44</v>
      </c>
      <c r="AH5" s="15" t="n">
        <v>7.22</v>
      </c>
      <c r="AI5" s="15" t="n">
        <v>54.74</v>
      </c>
      <c r="AJ5" s="15" t="n">
        <v>-14440.34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BANKNIFTY</t>
        </is>
      </c>
      <c r="C6" s="17" t="inlineStr">
        <is>
          <t>Both Spreads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EMA9↑(56566.41&gt;55531.65)</t>
        </is>
      </c>
      <c r="G6" s="17" t="n">
        <v>56566.41</v>
      </c>
      <c r="H6" s="17" t="n">
        <v>55531.65</v>
      </c>
      <c r="I6" s="17" t="inlineStr">
        <is>
          <t>2026-06-25</t>
        </is>
      </c>
      <c r="J6" s="17" t="inlineStr">
        <is>
          <t>MONTHLY</t>
        </is>
      </c>
      <c r="K6" s="17" t="n">
        <v>7</v>
      </c>
      <c r="L6" s="17" t="inlineStr">
        <is>
          <t>09:20 IST</t>
        </is>
      </c>
      <c r="M6" s="17" t="inlineStr">
        <is>
          <t>10:32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28</v>
      </c>
      <c r="S6" s="17" t="n">
        <v>30</v>
      </c>
      <c r="T6" s="17" t="n">
        <v>840</v>
      </c>
      <c r="U6" s="17" t="n">
        <v>56.21</v>
      </c>
      <c r="V6" s="17" t="n">
        <v>73.06999999999999</v>
      </c>
      <c r="W6" s="17" t="n">
        <v>47216.4</v>
      </c>
      <c r="X6" s="17" t="n">
        <v>47271.03</v>
      </c>
      <c r="Y6" s="17" t="n">
        <v>120783.6</v>
      </c>
      <c r="Z6" s="17" t="n">
        <v>14164.92</v>
      </c>
      <c r="AA6" s="17" t="n">
        <v>14164.92</v>
      </c>
      <c r="AB6" s="17" t="n">
        <v>14162.4</v>
      </c>
      <c r="AC6" s="17" t="n">
        <v>30</v>
      </c>
      <c r="AD6" s="17" t="n">
        <v>40</v>
      </c>
      <c r="AE6" s="17" t="n">
        <v>5.9</v>
      </c>
      <c r="AF6" s="17" t="n">
        <v>0.09</v>
      </c>
      <c r="AG6" s="17" t="n">
        <v>1.42</v>
      </c>
      <c r="AH6" s="17" t="n">
        <v>7.22</v>
      </c>
      <c r="AI6" s="17" t="n">
        <v>54.63</v>
      </c>
      <c r="AJ6" s="17" t="n">
        <v>14107.77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BANKNIFTY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56788.95</v>
      </c>
      <c r="H7" s="17" t="n">
        <v>55679.28</v>
      </c>
      <c r="I7" s="17" t="inlineStr">
        <is>
          <t>2026-06-25</t>
        </is>
      </c>
      <c r="J7" s="17" t="inlineStr">
        <is>
          <t>MONTHLY</t>
        </is>
      </c>
      <c r="K7" s="17" t="n">
        <v>6</v>
      </c>
      <c r="L7" s="17" t="inlineStr">
        <is>
          <t>09:20 IST</t>
        </is>
      </c>
      <c r="M7" s="17" t="inlineStr">
        <is>
          <t>10:32 IST</t>
        </is>
      </c>
      <c r="N7" s="17" t="n">
        <v>57685.75</v>
      </c>
      <c r="O7" s="17" t="n">
        <v>57963.8</v>
      </c>
      <c r="P7" s="17" t="inlineStr">
        <is>
          <t>57600 CE</t>
        </is>
      </c>
      <c r="Q7" s="17" t="inlineStr">
        <is>
          <t>57800 CE</t>
        </is>
      </c>
      <c r="R7" s="17" t="n">
        <v>21</v>
      </c>
      <c r="S7" s="17" t="n">
        <v>30</v>
      </c>
      <c r="T7" s="17" t="n">
        <v>630</v>
      </c>
      <c r="U7" s="17" t="n">
        <v>76.20999999999999</v>
      </c>
      <c r="V7" s="17" t="n">
        <v>99.06999999999999</v>
      </c>
      <c r="W7" s="17" t="n">
        <v>48012.3</v>
      </c>
      <c r="X7" s="17" t="n">
        <v>48067.06</v>
      </c>
      <c r="Y7" s="17" t="n">
        <v>77987.7</v>
      </c>
      <c r="Z7" s="17" t="n">
        <v>14403.69</v>
      </c>
      <c r="AA7" s="17" t="n">
        <v>14403.69</v>
      </c>
      <c r="AB7" s="17" t="n">
        <v>14401.8</v>
      </c>
      <c r="AC7" s="17" t="n">
        <v>30</v>
      </c>
      <c r="AD7" s="17" t="n">
        <v>40</v>
      </c>
      <c r="AE7" s="17" t="n">
        <v>6</v>
      </c>
      <c r="AF7" s="17" t="n">
        <v>0.1</v>
      </c>
      <c r="AG7" s="17" t="n">
        <v>1.44</v>
      </c>
      <c r="AH7" s="17" t="n">
        <v>7.22</v>
      </c>
      <c r="AI7" s="17" t="n">
        <v>54.76</v>
      </c>
      <c r="AJ7" s="17" t="n">
        <v>14347.04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BANKNIFTY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56788.95</v>
      </c>
      <c r="H8" s="17" t="n">
        <v>55679.28</v>
      </c>
      <c r="I8" s="17" t="inlineStr">
        <is>
          <t>2026-06-25</t>
        </is>
      </c>
      <c r="J8" s="17" t="inlineStr">
        <is>
          <t>MONTHLY</t>
        </is>
      </c>
      <c r="K8" s="17" t="n">
        <v>6</v>
      </c>
      <c r="L8" s="17" t="inlineStr">
        <is>
          <t>09:20 IST</t>
        </is>
      </c>
      <c r="M8" s="17" t="inlineStr">
        <is>
          <t>10:02 IST</t>
        </is>
      </c>
      <c r="N8" s="17" t="n">
        <v>57685.75</v>
      </c>
      <c r="O8" s="17" t="n">
        <v>57963.8</v>
      </c>
      <c r="P8" s="17" t="inlineStr">
        <is>
          <t>57800 PE</t>
        </is>
      </c>
      <c r="Q8" s="17" t="inlineStr">
        <is>
          <t>57600 PE</t>
        </is>
      </c>
      <c r="R8" s="17" t="n">
        <v>21</v>
      </c>
      <c r="S8" s="17" t="n">
        <v>30</v>
      </c>
      <c r="T8" s="17" t="n">
        <v>630</v>
      </c>
      <c r="U8" s="17" t="n">
        <v>74.43000000000001</v>
      </c>
      <c r="V8" s="17" t="n">
        <v>96.76000000000001</v>
      </c>
      <c r="W8" s="17" t="n">
        <v>46890.9</v>
      </c>
      <c r="X8" s="17" t="n">
        <v>46945.48</v>
      </c>
      <c r="Y8" s="17" t="n">
        <v>79109.10000000001</v>
      </c>
      <c r="Z8" s="17" t="n">
        <v>14067.27</v>
      </c>
      <c r="AA8" s="17" t="n">
        <v>14067.27</v>
      </c>
      <c r="AB8" s="17" t="n">
        <v>14067.9</v>
      </c>
      <c r="AC8" s="17" t="n">
        <v>30</v>
      </c>
      <c r="AD8" s="17" t="n">
        <v>40</v>
      </c>
      <c r="AE8" s="17" t="n">
        <v>5.86</v>
      </c>
      <c r="AF8" s="17" t="n">
        <v>0.09</v>
      </c>
      <c r="AG8" s="17" t="n">
        <v>1.41</v>
      </c>
      <c r="AH8" s="17" t="n">
        <v>7.22</v>
      </c>
      <c r="AI8" s="17" t="n">
        <v>54.58</v>
      </c>
      <c r="AJ8" s="17" t="n">
        <v>14013.32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7" t="inlineStr">
        <is>
          <t>2026-06-20</t>
        </is>
      </c>
      <c r="B9" s="17" t="inlineStr">
        <is>
          <t>BANKNIFTY</t>
        </is>
      </c>
      <c r="C9" s="17" t="inlineStr">
        <is>
          <t>Both Spreads</t>
        </is>
      </c>
      <c r="D9" s="17" t="inlineStr">
        <is>
          <t>Bull Call Spread</t>
        </is>
      </c>
      <c r="E9" s="17" t="inlineStr">
        <is>
          <t>BULLISH</t>
        </is>
      </c>
      <c r="F9" s="17" t="inlineStr">
        <is>
          <t>Price↑(57963.8&gt;57585.05) &amp; EMA9↑(56564.74&gt;55478.64)</t>
        </is>
      </c>
      <c r="G9" s="17" t="n">
        <v>56564.74</v>
      </c>
      <c r="H9" s="17" t="n">
        <v>55478.64</v>
      </c>
      <c r="I9" s="17" t="inlineStr">
        <is>
          <t>2026-06-25</t>
        </is>
      </c>
      <c r="J9" s="17" t="inlineStr">
        <is>
          <t>MONTHLY</t>
        </is>
      </c>
      <c r="K9" s="17" t="n">
        <v>6</v>
      </c>
      <c r="L9" s="17" t="inlineStr">
        <is>
          <t>09:20 IST</t>
        </is>
      </c>
      <c r="M9" s="17" t="inlineStr">
        <is>
          <t>09:59 IST</t>
        </is>
      </c>
      <c r="N9" s="17" t="n">
        <v>57963.8</v>
      </c>
      <c r="O9" s="17" t="n">
        <v>57585.05</v>
      </c>
      <c r="P9" s="17" t="inlineStr">
        <is>
          <t>57800 CE</t>
        </is>
      </c>
      <c r="Q9" s="17" t="inlineStr">
        <is>
          <t>58000 CE</t>
        </is>
      </c>
      <c r="R9" s="17" t="n">
        <v>23</v>
      </c>
      <c r="S9" s="17" t="n">
        <v>30</v>
      </c>
      <c r="T9" s="17" t="n">
        <v>690</v>
      </c>
      <c r="U9" s="17" t="n">
        <v>70.34999999999999</v>
      </c>
      <c r="V9" s="17" t="n">
        <v>91.45</v>
      </c>
      <c r="W9" s="17" t="n">
        <v>48541.5</v>
      </c>
      <c r="X9" s="17" t="n">
        <v>48596.34</v>
      </c>
      <c r="Y9" s="17" t="n">
        <v>89458.5</v>
      </c>
      <c r="Z9" s="17" t="n">
        <v>14562.45</v>
      </c>
      <c r="AA9" s="17" t="n">
        <v>14562.45</v>
      </c>
      <c r="AB9" s="17" t="n">
        <v>14559</v>
      </c>
      <c r="AC9" s="17" t="n">
        <v>30</v>
      </c>
      <c r="AD9" s="17" t="n">
        <v>40</v>
      </c>
      <c r="AE9" s="17" t="n">
        <v>6.07</v>
      </c>
      <c r="AF9" s="17" t="n">
        <v>0.1</v>
      </c>
      <c r="AG9" s="17" t="n">
        <v>1.46</v>
      </c>
      <c r="AH9" s="17" t="n">
        <v>7.22</v>
      </c>
      <c r="AI9" s="17" t="n">
        <v>54.84</v>
      </c>
      <c r="AJ9" s="17" t="n">
        <v>14504.16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6" t="inlineStr">
        <is>
          <t>2026-06-20</t>
        </is>
      </c>
      <c r="B10" s="16" t="inlineStr">
        <is>
          <t>BANKNIFTY</t>
        </is>
      </c>
      <c r="C10" s="16" t="inlineStr">
        <is>
          <t>Both Spreads</t>
        </is>
      </c>
      <c r="D10" s="16" t="inlineStr">
        <is>
          <t>Bear Put Spread</t>
        </is>
      </c>
      <c r="E10" s="16" t="inlineStr">
        <is>
          <t>BULLISH</t>
        </is>
      </c>
      <c r="F10" s="16" t="inlineStr">
        <is>
          <t>Price↑(57963.8&gt;57585.05) &amp; EMA9↑(56564.74&gt;55478.64)</t>
        </is>
      </c>
      <c r="G10" s="16" t="n">
        <v>56564.74</v>
      </c>
      <c r="H10" s="16" t="n">
        <v>55478.64</v>
      </c>
      <c r="I10" s="16" t="inlineStr">
        <is>
          <t>2026-06-25</t>
        </is>
      </c>
      <c r="J10" s="16" t="inlineStr">
        <is>
          <t>MONTHLY</t>
        </is>
      </c>
      <c r="K10" s="16" t="n">
        <v>6</v>
      </c>
      <c r="L10" s="16" t="inlineStr">
        <is>
          <t>09:20 IST</t>
        </is>
      </c>
      <c r="M10" s="16" t="inlineStr">
        <is>
          <t>14:54 IST</t>
        </is>
      </c>
      <c r="N10" s="16" t="n">
        <v>57963.8</v>
      </c>
      <c r="O10" s="16" t="n">
        <v>57585.05</v>
      </c>
      <c r="P10" s="16" t="inlineStr">
        <is>
          <t>58000 PE</t>
        </is>
      </c>
      <c r="Q10" s="16" t="inlineStr">
        <is>
          <t>57800 PE</t>
        </is>
      </c>
      <c r="R10" s="16" t="n">
        <v>22</v>
      </c>
      <c r="S10" s="16" t="n">
        <v>30</v>
      </c>
      <c r="T10" s="16" t="n">
        <v>660</v>
      </c>
      <c r="U10" s="16" t="n">
        <v>73</v>
      </c>
      <c r="V10" s="16" t="n">
        <v>75.15000000000001</v>
      </c>
      <c r="W10" s="16" t="n">
        <v>48180</v>
      </c>
      <c r="X10" s="16" t="n">
        <v>48234.78</v>
      </c>
      <c r="Y10" s="16" t="n">
        <v>83820</v>
      </c>
      <c r="Z10" s="16" t="n">
        <v>14454</v>
      </c>
      <c r="AA10" s="16" t="n">
        <v>14454</v>
      </c>
      <c r="AB10" s="16" t="n">
        <v>1419</v>
      </c>
      <c r="AC10" s="16" t="n">
        <v>2.9</v>
      </c>
      <c r="AD10" s="16" t="n">
        <v>40</v>
      </c>
      <c r="AE10" s="16" t="n">
        <v>6.02</v>
      </c>
      <c r="AF10" s="16" t="n">
        <v>0.1</v>
      </c>
      <c r="AG10" s="16" t="n">
        <v>1.45</v>
      </c>
      <c r="AH10" s="16" t="n">
        <v>7.22</v>
      </c>
      <c r="AI10" s="16" t="n">
        <v>54.78</v>
      </c>
      <c r="AJ10" s="16" t="n">
        <v>1364.22</v>
      </c>
      <c r="AK10" s="16" t="inlineStr">
        <is>
          <t>FLAT</t>
        </is>
      </c>
      <c r="AL10" s="16" t="n">
        <v>50000</v>
      </c>
      <c r="AM10" s="16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BANKNIFTY</t>
        </is>
      </c>
      <c r="C11" s="17" t="inlineStr">
        <is>
          <t>Both Spreads</t>
        </is>
      </c>
      <c r="D11" s="17" t="inlineStr">
        <is>
          <t>Bull Call Spread</t>
        </is>
      </c>
      <c r="E11" s="17" t="inlineStr">
        <is>
          <t>SKIP</t>
        </is>
      </c>
      <c r="F11" s="17" t="inlineStr">
        <is>
          <t>Conflicting — Price:BEARISH EMA:BULLISH</t>
        </is>
      </c>
      <c r="G11" s="17" t="n">
        <v>56787.29</v>
      </c>
      <c r="H11" s="17" t="n">
        <v>55649.38</v>
      </c>
      <c r="I11" s="17" t="inlineStr">
        <is>
          <t>2026-06-25</t>
        </is>
      </c>
      <c r="J11" s="17" t="inlineStr">
        <is>
          <t>MONTHLY</t>
        </is>
      </c>
      <c r="K11" s="17" t="n">
        <v>3</v>
      </c>
      <c r="L11" s="17" t="inlineStr">
        <is>
          <t>09:20 IST</t>
        </is>
      </c>
      <c r="M11" s="17" t="inlineStr">
        <is>
          <t>10:59 IST</t>
        </is>
      </c>
      <c r="N11" s="17" t="n">
        <v>57685.75</v>
      </c>
      <c r="O11" s="17" t="n">
        <v>57963.8</v>
      </c>
      <c r="P11" s="17" t="inlineStr">
        <is>
          <t>57600 CE</t>
        </is>
      </c>
      <c r="Q11" s="17" t="inlineStr">
        <is>
          <t>57800 CE</t>
        </is>
      </c>
      <c r="R11" s="17" t="n">
        <v>25</v>
      </c>
      <c r="S11" s="17" t="n">
        <v>30</v>
      </c>
      <c r="T11" s="17" t="n">
        <v>750</v>
      </c>
      <c r="U11" s="17" t="n">
        <v>63.67</v>
      </c>
      <c r="V11" s="17" t="n">
        <v>82.77</v>
      </c>
      <c r="W11" s="17" t="n">
        <v>47752.5</v>
      </c>
      <c r="X11" s="17" t="n">
        <v>47807.21</v>
      </c>
      <c r="Y11" s="17" t="n">
        <v>102247.5</v>
      </c>
      <c r="Z11" s="17" t="n">
        <v>14325.75</v>
      </c>
      <c r="AA11" s="17" t="n">
        <v>14325.75</v>
      </c>
      <c r="AB11" s="17" t="n">
        <v>14325</v>
      </c>
      <c r="AC11" s="17" t="n">
        <v>30</v>
      </c>
      <c r="AD11" s="17" t="n">
        <v>40</v>
      </c>
      <c r="AE11" s="17" t="n">
        <v>5.97</v>
      </c>
      <c r="AF11" s="17" t="n">
        <v>0.1</v>
      </c>
      <c r="AG11" s="17" t="n">
        <v>1.43</v>
      </c>
      <c r="AH11" s="17" t="n">
        <v>7.22</v>
      </c>
      <c r="AI11" s="17" t="n">
        <v>54.71</v>
      </c>
      <c r="AJ11" s="17" t="n">
        <v>14270.29</v>
      </c>
      <c r="AK11" s="17" t="inlineStr">
        <is>
          <t>PROFIT</t>
        </is>
      </c>
      <c r="AL11" s="17" t="n">
        <v>50000</v>
      </c>
      <c r="AM11" s="17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BANKNIFTY</t>
        </is>
      </c>
      <c r="C12" s="16" t="inlineStr">
        <is>
          <t>Both Spreads</t>
        </is>
      </c>
      <c r="D12" s="16" t="inlineStr">
        <is>
          <t>Bear Put Spread</t>
        </is>
      </c>
      <c r="E12" s="16" t="inlineStr">
        <is>
          <t>SKIP</t>
        </is>
      </c>
      <c r="F12" s="16" t="inlineStr">
        <is>
          <t>Conflicting — Price:BEARISH EMA:BULLISH</t>
        </is>
      </c>
      <c r="G12" s="16" t="n">
        <v>56787.29</v>
      </c>
      <c r="H12" s="16" t="n">
        <v>55649.38</v>
      </c>
      <c r="I12" s="16" t="inlineStr">
        <is>
          <t>2026-06-25</t>
        </is>
      </c>
      <c r="J12" s="16" t="inlineStr">
        <is>
          <t>MONTHLY</t>
        </is>
      </c>
      <c r="K12" s="16" t="n">
        <v>3</v>
      </c>
      <c r="L12" s="16" t="inlineStr">
        <is>
          <t>09:20 IST</t>
        </is>
      </c>
      <c r="M12" s="16" t="inlineStr">
        <is>
          <t>15:03 IST</t>
        </is>
      </c>
      <c r="N12" s="16" t="n">
        <v>57685.75</v>
      </c>
      <c r="O12" s="16" t="n">
        <v>57963.8</v>
      </c>
      <c r="P12" s="16" t="inlineStr">
        <is>
          <t>57800 PE</t>
        </is>
      </c>
      <c r="Q12" s="16" t="inlineStr">
        <is>
          <t>57600 PE</t>
        </is>
      </c>
      <c r="R12" s="16" t="n">
        <v>29</v>
      </c>
      <c r="S12" s="16" t="n">
        <v>30</v>
      </c>
      <c r="T12" s="16" t="n">
        <v>870</v>
      </c>
      <c r="U12" s="16" t="n">
        <v>54.65</v>
      </c>
      <c r="V12" s="16" t="n">
        <v>57.14</v>
      </c>
      <c r="W12" s="16" t="n">
        <v>47545.5</v>
      </c>
      <c r="X12" s="16" t="n">
        <v>47600.18</v>
      </c>
      <c r="Y12" s="16" t="n">
        <v>126454.5</v>
      </c>
      <c r="Z12" s="16" t="n">
        <v>14263.65</v>
      </c>
      <c r="AA12" s="16" t="n">
        <v>14263.65</v>
      </c>
      <c r="AB12" s="16" t="n">
        <v>2166.3</v>
      </c>
      <c r="AC12" s="16" t="n">
        <v>4.6</v>
      </c>
      <c r="AD12" s="16" t="n">
        <v>40</v>
      </c>
      <c r="AE12" s="16" t="n">
        <v>5.94</v>
      </c>
      <c r="AF12" s="16" t="n">
        <v>0.1</v>
      </c>
      <c r="AG12" s="16" t="n">
        <v>1.43</v>
      </c>
      <c r="AH12" s="16" t="n">
        <v>7.22</v>
      </c>
      <c r="AI12" s="16" t="n">
        <v>54.68</v>
      </c>
      <c r="AJ12" s="16" t="n">
        <v>2111.62</v>
      </c>
      <c r="AK12" s="16" t="inlineStr">
        <is>
          <t>FLAT</t>
        </is>
      </c>
      <c r="AL12" s="16" t="n">
        <v>50000</v>
      </c>
      <c r="AM12" s="16" t="inlineStr">
        <is>
          <t>PAPER TRADING</t>
        </is>
      </c>
    </row>
    <row r="13">
      <c r="A13" s="15" t="inlineStr">
        <is>
          <t>2026-06-23</t>
        </is>
      </c>
      <c r="B13" s="15" t="inlineStr">
        <is>
          <t>BANKNIFTY</t>
        </is>
      </c>
      <c r="C13" s="15" t="inlineStr">
        <is>
          <t>Both Spreads</t>
        </is>
      </c>
      <c r="D13" s="15" t="inlineStr">
        <is>
          <t>Bull Call Spread</t>
        </is>
      </c>
      <c r="E13" s="15" t="inlineStr">
        <is>
          <t>SKIP</t>
        </is>
      </c>
      <c r="F13" s="15" t="inlineStr">
        <is>
          <t>Conflicting — Price:BEARISH EMA:BULLISH</t>
        </is>
      </c>
      <c r="G13" s="15" t="n">
        <v>56787.29</v>
      </c>
      <c r="H13" s="15" t="n">
        <v>55649.38</v>
      </c>
      <c r="I13" s="15" t="inlineStr">
        <is>
          <t>2026-06-25</t>
        </is>
      </c>
      <c r="J13" s="15" t="inlineStr">
        <is>
          <t>MONTHLY</t>
        </is>
      </c>
      <c r="K13" s="15" t="n">
        <v>3</v>
      </c>
      <c r="L13" s="15" t="inlineStr">
        <is>
          <t>09:20 IST</t>
        </is>
      </c>
      <c r="M13" s="15" t="inlineStr">
        <is>
          <t>10:09 IST</t>
        </is>
      </c>
      <c r="N13" s="15" t="n">
        <v>57685.75</v>
      </c>
      <c r="O13" s="15" t="n">
        <v>57963.8</v>
      </c>
      <c r="P13" s="15" t="inlineStr">
        <is>
          <t>57600 CE</t>
        </is>
      </c>
      <c r="Q13" s="15" t="inlineStr">
        <is>
          <t>57800 CE</t>
        </is>
      </c>
      <c r="R13" s="15" t="n">
        <v>26</v>
      </c>
      <c r="S13" s="15" t="n">
        <v>30</v>
      </c>
      <c r="T13" s="15" t="n">
        <v>780</v>
      </c>
      <c r="U13" s="15" t="n">
        <v>60.44</v>
      </c>
      <c r="V13" s="15" t="n">
        <v>42.31</v>
      </c>
      <c r="W13" s="15" t="n">
        <v>47143.2</v>
      </c>
      <c r="X13" s="15" t="n">
        <v>47197.82</v>
      </c>
      <c r="Y13" s="15" t="n">
        <v>108856.8</v>
      </c>
      <c r="Z13" s="15" t="n">
        <v>14142.96</v>
      </c>
      <c r="AA13" s="15" t="n">
        <v>14142.96</v>
      </c>
      <c r="AB13" s="15" t="n">
        <v>-14141.4</v>
      </c>
      <c r="AC13" s="15" t="n">
        <v>-30</v>
      </c>
      <c r="AD13" s="15" t="n">
        <v>40</v>
      </c>
      <c r="AE13" s="15" t="n">
        <v>5.89</v>
      </c>
      <c r="AF13" s="15" t="n">
        <v>0.09</v>
      </c>
      <c r="AG13" s="15" t="n">
        <v>1.41</v>
      </c>
      <c r="AH13" s="15" t="n">
        <v>7.22</v>
      </c>
      <c r="AI13" s="15" t="n">
        <v>54.62</v>
      </c>
      <c r="AJ13" s="15" t="n">
        <v>-14196.02</v>
      </c>
      <c r="AK13" s="15" t="inlineStr">
        <is>
          <t>STOP LOSS</t>
        </is>
      </c>
      <c r="AL13" s="15" t="n">
        <v>50000</v>
      </c>
      <c r="AM13" s="15" t="inlineStr">
        <is>
          <t>PAPER TRADING</t>
        </is>
      </c>
    </row>
    <row r="14">
      <c r="A14" s="17" t="inlineStr">
        <is>
          <t>2026-06-23</t>
        </is>
      </c>
      <c r="B14" s="17" t="inlineStr">
        <is>
          <t>BANKNIFTY</t>
        </is>
      </c>
      <c r="C14" s="17" t="inlineStr">
        <is>
          <t>Both Spreads</t>
        </is>
      </c>
      <c r="D14" s="17" t="inlineStr">
        <is>
          <t>Bear Put Spread</t>
        </is>
      </c>
      <c r="E14" s="17" t="inlineStr">
        <is>
          <t>SKIP</t>
        </is>
      </c>
      <c r="F14" s="17" t="inlineStr">
        <is>
          <t>Conflicting — Price:BEARISH EMA:BULLISH</t>
        </is>
      </c>
      <c r="G14" s="17" t="n">
        <v>56787.29</v>
      </c>
      <c r="H14" s="17" t="n">
        <v>55649.38</v>
      </c>
      <c r="I14" s="17" t="inlineStr">
        <is>
          <t>2026-06-25</t>
        </is>
      </c>
      <c r="J14" s="17" t="inlineStr">
        <is>
          <t>MONTHLY</t>
        </is>
      </c>
      <c r="K14" s="17" t="n">
        <v>3</v>
      </c>
      <c r="L14" s="17" t="inlineStr">
        <is>
          <t>09:20 IST</t>
        </is>
      </c>
      <c r="M14" s="17" t="inlineStr">
        <is>
          <t>12:05 IST</t>
        </is>
      </c>
      <c r="N14" s="17" t="n">
        <v>57685.75</v>
      </c>
      <c r="O14" s="17" t="n">
        <v>57963.8</v>
      </c>
      <c r="P14" s="17" t="inlineStr">
        <is>
          <t>57800 PE</t>
        </is>
      </c>
      <c r="Q14" s="17" t="inlineStr">
        <is>
          <t>57600 PE</t>
        </is>
      </c>
      <c r="R14" s="17" t="n">
        <v>27</v>
      </c>
      <c r="S14" s="17" t="n">
        <v>30</v>
      </c>
      <c r="T14" s="17" t="n">
        <v>810</v>
      </c>
      <c r="U14" s="17" t="n">
        <v>59.15</v>
      </c>
      <c r="V14" s="17" t="n">
        <v>76.89</v>
      </c>
      <c r="W14" s="17" t="n">
        <v>47911.5</v>
      </c>
      <c r="X14" s="17" t="n">
        <v>47966.24</v>
      </c>
      <c r="Y14" s="17" t="n">
        <v>114088.5</v>
      </c>
      <c r="Z14" s="17" t="n">
        <v>14373.45</v>
      </c>
      <c r="AA14" s="17" t="n">
        <v>14373.45</v>
      </c>
      <c r="AB14" s="17" t="n">
        <v>14369.4</v>
      </c>
      <c r="AC14" s="17" t="n">
        <v>30</v>
      </c>
      <c r="AD14" s="17" t="n">
        <v>40</v>
      </c>
      <c r="AE14" s="17" t="n">
        <v>5.99</v>
      </c>
      <c r="AF14" s="17" t="n">
        <v>0.1</v>
      </c>
      <c r="AG14" s="17" t="n">
        <v>1.44</v>
      </c>
      <c r="AH14" s="17" t="n">
        <v>7.22</v>
      </c>
      <c r="AI14" s="17" t="n">
        <v>54.74</v>
      </c>
      <c r="AJ14" s="17" t="n">
        <v>14314.66</v>
      </c>
      <c r="AK14" s="17" t="inlineStr">
        <is>
          <t>PROFIT</t>
        </is>
      </c>
      <c r="AL14" s="17" t="n">
        <v>50000</v>
      </c>
      <c r="AM14" s="17" t="inlineStr">
        <is>
          <t>PAPER TRADING</t>
        </is>
      </c>
    </row>
    <row r="15">
      <c r="A15" s="17" t="inlineStr">
        <is>
          <t>2026-06-23</t>
        </is>
      </c>
      <c r="B15" s="17" t="inlineStr">
        <is>
          <t>BANKNIFTY</t>
        </is>
      </c>
      <c r="C15" s="17" t="inlineStr">
        <is>
          <t>Both Spreads</t>
        </is>
      </c>
      <c r="D15" s="17" t="inlineStr">
        <is>
          <t>Bull Call Spread</t>
        </is>
      </c>
      <c r="E15" s="17" t="inlineStr">
        <is>
          <t>SKIP</t>
        </is>
      </c>
      <c r="F15" s="17" t="inlineStr">
        <is>
          <t>Conflicting — Price:BEARISH EMA:BULLISH</t>
        </is>
      </c>
      <c r="G15" s="17" t="n">
        <v>57048.75</v>
      </c>
      <c r="H15" s="17" t="n">
        <v>55970.07</v>
      </c>
      <c r="I15" s="17" t="inlineStr">
        <is>
          <t>2026-06-25</t>
        </is>
      </c>
      <c r="J15" s="17" t="inlineStr">
        <is>
          <t>MONTHLY</t>
        </is>
      </c>
      <c r="K15" s="17" t="n">
        <v>2</v>
      </c>
      <c r="L15" s="17" t="inlineStr">
        <is>
          <t>09:20 IST</t>
        </is>
      </c>
      <c r="M15" s="17" t="inlineStr">
        <is>
          <t>11:24 IST</t>
        </is>
      </c>
      <c r="N15" s="17" t="n">
        <v>57183.75</v>
      </c>
      <c r="O15" s="17" t="n">
        <v>57935.6</v>
      </c>
      <c r="P15" s="17" t="inlineStr">
        <is>
          <t>57000 CE</t>
        </is>
      </c>
      <c r="Q15" s="17" t="inlineStr">
        <is>
          <t>57200 CE</t>
        </is>
      </c>
      <c r="R15" s="17" t="n">
        <v>52</v>
      </c>
      <c r="S15" s="17" t="n">
        <v>30</v>
      </c>
      <c r="T15" s="17" t="n">
        <v>1560</v>
      </c>
      <c r="U15" s="17" t="n">
        <v>30.53</v>
      </c>
      <c r="V15" s="17" t="n">
        <v>39.69</v>
      </c>
      <c r="W15" s="17" t="n">
        <v>47626.8</v>
      </c>
      <c r="X15" s="17" t="n">
        <v>47681.49</v>
      </c>
      <c r="Y15" s="17" t="n">
        <v>264373.2</v>
      </c>
      <c r="Z15" s="17" t="n">
        <v>14288.04</v>
      </c>
      <c r="AA15" s="17" t="n">
        <v>14288.04</v>
      </c>
      <c r="AB15" s="17" t="n">
        <v>14289.6</v>
      </c>
      <c r="AC15" s="17" t="n">
        <v>30</v>
      </c>
      <c r="AD15" s="17" t="n">
        <v>40</v>
      </c>
      <c r="AE15" s="17" t="n">
        <v>5.95</v>
      </c>
      <c r="AF15" s="17" t="n">
        <v>0.1</v>
      </c>
      <c r="AG15" s="17" t="n">
        <v>1.43</v>
      </c>
      <c r="AH15" s="17" t="n">
        <v>7.22</v>
      </c>
      <c r="AI15" s="17" t="n">
        <v>54.69</v>
      </c>
      <c r="AJ15" s="17" t="n">
        <v>14234.91</v>
      </c>
      <c r="AK15" s="17" t="inlineStr">
        <is>
          <t>PROFIT</t>
        </is>
      </c>
      <c r="AL15" s="17" t="n">
        <v>50000</v>
      </c>
      <c r="AM15" s="17" t="inlineStr">
        <is>
          <t>PAPER TRADING</t>
        </is>
      </c>
    </row>
    <row r="16">
      <c r="A16" s="17" t="inlineStr">
        <is>
          <t>2026-06-23</t>
        </is>
      </c>
      <c r="B16" s="17" t="inlineStr">
        <is>
          <t>BANKNIFTY</t>
        </is>
      </c>
      <c r="C16" s="17" t="inlineStr">
        <is>
          <t>Both Spreads</t>
        </is>
      </c>
      <c r="D16" s="17" t="inlineStr">
        <is>
          <t>Bear Put Spread</t>
        </is>
      </c>
      <c r="E16" s="17" t="inlineStr">
        <is>
          <t>SKIP</t>
        </is>
      </c>
      <c r="F16" s="17" t="inlineStr">
        <is>
          <t>Conflicting — Price:BEARISH EMA:BULLISH</t>
        </is>
      </c>
      <c r="G16" s="17" t="n">
        <v>57048.75</v>
      </c>
      <c r="H16" s="17" t="n">
        <v>55970.07</v>
      </c>
      <c r="I16" s="17" t="inlineStr">
        <is>
          <t>2026-06-25</t>
        </is>
      </c>
      <c r="J16" s="17" t="inlineStr">
        <is>
          <t>MONTHLY</t>
        </is>
      </c>
      <c r="K16" s="17" t="n">
        <v>2</v>
      </c>
      <c r="L16" s="17" t="inlineStr">
        <is>
          <t>09:20 IST</t>
        </is>
      </c>
      <c r="M16" s="17" t="inlineStr">
        <is>
          <t>10:54 IST</t>
        </is>
      </c>
      <c r="N16" s="17" t="n">
        <v>57183.75</v>
      </c>
      <c r="O16" s="17" t="n">
        <v>57935.6</v>
      </c>
      <c r="P16" s="17" t="inlineStr">
        <is>
          <t>57200 PE</t>
        </is>
      </c>
      <c r="Q16" s="17" t="inlineStr">
        <is>
          <t>57000 PE</t>
        </is>
      </c>
      <c r="R16" s="17" t="n">
        <v>34</v>
      </c>
      <c r="S16" s="17" t="n">
        <v>30</v>
      </c>
      <c r="T16" s="17" t="n">
        <v>1020</v>
      </c>
      <c r="U16" s="17" t="n">
        <v>46.86</v>
      </c>
      <c r="V16" s="17" t="n">
        <v>60.92</v>
      </c>
      <c r="W16" s="17" t="n">
        <v>47797.2</v>
      </c>
      <c r="X16" s="17" t="n">
        <v>47851.92</v>
      </c>
      <c r="Y16" s="17" t="n">
        <v>156202.8</v>
      </c>
      <c r="Z16" s="17" t="n">
        <v>14339.16</v>
      </c>
      <c r="AA16" s="17" t="n">
        <v>14339.16</v>
      </c>
      <c r="AB16" s="17" t="n">
        <v>14341.2</v>
      </c>
      <c r="AC16" s="17" t="n">
        <v>30</v>
      </c>
      <c r="AD16" s="17" t="n">
        <v>40</v>
      </c>
      <c r="AE16" s="17" t="n">
        <v>5.97</v>
      </c>
      <c r="AF16" s="17" t="n">
        <v>0.1</v>
      </c>
      <c r="AG16" s="17" t="n">
        <v>1.43</v>
      </c>
      <c r="AH16" s="17" t="n">
        <v>7.22</v>
      </c>
      <c r="AI16" s="17" t="n">
        <v>54.72</v>
      </c>
      <c r="AJ16" s="17" t="n">
        <v>14286.48</v>
      </c>
      <c r="AK16" s="17" t="inlineStr">
        <is>
          <t>PROFIT</t>
        </is>
      </c>
      <c r="AL16" s="17" t="n">
        <v>50000</v>
      </c>
      <c r="AM16" s="17" t="inlineStr">
        <is>
          <t>PAPER TRADING</t>
        </is>
      </c>
    </row>
    <row r="17">
      <c r="A17" s="15" t="inlineStr">
        <is>
          <t>2026-06-24</t>
        </is>
      </c>
      <c r="B17" s="15" t="inlineStr">
        <is>
          <t>BANKNIFTY</t>
        </is>
      </c>
      <c r="C17" s="15" t="inlineStr">
        <is>
          <t>Both Spreads</t>
        </is>
      </c>
      <c r="D17" s="15" t="inlineStr">
        <is>
          <t>Bull Call Spread</t>
        </is>
      </c>
      <c r="E17" s="15" t="inlineStr">
        <is>
          <t>BULLISH</t>
        </is>
      </c>
      <c r="F17" s="15" t="inlineStr">
        <is>
          <t>Price↑(57935.6&gt;57685.75) &amp; EMA9↑(57015.0&gt;55848.7)</t>
        </is>
      </c>
      <c r="G17" s="15" t="n">
        <v>57015</v>
      </c>
      <c r="H17" s="15" t="n">
        <v>55848.7</v>
      </c>
      <c r="I17" s="15" t="inlineStr">
        <is>
          <t>2026-06-25</t>
        </is>
      </c>
      <c r="J17" s="15" t="inlineStr">
        <is>
          <t>MONTHLY</t>
        </is>
      </c>
      <c r="K17" s="15" t="n">
        <v>2</v>
      </c>
      <c r="L17" s="15" t="inlineStr">
        <is>
          <t>09:20 IST</t>
        </is>
      </c>
      <c r="M17" s="15" t="inlineStr">
        <is>
          <t>10:25 IST</t>
        </is>
      </c>
      <c r="N17" s="15" t="n">
        <v>57935.6</v>
      </c>
      <c r="O17" s="15" t="n">
        <v>57685.75</v>
      </c>
      <c r="P17" s="15" t="inlineStr">
        <is>
          <t>57800 CE</t>
        </is>
      </c>
      <c r="Q17" s="15" t="inlineStr">
        <is>
          <t>58000 CE</t>
        </is>
      </c>
      <c r="R17" s="15" t="n">
        <v>34</v>
      </c>
      <c r="S17" s="15" t="n">
        <v>30</v>
      </c>
      <c r="T17" s="15" t="n">
        <v>1020</v>
      </c>
      <c r="U17" s="15" t="n">
        <v>46.94</v>
      </c>
      <c r="V17" s="15" t="n">
        <v>32.86</v>
      </c>
      <c r="W17" s="15" t="n">
        <v>47878.8</v>
      </c>
      <c r="X17" s="15" t="n">
        <v>47933.53</v>
      </c>
      <c r="Y17" s="15" t="n">
        <v>156121.2</v>
      </c>
      <c r="Z17" s="15" t="n">
        <v>14363.64</v>
      </c>
      <c r="AA17" s="15" t="n">
        <v>14363.64</v>
      </c>
      <c r="AB17" s="15" t="n">
        <v>-14361.6</v>
      </c>
      <c r="AC17" s="15" t="n">
        <v>-30</v>
      </c>
      <c r="AD17" s="15" t="n">
        <v>40</v>
      </c>
      <c r="AE17" s="15" t="n">
        <v>5.98</v>
      </c>
      <c r="AF17" s="15" t="n">
        <v>0.1</v>
      </c>
      <c r="AG17" s="15" t="n">
        <v>1.44</v>
      </c>
      <c r="AH17" s="15" t="n">
        <v>7.22</v>
      </c>
      <c r="AI17" s="15" t="n">
        <v>54.73</v>
      </c>
      <c r="AJ17" s="15" t="n">
        <v>-14416.33</v>
      </c>
      <c r="AK17" s="15" t="inlineStr">
        <is>
          <t>STOP LOSS</t>
        </is>
      </c>
      <c r="AL17" s="15" t="n">
        <v>50000</v>
      </c>
      <c r="AM17" s="15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BANKNIFTY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Price↑(57935.6&gt;57685.75) &amp; EMA9↑(57015.0&gt;55848.7)</t>
        </is>
      </c>
      <c r="G18" s="17" t="n">
        <v>57015</v>
      </c>
      <c r="H18" s="17" t="n">
        <v>55848.7</v>
      </c>
      <c r="I18" s="17" t="inlineStr">
        <is>
          <t>2026-06-25</t>
        </is>
      </c>
      <c r="J18" s="17" t="inlineStr">
        <is>
          <t>MONTHLY</t>
        </is>
      </c>
      <c r="K18" s="17" t="n">
        <v>2</v>
      </c>
      <c r="L18" s="17" t="inlineStr">
        <is>
          <t>09:20 IST</t>
        </is>
      </c>
      <c r="M18" s="17" t="inlineStr">
        <is>
          <t>10:45 IST</t>
        </is>
      </c>
      <c r="N18" s="17" t="n">
        <v>57935.6</v>
      </c>
      <c r="O18" s="17" t="n">
        <v>57685.75</v>
      </c>
      <c r="P18" s="17" t="inlineStr">
        <is>
          <t>58000 PE</t>
        </is>
      </c>
      <c r="Q18" s="17" t="inlineStr">
        <is>
          <t>57800 PE</t>
        </is>
      </c>
      <c r="R18" s="17" t="n">
        <v>36</v>
      </c>
      <c r="S18" s="17" t="n">
        <v>30</v>
      </c>
      <c r="T18" s="17" t="n">
        <v>1080</v>
      </c>
      <c r="U18" s="17" t="n">
        <v>43.8</v>
      </c>
      <c r="V18" s="17" t="n">
        <v>56.94</v>
      </c>
      <c r="W18" s="17" t="n">
        <v>47304</v>
      </c>
      <c r="X18" s="17" t="n">
        <v>47358.64</v>
      </c>
      <c r="Y18" s="17" t="n">
        <v>168696</v>
      </c>
      <c r="Z18" s="17" t="n">
        <v>14191.2</v>
      </c>
      <c r="AA18" s="17" t="n">
        <v>14191.2</v>
      </c>
      <c r="AB18" s="17" t="n">
        <v>14191.2</v>
      </c>
      <c r="AC18" s="17" t="n">
        <v>30</v>
      </c>
      <c r="AD18" s="17" t="n">
        <v>40</v>
      </c>
      <c r="AE18" s="17" t="n">
        <v>5.91</v>
      </c>
      <c r="AF18" s="17" t="n">
        <v>0.09</v>
      </c>
      <c r="AG18" s="17" t="n">
        <v>1.42</v>
      </c>
      <c r="AH18" s="17" t="n">
        <v>7.22</v>
      </c>
      <c r="AI18" s="17" t="n">
        <v>54.64</v>
      </c>
      <c r="AJ18" s="17" t="n">
        <v>14136.56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BANKNIFTY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Price↑(58150.35&gt;57183.75) &amp; EMA9↑(57268.28&gt;56132.92)</t>
        </is>
      </c>
      <c r="H19" s="17" t="n">
        <v>57268.28</v>
      </c>
      <c r="I19" s="17" t="n">
        <v>56132.92</v>
      </c>
      <c r="J19" s="17" t="inlineStr">
        <is>
          <t>2026-06-25</t>
        </is>
      </c>
      <c r="K19" s="17" t="inlineStr">
        <is>
          <t>MONTHLY</t>
        </is>
      </c>
      <c r="L19" s="17" t="n">
        <v>1</v>
      </c>
      <c r="M19" s="17" t="inlineStr">
        <is>
          <t>09:20 IST</t>
        </is>
      </c>
      <c r="N19" s="17" t="inlineStr">
        <is>
          <t>10:34 IST</t>
        </is>
      </c>
      <c r="O19" s="17" t="n">
        <v>58150.35</v>
      </c>
      <c r="P19" s="17" t="n">
        <v>57183.75</v>
      </c>
      <c r="Q19" s="17" t="inlineStr">
        <is>
          <t>58000 CE</t>
        </is>
      </c>
      <c r="R19" s="17" t="inlineStr">
        <is>
          <t>58200 CE</t>
        </is>
      </c>
      <c r="S19" s="17" t="n">
        <v>46</v>
      </c>
      <c r="T19" s="17" t="n">
        <v>30</v>
      </c>
      <c r="U19" s="17" t="n">
        <v>1380</v>
      </c>
      <c r="V19" s="17" t="n">
        <v>34.14</v>
      </c>
      <c r="W19" s="17" t="n">
        <v>44.38</v>
      </c>
      <c r="X19" s="17" t="n">
        <v>47113.2</v>
      </c>
      <c r="Y19" s="17" t="n">
        <v>47167.81</v>
      </c>
      <c r="Z19" s="17" t="n">
        <v>228886.8</v>
      </c>
      <c r="AA19" s="17" t="n">
        <v>14133.96</v>
      </c>
      <c r="AB19" s="17" t="n">
        <v>14133.96</v>
      </c>
      <c r="AC19" s="17" t="n">
        <v>14131.2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54.61</v>
      </c>
      <c r="AK19" s="17" t="n">
        <v>14076.59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5" t="inlineStr">
        <is>
          <t>2026-06-24</t>
        </is>
      </c>
      <c r="B20" s="15" t="inlineStr">
        <is>
          <t>BANKNIFTY</t>
        </is>
      </c>
      <c r="C20" s="15" t="inlineStr">
        <is>
          <t>Both Spreads</t>
        </is>
      </c>
      <c r="D20" s="15" t="inlineStr">
        <is>
          <t>Bear Put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Price↑(58150.35&gt;57183.75) &amp; EMA9↑(57268.28&gt;56132.92)</t>
        </is>
      </c>
      <c r="H20" s="15" t="n">
        <v>57268.28</v>
      </c>
      <c r="I20" s="15" t="n">
        <v>56132.92</v>
      </c>
      <c r="J20" s="15" t="inlineStr">
        <is>
          <t>2026-06-25</t>
        </is>
      </c>
      <c r="K20" s="15" t="inlineStr">
        <is>
          <t>MONTHLY</t>
        </is>
      </c>
      <c r="L20" s="15" t="n">
        <v>1</v>
      </c>
      <c r="M20" s="15" t="inlineStr">
        <is>
          <t>09:20 IST</t>
        </is>
      </c>
      <c r="N20" s="15" t="inlineStr">
        <is>
          <t>09:31 IST</t>
        </is>
      </c>
      <c r="O20" s="15" t="n">
        <v>58150.35</v>
      </c>
      <c r="P20" s="15" t="n">
        <v>57183.75</v>
      </c>
      <c r="Q20" s="15" t="inlineStr">
        <is>
          <t>58200 PE</t>
        </is>
      </c>
      <c r="R20" s="15" t="inlineStr">
        <is>
          <t>58000 PE</t>
        </is>
      </c>
      <c r="S20" s="15" t="n">
        <v>46</v>
      </c>
      <c r="T20" s="15" t="n">
        <v>30</v>
      </c>
      <c r="U20" s="15" t="n">
        <v>1380</v>
      </c>
      <c r="V20" s="15" t="n">
        <v>34.15</v>
      </c>
      <c r="W20" s="15" t="n">
        <v>23.9</v>
      </c>
      <c r="X20" s="15" t="n">
        <v>47127</v>
      </c>
      <c r="Y20" s="15" t="n">
        <v>47181.62</v>
      </c>
      <c r="Z20" s="15" t="n">
        <v>228873</v>
      </c>
      <c r="AA20" s="15" t="n">
        <v>14138.1</v>
      </c>
      <c r="AB20" s="15" t="n">
        <v>14138.1</v>
      </c>
      <c r="AC20" s="15" t="n">
        <v>-14145</v>
      </c>
      <c r="AD20" s="15" t="n">
        <v>-30</v>
      </c>
      <c r="AE20" s="15" t="n">
        <v>40</v>
      </c>
      <c r="AF20" s="15" t="n">
        <v>5.89</v>
      </c>
      <c r="AG20" s="15" t="n">
        <v>0.09</v>
      </c>
      <c r="AH20" s="15" t="n">
        <v>1.41</v>
      </c>
      <c r="AI20" s="15" t="n">
        <v>7.22</v>
      </c>
      <c r="AJ20" s="15" t="n">
        <v>54.62</v>
      </c>
      <c r="AK20" s="15" t="n">
        <v>-14199.62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6" t="inlineStr">
        <is>
          <t>2026-06-25</t>
        </is>
      </c>
      <c r="B21" s="16" t="inlineStr">
        <is>
          <t>BANKNIFTY</t>
        </is>
      </c>
      <c r="C21" s="16" t="inlineStr">
        <is>
          <t>Both Spreads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SKIP</t>
        </is>
      </c>
      <c r="G21" s="16" t="inlineStr">
        <is>
          <t>Conflicting — Price:BEARISH EMA:BULLISH</t>
        </is>
      </c>
      <c r="H21" s="16" t="n">
        <v>57047.77</v>
      </c>
      <c r="I21" s="16" t="n">
        <v>55931.18</v>
      </c>
      <c r="J21" s="16" t="inlineStr">
        <is>
          <t>2026-06-25</t>
        </is>
      </c>
      <c r="K21" s="16" t="inlineStr">
        <is>
          <t>MONTHLY</t>
        </is>
      </c>
      <c r="L21" s="16" t="n">
        <v>1</v>
      </c>
      <c r="M21" s="16" t="inlineStr">
        <is>
          <t>09:20 IST</t>
        </is>
      </c>
      <c r="N21" s="16" t="inlineStr">
        <is>
          <t>13:20 IST</t>
        </is>
      </c>
      <c r="O21" s="16" t="n">
        <v>57183.75</v>
      </c>
      <c r="P21" s="16" t="n">
        <v>57935.6</v>
      </c>
      <c r="Q21" s="16" t="inlineStr">
        <is>
          <t>57000 CE</t>
        </is>
      </c>
      <c r="R21" s="16" t="inlineStr">
        <is>
          <t>57200 CE</t>
        </is>
      </c>
      <c r="S21" s="16" t="n">
        <v>34</v>
      </c>
      <c r="T21" s="16" t="n">
        <v>30</v>
      </c>
      <c r="U21" s="16" t="n">
        <v>1020</v>
      </c>
      <c r="V21" s="16" t="n">
        <v>46.93</v>
      </c>
      <c r="W21" s="16" t="n">
        <v>46.19</v>
      </c>
      <c r="X21" s="16" t="n">
        <v>47868.6</v>
      </c>
      <c r="Y21" s="16" t="n">
        <v>47923.33</v>
      </c>
      <c r="Z21" s="16" t="n">
        <v>156131.4</v>
      </c>
      <c r="AA21" s="16" t="n">
        <v>14360.58</v>
      </c>
      <c r="AB21" s="16" t="n">
        <v>14360.58</v>
      </c>
      <c r="AC21" s="16" t="n">
        <v>-754.8</v>
      </c>
      <c r="AD21" s="16" t="n">
        <v>-1.6</v>
      </c>
      <c r="AE21" s="16" t="n">
        <v>40</v>
      </c>
      <c r="AF21" s="16" t="n">
        <v>5.98</v>
      </c>
      <c r="AG21" s="16" t="n">
        <v>0.1</v>
      </c>
      <c r="AH21" s="16" t="n">
        <v>1.44</v>
      </c>
      <c r="AI21" s="16" t="n">
        <v>7.22</v>
      </c>
      <c r="AJ21" s="16" t="n">
        <v>54.73</v>
      </c>
      <c r="AK21" s="16" t="n">
        <v>-809.53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BANKNIFTY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57047.77</v>
      </c>
      <c r="I22" s="16" t="n">
        <v>55931.18</v>
      </c>
      <c r="J22" s="16" t="inlineStr">
        <is>
          <t>2026-06-25</t>
        </is>
      </c>
      <c r="K22" s="16" t="inlineStr">
        <is>
          <t>MONTHLY</t>
        </is>
      </c>
      <c r="L22" s="16" t="n">
        <v>1</v>
      </c>
      <c r="M22" s="16" t="inlineStr">
        <is>
          <t>09:20 IST</t>
        </is>
      </c>
      <c r="N22" s="16" t="inlineStr">
        <is>
          <t>13:48 IST</t>
        </is>
      </c>
      <c r="O22" s="16" t="n">
        <v>57183.75</v>
      </c>
      <c r="P22" s="16" t="n">
        <v>57935.6</v>
      </c>
      <c r="Q22" s="16" t="inlineStr">
        <is>
          <t>57200 PE</t>
        </is>
      </c>
      <c r="R22" s="16" t="inlineStr">
        <is>
          <t>57000 PE</t>
        </is>
      </c>
      <c r="S22" s="16" t="n">
        <v>41</v>
      </c>
      <c r="T22" s="16" t="n">
        <v>30</v>
      </c>
      <c r="U22" s="16" t="n">
        <v>1230</v>
      </c>
      <c r="V22" s="16" t="n">
        <v>38.83</v>
      </c>
      <c r="W22" s="16" t="n">
        <v>38.66</v>
      </c>
      <c r="X22" s="16" t="n">
        <v>47760.9</v>
      </c>
      <c r="Y22" s="16" t="n">
        <v>47815.62</v>
      </c>
      <c r="Z22" s="16" t="n">
        <v>198239.1</v>
      </c>
      <c r="AA22" s="16" t="n">
        <v>14328.27</v>
      </c>
      <c r="AB22" s="16" t="n">
        <v>14328.27</v>
      </c>
      <c r="AC22" s="16" t="n">
        <v>-209.1</v>
      </c>
      <c r="AD22" s="16" t="n">
        <v>-0.4</v>
      </c>
      <c r="AE22" s="16" t="n">
        <v>40</v>
      </c>
      <c r="AF22" s="16" t="n">
        <v>5.97</v>
      </c>
      <c r="AG22" s="16" t="n">
        <v>0.1</v>
      </c>
      <c r="AH22" s="16" t="n">
        <v>1.43</v>
      </c>
      <c r="AI22" s="16" t="n">
        <v>7.22</v>
      </c>
      <c r="AJ22" s="16" t="n">
        <v>54.72</v>
      </c>
      <c r="AK22" s="16" t="n">
        <v>-263.82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BANKNIFTY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Price↑(58177.05&gt;58150.35) &amp; EMA9↑(57449.06&gt;56267.48)</t>
        </is>
      </c>
      <c r="H23" s="17" t="n">
        <v>57449.06</v>
      </c>
      <c r="I23" s="17" t="n">
        <v>56267.48</v>
      </c>
      <c r="J23" s="17" t="inlineStr">
        <is>
          <t>2026-06-25</t>
        </is>
      </c>
      <c r="K23" s="17" t="inlineStr">
        <is>
          <t>MONTHLY</t>
        </is>
      </c>
      <c r="L23" s="17" t="n">
        <v>0</v>
      </c>
      <c r="M23" s="17" t="inlineStr">
        <is>
          <t>09:20 IST</t>
        </is>
      </c>
      <c r="N23" s="17" t="inlineStr">
        <is>
          <t>11:27 IST</t>
        </is>
      </c>
      <c r="O23" s="17" t="n">
        <v>58177.05</v>
      </c>
      <c r="P23" s="17" t="n">
        <v>58150.35</v>
      </c>
      <c r="Q23" s="17" t="inlineStr">
        <is>
          <t>58000 CE</t>
        </is>
      </c>
      <c r="R23" s="17" t="inlineStr">
        <is>
          <t>58200 CE</t>
        </is>
      </c>
      <c r="S23" s="17" t="n">
        <v>34</v>
      </c>
      <c r="T23" s="17" t="n">
        <v>30</v>
      </c>
      <c r="U23" s="17" t="n">
        <v>1020</v>
      </c>
      <c r="V23" s="17" t="n">
        <v>47.56</v>
      </c>
      <c r="W23" s="17" t="n">
        <v>61.83</v>
      </c>
      <c r="X23" s="17" t="n">
        <v>48511.2</v>
      </c>
      <c r="Y23" s="17" t="n">
        <v>48566.03</v>
      </c>
      <c r="Z23" s="17" t="n">
        <v>155488.8</v>
      </c>
      <c r="AA23" s="17" t="n">
        <v>14553.36</v>
      </c>
      <c r="AB23" s="17" t="n">
        <v>14553.36</v>
      </c>
      <c r="AC23" s="17" t="n">
        <v>14555.4</v>
      </c>
      <c r="AD23" s="17" t="n">
        <v>30</v>
      </c>
      <c r="AE23" s="17" t="n">
        <v>40</v>
      </c>
      <c r="AF23" s="17" t="n">
        <v>6.06</v>
      </c>
      <c r="AG23" s="17" t="n">
        <v>0.1</v>
      </c>
      <c r="AH23" s="17" t="n">
        <v>1.46</v>
      </c>
      <c r="AI23" s="17" t="n">
        <v>7.22</v>
      </c>
      <c r="AJ23" s="17" t="n">
        <v>54.83</v>
      </c>
      <c r="AK23" s="17" t="n">
        <v>14500.57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5" t="inlineStr">
        <is>
          <t>2026-06-25</t>
        </is>
      </c>
      <c r="B24" s="15" t="inlineStr">
        <is>
          <t>BANKNIFTY</t>
        </is>
      </c>
      <c r="C24" s="15" t="inlineStr">
        <is>
          <t>Both Spreads</t>
        </is>
      </c>
      <c r="D24" s="15" t="inlineStr">
        <is>
          <t>Bear Put Spread</t>
        </is>
      </c>
      <c r="E24" s="15" t="inlineStr">
        <is>
          <t>SIMULATED</t>
        </is>
      </c>
      <c r="F24" s="15" t="inlineStr">
        <is>
          <t>BULLISH</t>
        </is>
      </c>
      <c r="G24" s="15" t="inlineStr">
        <is>
          <t>Price↑(58177.05&gt;58150.35) &amp; EMA9↑(57449.06&gt;56267.48)</t>
        </is>
      </c>
      <c r="H24" s="15" t="n">
        <v>57449.06</v>
      </c>
      <c r="I24" s="15" t="n">
        <v>56267.48</v>
      </c>
      <c r="J24" s="15" t="inlineStr">
        <is>
          <t>2026-06-25</t>
        </is>
      </c>
      <c r="K24" s="15" t="inlineStr">
        <is>
          <t>MONTHLY</t>
        </is>
      </c>
      <c r="L24" s="15" t="n">
        <v>0</v>
      </c>
      <c r="M24" s="15" t="inlineStr">
        <is>
          <t>09:20 IST</t>
        </is>
      </c>
      <c r="N24" s="15" t="inlineStr">
        <is>
          <t>11:03 IST</t>
        </is>
      </c>
      <c r="O24" s="15" t="n">
        <v>58177.05</v>
      </c>
      <c r="P24" s="15" t="n">
        <v>58150.35</v>
      </c>
      <c r="Q24" s="15" t="inlineStr">
        <is>
          <t>58200 PE</t>
        </is>
      </c>
      <c r="R24" s="15" t="inlineStr">
        <is>
          <t>58000 PE</t>
        </is>
      </c>
      <c r="S24" s="15" t="n">
        <v>36</v>
      </c>
      <c r="T24" s="15" t="n">
        <v>30</v>
      </c>
      <c r="U24" s="15" t="n">
        <v>1080</v>
      </c>
      <c r="V24" s="15" t="n">
        <v>44.4</v>
      </c>
      <c r="W24" s="15" t="n">
        <v>31.08</v>
      </c>
      <c r="X24" s="15" t="n">
        <v>47952</v>
      </c>
      <c r="Y24" s="15" t="n">
        <v>48006.75</v>
      </c>
      <c r="Z24" s="15" t="n">
        <v>168048</v>
      </c>
      <c r="AA24" s="15" t="n">
        <v>14385.6</v>
      </c>
      <c r="AB24" s="15" t="n">
        <v>14385.6</v>
      </c>
      <c r="AC24" s="15" t="n">
        <v>-14385.6</v>
      </c>
      <c r="AD24" s="15" t="n">
        <v>-30</v>
      </c>
      <c r="AE24" s="15" t="n">
        <v>40</v>
      </c>
      <c r="AF24" s="15" t="n">
        <v>5.99</v>
      </c>
      <c r="AG24" s="15" t="n">
        <v>0.1</v>
      </c>
      <c r="AH24" s="15" t="n">
        <v>1.44</v>
      </c>
      <c r="AI24" s="15" t="n">
        <v>7.22</v>
      </c>
      <c r="AJ24" s="15" t="n">
        <v>54.75</v>
      </c>
      <c r="AK24" s="15" t="n">
        <v>-14440.35</v>
      </c>
      <c r="AL24" s="15" t="inlineStr">
        <is>
          <t>STOP LOSS</t>
        </is>
      </c>
      <c r="AM24" s="15" t="n">
        <v>50000</v>
      </c>
      <c r="AN24" s="15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BANKNIFTY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Price↑(58150.35&gt;57183.75) &amp; EMA9↑(57267.06&gt;56076.53)</t>
        </is>
      </c>
      <c r="H25" s="17" t="n">
        <v>57267.06</v>
      </c>
      <c r="I25" s="17" t="n">
        <v>56076.53</v>
      </c>
      <c r="J25" s="17" t="inlineStr">
        <is>
          <t>2026-06-25</t>
        </is>
      </c>
      <c r="K25" s="17" t="inlineStr">
        <is>
          <t>MONTHLY</t>
        </is>
      </c>
      <c r="L25" s="17" t="n">
        <v>0</v>
      </c>
      <c r="M25" s="17" t="inlineStr">
        <is>
          <t>09:20 IST</t>
        </is>
      </c>
      <c r="N25" s="17" t="inlineStr">
        <is>
          <t>12:04 IST</t>
        </is>
      </c>
      <c r="O25" s="17" t="n">
        <v>58150.35</v>
      </c>
      <c r="P25" s="17" t="n">
        <v>57183.75</v>
      </c>
      <c r="Q25" s="17" t="inlineStr">
        <is>
          <t>58000 CE</t>
        </is>
      </c>
      <c r="R25" s="17" t="inlineStr">
        <is>
          <t>58200 CE</t>
        </is>
      </c>
      <c r="S25" s="17" t="n">
        <v>38</v>
      </c>
      <c r="T25" s="17" t="n">
        <v>30</v>
      </c>
      <c r="U25" s="17" t="n">
        <v>1140</v>
      </c>
      <c r="V25" s="17" t="n">
        <v>42.15</v>
      </c>
      <c r="W25" s="17" t="n">
        <v>54.8</v>
      </c>
      <c r="X25" s="17" t="n">
        <v>48051</v>
      </c>
      <c r="Y25" s="17" t="n">
        <v>48105.76</v>
      </c>
      <c r="Z25" s="17" t="n">
        <v>179949</v>
      </c>
      <c r="AA25" s="17" t="n">
        <v>14415.3</v>
      </c>
      <c r="AB25" s="17" t="n">
        <v>14415.3</v>
      </c>
      <c r="AC25" s="17" t="n">
        <v>14421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54.76</v>
      </c>
      <c r="AK25" s="17" t="n">
        <v>14366.24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2026-06-26</t>
        </is>
      </c>
      <c r="B26" s="15" t="inlineStr">
        <is>
          <t>BANKNIFTY</t>
        </is>
      </c>
      <c r="C26" s="15" t="inlineStr">
        <is>
          <t>Both Spreads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BULLISH</t>
        </is>
      </c>
      <c r="G26" s="15" t="inlineStr">
        <is>
          <t>Price↑(58150.35&gt;57183.75) &amp; EMA9↑(57267.06&gt;56076.53)</t>
        </is>
      </c>
      <c r="H26" s="15" t="n">
        <v>57267.06</v>
      </c>
      <c r="I26" s="15" t="n">
        <v>56076.53</v>
      </c>
      <c r="J26" s="15" t="inlineStr">
        <is>
          <t>2026-06-25</t>
        </is>
      </c>
      <c r="K26" s="15" t="inlineStr">
        <is>
          <t>MONTHLY</t>
        </is>
      </c>
      <c r="L26" s="15" t="n">
        <v>0</v>
      </c>
      <c r="M26" s="15" t="inlineStr">
        <is>
          <t>09:20 IST</t>
        </is>
      </c>
      <c r="N26" s="15" t="inlineStr">
        <is>
          <t>10:03 IST</t>
        </is>
      </c>
      <c r="O26" s="15" t="n">
        <v>58150.35</v>
      </c>
      <c r="P26" s="15" t="n">
        <v>57183.75</v>
      </c>
      <c r="Q26" s="15" t="inlineStr">
        <is>
          <t>58200 PE</t>
        </is>
      </c>
      <c r="R26" s="15" t="inlineStr">
        <is>
          <t>58000 PE</t>
        </is>
      </c>
      <c r="S26" s="15" t="n">
        <v>49</v>
      </c>
      <c r="T26" s="15" t="n">
        <v>30</v>
      </c>
      <c r="U26" s="15" t="n">
        <v>1470</v>
      </c>
      <c r="V26" s="15" t="n">
        <v>32.1</v>
      </c>
      <c r="W26" s="15" t="n">
        <v>22.47</v>
      </c>
      <c r="X26" s="15" t="n">
        <v>47187</v>
      </c>
      <c r="Y26" s="15" t="n">
        <v>47241.63</v>
      </c>
      <c r="Z26" s="15" t="n">
        <v>246813</v>
      </c>
      <c r="AA26" s="15" t="n">
        <v>14156.1</v>
      </c>
      <c r="AB26" s="15" t="n">
        <v>14156.1</v>
      </c>
      <c r="AC26" s="15" t="n">
        <v>-14156.1</v>
      </c>
      <c r="AD26" s="15" t="n">
        <v>-30</v>
      </c>
      <c r="AE26" s="15" t="n">
        <v>40</v>
      </c>
      <c r="AF26" s="15" t="n">
        <v>5.9</v>
      </c>
      <c r="AG26" s="15" t="n">
        <v>0.09</v>
      </c>
      <c r="AH26" s="15" t="n">
        <v>1.42</v>
      </c>
      <c r="AI26" s="15" t="n">
        <v>7.22</v>
      </c>
      <c r="AJ26" s="15" t="n">
        <v>54.63</v>
      </c>
      <c r="AK26" s="15" t="n">
        <v>-14210.73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BANKNIFTY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Price↑(58177.05&gt;58150.35) &amp; EMA9↑(57449.52&gt;56225.95)</t>
        </is>
      </c>
      <c r="H27" s="15" t="n">
        <v>57449.52</v>
      </c>
      <c r="I27" s="15" t="n">
        <v>56225.95</v>
      </c>
      <c r="J27" s="15" t="inlineStr">
        <is>
          <t>2026-07-30</t>
        </is>
      </c>
      <c r="K27" s="15" t="inlineStr">
        <is>
          <t>MONTHLY</t>
        </is>
      </c>
      <c r="L27" s="15" t="n">
        <v>34</v>
      </c>
      <c r="M27" s="15" t="inlineStr">
        <is>
          <t>09:20 IST</t>
        </is>
      </c>
      <c r="N27" s="15" t="inlineStr">
        <is>
          <t>11:04 IST</t>
        </is>
      </c>
      <c r="O27" s="15" t="n">
        <v>58177.05</v>
      </c>
      <c r="P27" s="15" t="n">
        <v>58150.35</v>
      </c>
      <c r="Q27" s="15" t="inlineStr">
        <is>
          <t>58000 CE</t>
        </is>
      </c>
      <c r="R27" s="15" t="inlineStr">
        <is>
          <t>58200 CE</t>
        </is>
      </c>
      <c r="S27" s="15" t="n">
        <v>15</v>
      </c>
      <c r="T27" s="15" t="n">
        <v>30</v>
      </c>
      <c r="U27" s="15" t="n">
        <v>450</v>
      </c>
      <c r="V27" s="15" t="n">
        <v>109.1</v>
      </c>
      <c r="W27" s="15" t="n">
        <v>76.37</v>
      </c>
      <c r="X27" s="15" t="n">
        <v>49095</v>
      </c>
      <c r="Y27" s="15" t="n">
        <v>49149.93</v>
      </c>
      <c r="Z27" s="15" t="n">
        <v>40905</v>
      </c>
      <c r="AA27" s="15" t="n">
        <v>14728.5</v>
      </c>
      <c r="AB27" s="15" t="n">
        <v>14728.5</v>
      </c>
      <c r="AC27" s="15" t="n">
        <v>-14728.5</v>
      </c>
      <c r="AD27" s="15" t="n">
        <v>-30</v>
      </c>
      <c r="AE27" s="15" t="n">
        <v>40</v>
      </c>
      <c r="AF27" s="15" t="n">
        <v>6.14</v>
      </c>
      <c r="AG27" s="15" t="n">
        <v>0.1</v>
      </c>
      <c r="AH27" s="15" t="n">
        <v>1.47</v>
      </c>
      <c r="AI27" s="15" t="n">
        <v>7.22</v>
      </c>
      <c r="AJ27" s="15" t="n">
        <v>54.93</v>
      </c>
      <c r="AK27" s="15" t="n">
        <v>-14783.43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6" t="inlineStr">
        <is>
          <t>2026-06-26</t>
        </is>
      </c>
      <c r="B28" s="16" t="inlineStr">
        <is>
          <t>BANKNIFTY</t>
        </is>
      </c>
      <c r="C28" s="16" t="inlineStr">
        <is>
          <t>Both Spreads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BULLISH</t>
        </is>
      </c>
      <c r="G28" s="16" t="inlineStr">
        <is>
          <t>Price↑(58177.05&gt;58150.35) &amp; EMA9↑(57449.52&gt;56225.95)</t>
        </is>
      </c>
      <c r="H28" s="16" t="n">
        <v>57449.52</v>
      </c>
      <c r="I28" s="16" t="n">
        <v>56225.95</v>
      </c>
      <c r="J28" s="16" t="inlineStr">
        <is>
          <t>2026-07-30</t>
        </is>
      </c>
      <c r="K28" s="16" t="inlineStr">
        <is>
          <t>MONTHLY</t>
        </is>
      </c>
      <c r="L28" s="16" t="n">
        <v>34</v>
      </c>
      <c r="M28" s="16" t="inlineStr">
        <is>
          <t>09:20 IST</t>
        </is>
      </c>
      <c r="N28" s="16" t="inlineStr">
        <is>
          <t>14:39 IST</t>
        </is>
      </c>
      <c r="O28" s="16" t="n">
        <v>58177.05</v>
      </c>
      <c r="P28" s="16" t="n">
        <v>58150.35</v>
      </c>
      <c r="Q28" s="16" t="inlineStr">
        <is>
          <t>58200 PE</t>
        </is>
      </c>
      <c r="R28" s="16" t="inlineStr">
        <is>
          <t>58000 PE</t>
        </is>
      </c>
      <c r="S28" s="16" t="n">
        <v>16</v>
      </c>
      <c r="T28" s="16" t="n">
        <v>30</v>
      </c>
      <c r="U28" s="16" t="n">
        <v>480</v>
      </c>
      <c r="V28" s="16" t="n">
        <v>101.9</v>
      </c>
      <c r="W28" s="16" t="n">
        <v>101.86</v>
      </c>
      <c r="X28" s="16" t="n">
        <v>48912</v>
      </c>
      <c r="Y28" s="16" t="n">
        <v>48966.9</v>
      </c>
      <c r="Z28" s="16" t="n">
        <v>47088</v>
      </c>
      <c r="AA28" s="16" t="n">
        <v>14673.6</v>
      </c>
      <c r="AB28" s="16" t="n">
        <v>14673.6</v>
      </c>
      <c r="AC28" s="16" t="n">
        <v>-19.2</v>
      </c>
      <c r="AD28" s="16" t="n">
        <v>0</v>
      </c>
      <c r="AE28" s="16" t="n">
        <v>40</v>
      </c>
      <c r="AF28" s="16" t="n">
        <v>6.11</v>
      </c>
      <c r="AG28" s="16" t="n">
        <v>0.1</v>
      </c>
      <c r="AH28" s="16" t="n">
        <v>1.47</v>
      </c>
      <c r="AI28" s="16" t="n">
        <v>7.22</v>
      </c>
      <c r="AJ28" s="16" t="n">
        <v>54.9</v>
      </c>
      <c r="AK28" s="16" t="n">
        <v>-74.09999999999999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BANKNIFTY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Price↑(58177.05&gt;58150.35) &amp; EMA9↑(57449.52&gt;56225.95)</t>
        </is>
      </c>
      <c r="H29" s="17" t="n">
        <v>57449.52</v>
      </c>
      <c r="I29" s="17" t="n">
        <v>56225.95</v>
      </c>
      <c r="J29" s="17" t="inlineStr">
        <is>
          <t>2026-07-30</t>
        </is>
      </c>
      <c r="K29" s="17" t="inlineStr">
        <is>
          <t>MONTHLY</t>
        </is>
      </c>
      <c r="L29" s="17" t="n">
        <v>34</v>
      </c>
      <c r="M29" s="17" t="inlineStr">
        <is>
          <t>09:20 IST</t>
        </is>
      </c>
      <c r="N29" s="17" t="inlineStr">
        <is>
          <t>11:54 IST</t>
        </is>
      </c>
      <c r="O29" s="17" t="n">
        <v>58177.05</v>
      </c>
      <c r="P29" s="17" t="n">
        <v>58150.35</v>
      </c>
      <c r="Q29" s="17" t="inlineStr">
        <is>
          <t>58000 CE</t>
        </is>
      </c>
      <c r="R29" s="17" t="inlineStr">
        <is>
          <t>58200 CE</t>
        </is>
      </c>
      <c r="S29" s="17" t="n">
        <v>17</v>
      </c>
      <c r="T29" s="17" t="n">
        <v>30</v>
      </c>
      <c r="U29" s="17" t="n">
        <v>510</v>
      </c>
      <c r="V29" s="17" t="n">
        <v>94.47</v>
      </c>
      <c r="W29" s="17" t="n">
        <v>122.81</v>
      </c>
      <c r="X29" s="17" t="n">
        <v>48179.7</v>
      </c>
      <c r="Y29" s="17" t="n">
        <v>48234.48</v>
      </c>
      <c r="Z29" s="17" t="n">
        <v>53820.3</v>
      </c>
      <c r="AA29" s="17" t="n">
        <v>14453.91</v>
      </c>
      <c r="AB29" s="17" t="n">
        <v>14453.91</v>
      </c>
      <c r="AC29" s="17" t="n">
        <v>14453.4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1.45</v>
      </c>
      <c r="AI29" s="17" t="n">
        <v>7.22</v>
      </c>
      <c r="AJ29" s="17" t="n">
        <v>54.78</v>
      </c>
      <c r="AK29" s="17" t="n">
        <v>14398.62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BANKNIFTY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Price↑(58177.05&gt;58150.35) &amp; EMA9↑(57449.52&gt;56225.95)</t>
        </is>
      </c>
      <c r="H30" s="17" t="n">
        <v>57449.52</v>
      </c>
      <c r="I30" s="17" t="n">
        <v>56225.95</v>
      </c>
      <c r="J30" s="17" t="inlineStr">
        <is>
          <t>2026-07-30</t>
        </is>
      </c>
      <c r="K30" s="17" t="inlineStr">
        <is>
          <t>MONTHLY</t>
        </is>
      </c>
      <c r="L30" s="17" t="n">
        <v>34</v>
      </c>
      <c r="M30" s="17" t="inlineStr">
        <is>
          <t>09:20 IST</t>
        </is>
      </c>
      <c r="N30" s="17" t="inlineStr">
        <is>
          <t>09:44 IST</t>
        </is>
      </c>
      <c r="O30" s="17" t="n">
        <v>58177.05</v>
      </c>
      <c r="P30" s="17" t="n">
        <v>58150.35</v>
      </c>
      <c r="Q30" s="17" t="inlineStr">
        <is>
          <t>58200 PE</t>
        </is>
      </c>
      <c r="R30" s="17" t="inlineStr">
        <is>
          <t>58000 PE</t>
        </is>
      </c>
      <c r="S30" s="17" t="n">
        <v>15</v>
      </c>
      <c r="T30" s="17" t="n">
        <v>30</v>
      </c>
      <c r="U30" s="17" t="n">
        <v>450</v>
      </c>
      <c r="V30" s="17" t="n">
        <v>105.92</v>
      </c>
      <c r="W30" s="17" t="n">
        <v>137.7</v>
      </c>
      <c r="X30" s="17" t="n">
        <v>47664</v>
      </c>
      <c r="Y30" s="17" t="n">
        <v>47718.7</v>
      </c>
      <c r="Z30" s="17" t="n">
        <v>42336</v>
      </c>
      <c r="AA30" s="17" t="n">
        <v>14299.2</v>
      </c>
      <c r="AB30" s="17" t="n">
        <v>14299.2</v>
      </c>
      <c r="AC30" s="17" t="n">
        <v>14301</v>
      </c>
      <c r="AD30" s="17" t="n">
        <v>30</v>
      </c>
      <c r="AE30" s="17" t="n">
        <v>40</v>
      </c>
      <c r="AF30" s="17" t="n">
        <v>5.96</v>
      </c>
      <c r="AG30" s="17" t="n">
        <v>0.1</v>
      </c>
      <c r="AH30" s="17" t="n">
        <v>1.43</v>
      </c>
      <c r="AI30" s="17" t="n">
        <v>7.22</v>
      </c>
      <c r="AJ30" s="17" t="n">
        <v>54.7</v>
      </c>
      <c r="AK30" s="17" t="n">
        <v>14246.3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BANKNIFTY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57506.76</v>
      </c>
      <c r="I31" s="16" t="n">
        <v>56326.72</v>
      </c>
      <c r="J31" s="16" t="inlineStr">
        <is>
          <t>2026-07-30</t>
        </is>
      </c>
      <c r="K31" s="16" t="inlineStr">
        <is>
          <t>MONTHLY</t>
        </is>
      </c>
      <c r="L31" s="16" t="n">
        <v>31</v>
      </c>
      <c r="M31" s="16" t="inlineStr">
        <is>
          <t>09:20 IST</t>
        </is>
      </c>
      <c r="N31" s="16" t="inlineStr">
        <is>
          <t>14:44 IST</t>
        </is>
      </c>
      <c r="O31" s="16" t="n">
        <v>57727.35</v>
      </c>
      <c r="P31" s="16" t="n">
        <v>58177.05</v>
      </c>
      <c r="Q31" s="16" t="inlineStr">
        <is>
          <t>57600 CE</t>
        </is>
      </c>
      <c r="R31" s="16" t="inlineStr">
        <is>
          <t>57800 CE</t>
        </is>
      </c>
      <c r="S31" s="16" t="n">
        <v>17</v>
      </c>
      <c r="T31" s="16" t="n">
        <v>30</v>
      </c>
      <c r="U31" s="16" t="n">
        <v>510</v>
      </c>
      <c r="V31" s="16" t="n">
        <v>95.8</v>
      </c>
      <c r="W31" s="16" t="n">
        <v>93.16</v>
      </c>
      <c r="X31" s="16" t="n">
        <v>48858</v>
      </c>
      <c r="Y31" s="16" t="n">
        <v>48912.89</v>
      </c>
      <c r="Z31" s="16" t="n">
        <v>53142</v>
      </c>
      <c r="AA31" s="16" t="n">
        <v>14657.4</v>
      </c>
      <c r="AB31" s="16" t="n">
        <v>14657.4</v>
      </c>
      <c r="AC31" s="16" t="n">
        <v>-1346.4</v>
      </c>
      <c r="AD31" s="16" t="n">
        <v>-2.8</v>
      </c>
      <c r="AE31" s="16" t="n">
        <v>40</v>
      </c>
      <c r="AF31" s="16" t="n">
        <v>6.11</v>
      </c>
      <c r="AG31" s="16" t="n">
        <v>0.1</v>
      </c>
      <c r="AH31" s="16" t="n">
        <v>1.47</v>
      </c>
      <c r="AI31" s="16" t="n">
        <v>7.22</v>
      </c>
      <c r="AJ31" s="16" t="n">
        <v>54.89</v>
      </c>
      <c r="AK31" s="16" t="n">
        <v>-1401.29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BANKNIFTY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57506.76</v>
      </c>
      <c r="I32" s="15" t="n">
        <v>56326.72</v>
      </c>
      <c r="J32" s="15" t="inlineStr">
        <is>
          <t>2026-07-30</t>
        </is>
      </c>
      <c r="K32" s="15" t="inlineStr">
        <is>
          <t>MONTHLY</t>
        </is>
      </c>
      <c r="L32" s="15" t="n">
        <v>31</v>
      </c>
      <c r="M32" s="15" t="inlineStr">
        <is>
          <t>09:20 IST</t>
        </is>
      </c>
      <c r="N32" s="15" t="inlineStr">
        <is>
          <t>10:56 IST</t>
        </is>
      </c>
      <c r="O32" s="15" t="n">
        <v>57727.35</v>
      </c>
      <c r="P32" s="15" t="n">
        <v>58177.05</v>
      </c>
      <c r="Q32" s="15" t="inlineStr">
        <is>
          <t>57800 PE</t>
        </is>
      </c>
      <c r="R32" s="15" t="inlineStr">
        <is>
          <t>57600 PE</t>
        </is>
      </c>
      <c r="S32" s="15" t="n">
        <v>17</v>
      </c>
      <c r="T32" s="15" t="n">
        <v>30</v>
      </c>
      <c r="U32" s="15" t="n">
        <v>510</v>
      </c>
      <c r="V32" s="15" t="n">
        <v>92.15000000000001</v>
      </c>
      <c r="W32" s="15" t="n">
        <v>64.5</v>
      </c>
      <c r="X32" s="15" t="n">
        <v>46996.5</v>
      </c>
      <c r="Y32" s="15" t="n">
        <v>47051.1</v>
      </c>
      <c r="Z32" s="15" t="n">
        <v>55003.5</v>
      </c>
      <c r="AA32" s="15" t="n">
        <v>14098.95</v>
      </c>
      <c r="AB32" s="15" t="n">
        <v>14098.95</v>
      </c>
      <c r="AC32" s="15" t="n">
        <v>-14101.5</v>
      </c>
      <c r="AD32" s="15" t="n">
        <v>-30</v>
      </c>
      <c r="AE32" s="15" t="n">
        <v>40</v>
      </c>
      <c r="AF32" s="15" t="n">
        <v>5.87</v>
      </c>
      <c r="AG32" s="15" t="n">
        <v>0.09</v>
      </c>
      <c r="AH32" s="15" t="n">
        <v>1.41</v>
      </c>
      <c r="AI32" s="15" t="n">
        <v>7.22</v>
      </c>
      <c r="AJ32" s="15" t="n">
        <v>54.6</v>
      </c>
      <c r="AK32" s="15" t="n">
        <v>-14156.1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6" t="inlineStr">
        <is>
          <t>2026-06-30</t>
        </is>
      </c>
      <c r="B33" s="16" t="inlineStr">
        <is>
          <t>BANKNIFTY</t>
        </is>
      </c>
      <c r="C33" s="16" t="inlineStr">
        <is>
          <t>Both Spreads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Price↑(58177.05&gt;58150.35) &amp; EMA9↑(57451.61&gt;56186.66)</t>
        </is>
      </c>
      <c r="H33" s="16" t="n">
        <v>57451.61</v>
      </c>
      <c r="I33" s="16" t="n">
        <v>56186.66</v>
      </c>
      <c r="J33" s="16" t="inlineStr">
        <is>
          <t>2026-07-30</t>
        </is>
      </c>
      <c r="K33" s="16" t="inlineStr">
        <is>
          <t>MONTHLY</t>
        </is>
      </c>
      <c r="L33" s="16" t="n">
        <v>31</v>
      </c>
      <c r="M33" s="16" t="inlineStr">
        <is>
          <t>09:20 IST</t>
        </is>
      </c>
      <c r="N33" s="16" t="inlineStr">
        <is>
          <t>14:26 IST</t>
        </is>
      </c>
      <c r="O33" s="16" t="n">
        <v>58177.05</v>
      </c>
      <c r="P33" s="16" t="n">
        <v>58150.35</v>
      </c>
      <c r="Q33" s="16" t="inlineStr">
        <is>
          <t>58000 CE</t>
        </is>
      </c>
      <c r="R33" s="16" t="inlineStr">
        <is>
          <t>58200 CE</t>
        </is>
      </c>
      <c r="S33" s="16" t="n">
        <v>16</v>
      </c>
      <c r="T33" s="16" t="n">
        <v>30</v>
      </c>
      <c r="U33" s="16" t="n">
        <v>480</v>
      </c>
      <c r="V33" s="16" t="n">
        <v>100.86</v>
      </c>
      <c r="W33" s="16" t="n">
        <v>105.77</v>
      </c>
      <c r="X33" s="16" t="n">
        <v>48412.8</v>
      </c>
      <c r="Y33" s="16" t="n">
        <v>48467.62</v>
      </c>
      <c r="Z33" s="16" t="n">
        <v>47587.2</v>
      </c>
      <c r="AA33" s="16" t="n">
        <v>14523.84</v>
      </c>
      <c r="AB33" s="16" t="n">
        <v>14523.84</v>
      </c>
      <c r="AC33" s="16" t="n">
        <v>2356.8</v>
      </c>
      <c r="AD33" s="16" t="n">
        <v>4.9</v>
      </c>
      <c r="AE33" s="16" t="n">
        <v>40</v>
      </c>
      <c r="AF33" s="16" t="n">
        <v>6.05</v>
      </c>
      <c r="AG33" s="16" t="n">
        <v>0.1</v>
      </c>
      <c r="AH33" s="16" t="n">
        <v>1.45</v>
      </c>
      <c r="AI33" s="16" t="n">
        <v>7.22</v>
      </c>
      <c r="AJ33" s="16" t="n">
        <v>54.82</v>
      </c>
      <c r="AK33" s="16" t="n">
        <v>2301.98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5" t="inlineStr">
        <is>
          <t>2026-06-30</t>
        </is>
      </c>
      <c r="B34" s="15" t="inlineStr">
        <is>
          <t>BANKNIFTY</t>
        </is>
      </c>
      <c r="C34" s="15" t="inlineStr">
        <is>
          <t>Both Spreads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BULLISH</t>
        </is>
      </c>
      <c r="G34" s="15" t="inlineStr">
        <is>
          <t>Price↑(58177.05&gt;58150.35) &amp; EMA9↑(57451.61&gt;56186.66)</t>
        </is>
      </c>
      <c r="H34" s="15" t="n">
        <v>57451.61</v>
      </c>
      <c r="I34" s="15" t="n">
        <v>56186.66</v>
      </c>
      <c r="J34" s="15" t="inlineStr">
        <is>
          <t>2026-07-30</t>
        </is>
      </c>
      <c r="K34" s="15" t="inlineStr">
        <is>
          <t>MONTHLY</t>
        </is>
      </c>
      <c r="L34" s="15" t="n">
        <v>31</v>
      </c>
      <c r="M34" s="15" t="inlineStr">
        <is>
          <t>09:20 IST</t>
        </is>
      </c>
      <c r="N34" s="15" t="inlineStr">
        <is>
          <t>10:45 IST</t>
        </is>
      </c>
      <c r="O34" s="15" t="n">
        <v>58177.05</v>
      </c>
      <c r="P34" s="15" t="n">
        <v>58150.35</v>
      </c>
      <c r="Q34" s="15" t="inlineStr">
        <is>
          <t>58200 PE</t>
        </is>
      </c>
      <c r="R34" s="15" t="inlineStr">
        <is>
          <t>58000 PE</t>
        </is>
      </c>
      <c r="S34" s="15" t="n">
        <v>15</v>
      </c>
      <c r="T34" s="15" t="n">
        <v>30</v>
      </c>
      <c r="U34" s="15" t="n">
        <v>450</v>
      </c>
      <c r="V34" s="15" t="n">
        <v>106.95</v>
      </c>
      <c r="W34" s="15" t="n">
        <v>74.86</v>
      </c>
      <c r="X34" s="15" t="n">
        <v>48127.5</v>
      </c>
      <c r="Y34" s="15" t="n">
        <v>48182.27</v>
      </c>
      <c r="Z34" s="15" t="n">
        <v>41872.5</v>
      </c>
      <c r="AA34" s="15" t="n">
        <v>14438.25</v>
      </c>
      <c r="AB34" s="15" t="n">
        <v>14438.25</v>
      </c>
      <c r="AC34" s="15" t="n">
        <v>-14440.5</v>
      </c>
      <c r="AD34" s="15" t="n">
        <v>-30</v>
      </c>
      <c r="AE34" s="15" t="n">
        <v>40</v>
      </c>
      <c r="AF34" s="15" t="n">
        <v>6.02</v>
      </c>
      <c r="AG34" s="15" t="n">
        <v>0.1</v>
      </c>
      <c r="AH34" s="15" t="n">
        <v>1.44</v>
      </c>
      <c r="AI34" s="15" t="n">
        <v>7.22</v>
      </c>
      <c r="AJ34" s="15" t="n">
        <v>54.77</v>
      </c>
      <c r="AK34" s="15" t="n">
        <v>-14495.27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BANKNIFTY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57515.81</v>
      </c>
      <c r="I35" s="16" t="n">
        <v>56405.26</v>
      </c>
      <c r="J35" s="16" t="inlineStr">
        <is>
          <t>2026-07-30</t>
        </is>
      </c>
      <c r="K35" s="16" t="inlineStr">
        <is>
          <t>MONTHLY</t>
        </is>
      </c>
      <c r="L35" s="16" t="n">
        <v>30</v>
      </c>
      <c r="M35" s="16" t="inlineStr">
        <is>
          <t>09:20 IST</t>
        </is>
      </c>
      <c r="N35" s="16" t="inlineStr">
        <is>
          <t>13:33 IST</t>
        </is>
      </c>
      <c r="O35" s="16" t="n">
        <v>57542.9</v>
      </c>
      <c r="P35" s="16" t="n">
        <v>57727.35</v>
      </c>
      <c r="Q35" s="16" t="inlineStr">
        <is>
          <t>57400 CE</t>
        </is>
      </c>
      <c r="R35" s="16" t="inlineStr">
        <is>
          <t>57600 CE</t>
        </is>
      </c>
      <c r="S35" s="16" t="n">
        <v>15</v>
      </c>
      <c r="T35" s="16" t="n">
        <v>30</v>
      </c>
      <c r="U35" s="16" t="n">
        <v>450</v>
      </c>
      <c r="V35" s="16" t="n">
        <v>106.82</v>
      </c>
      <c r="W35" s="16" t="n">
        <v>101.83</v>
      </c>
      <c r="X35" s="16" t="n">
        <v>48069</v>
      </c>
      <c r="Y35" s="16" t="n">
        <v>48123.76</v>
      </c>
      <c r="Z35" s="16" t="n">
        <v>41931</v>
      </c>
      <c r="AA35" s="16" t="n">
        <v>14420.7</v>
      </c>
      <c r="AB35" s="16" t="n">
        <v>14420.7</v>
      </c>
      <c r="AC35" s="16" t="n">
        <v>-2245.5</v>
      </c>
      <c r="AD35" s="16" t="n">
        <v>-4.7</v>
      </c>
      <c r="AE35" s="16" t="n">
        <v>40</v>
      </c>
      <c r="AF35" s="16" t="n">
        <v>6.01</v>
      </c>
      <c r="AG35" s="16" t="n">
        <v>0.1</v>
      </c>
      <c r="AH35" s="16" t="n">
        <v>1.44</v>
      </c>
      <c r="AI35" s="16" t="n">
        <v>7.22</v>
      </c>
      <c r="AJ35" s="16" t="n">
        <v>54.76</v>
      </c>
      <c r="AK35" s="16" t="n">
        <v>-2300.26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2026-06-30</t>
        </is>
      </c>
      <c r="B36" s="17" t="inlineStr">
        <is>
          <t>BANKNIFTY</t>
        </is>
      </c>
      <c r="C36" s="17" t="inlineStr">
        <is>
          <t>Both Spreads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SKIP</t>
        </is>
      </c>
      <c r="G36" s="17" t="inlineStr">
        <is>
          <t>Conflicting — Price:BEARISH EMA:BULLISH</t>
        </is>
      </c>
      <c r="H36" s="17" t="n">
        <v>57515.81</v>
      </c>
      <c r="I36" s="17" t="n">
        <v>56405.26</v>
      </c>
      <c r="J36" s="17" t="inlineStr">
        <is>
          <t>2026-07-30</t>
        </is>
      </c>
      <c r="K36" s="17" t="inlineStr">
        <is>
          <t>MONTHLY</t>
        </is>
      </c>
      <c r="L36" s="17" t="n">
        <v>30</v>
      </c>
      <c r="M36" s="17" t="inlineStr">
        <is>
          <t>09:20 IST</t>
        </is>
      </c>
      <c r="N36" s="17" t="inlineStr">
        <is>
          <t>09:47 IST</t>
        </is>
      </c>
      <c r="O36" s="17" t="n">
        <v>57542.9</v>
      </c>
      <c r="P36" s="17" t="n">
        <v>57727.35</v>
      </c>
      <c r="Q36" s="17" t="inlineStr">
        <is>
          <t>57600 PE</t>
        </is>
      </c>
      <c r="R36" s="17" t="inlineStr">
        <is>
          <t>57400 PE</t>
        </is>
      </c>
      <c r="S36" s="17" t="n">
        <v>19</v>
      </c>
      <c r="T36" s="17" t="n">
        <v>30</v>
      </c>
      <c r="U36" s="17" t="n">
        <v>570</v>
      </c>
      <c r="V36" s="17" t="n">
        <v>82.5</v>
      </c>
      <c r="W36" s="17" t="n">
        <v>107.25</v>
      </c>
      <c r="X36" s="17" t="n">
        <v>47025</v>
      </c>
      <c r="Y36" s="17" t="n">
        <v>47079.6</v>
      </c>
      <c r="Z36" s="17" t="n">
        <v>66975</v>
      </c>
      <c r="AA36" s="17" t="n">
        <v>14107.5</v>
      </c>
      <c r="AB36" s="17" t="n">
        <v>14107.5</v>
      </c>
      <c r="AC36" s="17" t="n">
        <v>14107.5</v>
      </c>
      <c r="AD36" s="17" t="n">
        <v>30</v>
      </c>
      <c r="AE36" s="17" t="n">
        <v>40</v>
      </c>
      <c r="AF36" s="17" t="n">
        <v>5.88</v>
      </c>
      <c r="AG36" s="17" t="n">
        <v>0.09</v>
      </c>
      <c r="AH36" s="17" t="n">
        <v>1.41</v>
      </c>
      <c r="AI36" s="17" t="n">
        <v>7.22</v>
      </c>
      <c r="AJ36" s="17" t="n">
        <v>54.6</v>
      </c>
      <c r="AK36" s="17" t="n">
        <v>14052.9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2026-07-01</t>
        </is>
      </c>
      <c r="B37" s="17" t="inlineStr">
        <is>
          <t>BANKNIFTY</t>
        </is>
      </c>
      <c r="C37" s="17" t="inlineStr">
        <is>
          <t>Both Spreads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SKIP</t>
        </is>
      </c>
      <c r="G37" s="17" t="inlineStr">
        <is>
          <t>Conflicting — Price:BEARISH EMA:BULLISH</t>
        </is>
      </c>
      <c r="H37" s="17" t="n">
        <v>57509.03</v>
      </c>
      <c r="I37" s="17" t="n">
        <v>56291.5</v>
      </c>
      <c r="J37" s="17" t="inlineStr">
        <is>
          <t>2026-07-30</t>
        </is>
      </c>
      <c r="K37" s="17" t="inlineStr">
        <is>
          <t>MONTHLY</t>
        </is>
      </c>
      <c r="L37" s="17" t="n">
        <v>30</v>
      </c>
      <c r="M37" s="17" t="inlineStr">
        <is>
          <t>09:20 IST</t>
        </is>
      </c>
      <c r="N37" s="17" t="inlineStr">
        <is>
          <t>09:58 IST</t>
        </is>
      </c>
      <c r="O37" s="17" t="n">
        <v>57727.35</v>
      </c>
      <c r="P37" s="17" t="n">
        <v>58177.05</v>
      </c>
      <c r="Q37" s="17" t="inlineStr">
        <is>
          <t>57600 CE</t>
        </is>
      </c>
      <c r="R37" s="17" t="inlineStr">
        <is>
          <t>57800 CE</t>
        </is>
      </c>
      <c r="S37" s="17" t="n">
        <v>18</v>
      </c>
      <c r="T37" s="17" t="n">
        <v>30</v>
      </c>
      <c r="U37" s="17" t="n">
        <v>540</v>
      </c>
      <c r="V37" s="17" t="n">
        <v>88.36</v>
      </c>
      <c r="W37" s="17" t="n">
        <v>114.87</v>
      </c>
      <c r="X37" s="17" t="n">
        <v>47714.4</v>
      </c>
      <c r="Y37" s="17" t="n">
        <v>47769.11</v>
      </c>
      <c r="Z37" s="17" t="n">
        <v>60285.6</v>
      </c>
      <c r="AA37" s="17" t="n">
        <v>14314.32</v>
      </c>
      <c r="AB37" s="17" t="n">
        <v>14314.32</v>
      </c>
      <c r="AC37" s="17" t="n">
        <v>14315.4</v>
      </c>
      <c r="AD37" s="17" t="n">
        <v>30</v>
      </c>
      <c r="AE37" s="17" t="n">
        <v>40</v>
      </c>
      <c r="AF37" s="17" t="n">
        <v>5.96</v>
      </c>
      <c r="AG37" s="17" t="n">
        <v>0.1</v>
      </c>
      <c r="AH37" s="17" t="n">
        <v>1.43</v>
      </c>
      <c r="AI37" s="17" t="n">
        <v>7.22</v>
      </c>
      <c r="AJ37" s="17" t="n">
        <v>54.71</v>
      </c>
      <c r="AK37" s="17" t="n">
        <v>14260.69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2026-07-01</t>
        </is>
      </c>
      <c r="B38" s="16" t="inlineStr">
        <is>
          <t>BANKNIFTY</t>
        </is>
      </c>
      <c r="C38" s="16" t="inlineStr">
        <is>
          <t>Both Spreads</t>
        </is>
      </c>
      <c r="D38" s="16" t="inlineStr">
        <is>
          <t>Bear Put Spread</t>
        </is>
      </c>
      <c r="E38" s="16" t="inlineStr">
        <is>
          <t>SIMULATED</t>
        </is>
      </c>
      <c r="F38" s="16" t="inlineStr">
        <is>
          <t>SKIP</t>
        </is>
      </c>
      <c r="G38" s="16" t="inlineStr">
        <is>
          <t>Conflicting — Price:BEARISH EMA:BULLISH</t>
        </is>
      </c>
      <c r="H38" s="16" t="n">
        <v>57509.03</v>
      </c>
      <c r="I38" s="16" t="n">
        <v>56291.5</v>
      </c>
      <c r="J38" s="16" t="inlineStr">
        <is>
          <t>2026-07-30</t>
        </is>
      </c>
      <c r="K38" s="16" t="inlineStr">
        <is>
          <t>MONTHLY</t>
        </is>
      </c>
      <c r="L38" s="16" t="n">
        <v>30</v>
      </c>
      <c r="M38" s="16" t="inlineStr">
        <is>
          <t>09:20 IST</t>
        </is>
      </c>
      <c r="N38" s="16" t="inlineStr">
        <is>
          <t>13:58 IST</t>
        </is>
      </c>
      <c r="O38" s="16" t="n">
        <v>57727.35</v>
      </c>
      <c r="P38" s="16" t="n">
        <v>58177.05</v>
      </c>
      <c r="Q38" s="16" t="inlineStr">
        <is>
          <t>57800 PE</t>
        </is>
      </c>
      <c r="R38" s="16" t="inlineStr">
        <is>
          <t>57600 PE</t>
        </is>
      </c>
      <c r="S38" s="16" t="n">
        <v>16</v>
      </c>
      <c r="T38" s="16" t="n">
        <v>30</v>
      </c>
      <c r="U38" s="16" t="n">
        <v>480</v>
      </c>
      <c r="V38" s="16" t="n">
        <v>99.93000000000001</v>
      </c>
      <c r="W38" s="16" t="n">
        <v>104.91</v>
      </c>
      <c r="X38" s="16" t="n">
        <v>47966.4</v>
      </c>
      <c r="Y38" s="16" t="n">
        <v>48021.15</v>
      </c>
      <c r="Z38" s="16" t="n">
        <v>48033.6</v>
      </c>
      <c r="AA38" s="16" t="n">
        <v>14389.92</v>
      </c>
      <c r="AB38" s="16" t="n">
        <v>14389.92</v>
      </c>
      <c r="AC38" s="16" t="n">
        <v>2390.4</v>
      </c>
      <c r="AD38" s="16" t="n">
        <v>5</v>
      </c>
      <c r="AE38" s="16" t="n">
        <v>40</v>
      </c>
      <c r="AF38" s="16" t="n">
        <v>6</v>
      </c>
      <c r="AG38" s="16" t="n">
        <v>0.1</v>
      </c>
      <c r="AH38" s="16" t="n">
        <v>1.44</v>
      </c>
      <c r="AI38" s="16" t="n">
        <v>7.22</v>
      </c>
      <c r="AJ38" s="16" t="n">
        <v>54.75</v>
      </c>
      <c r="AK38" s="16" t="n">
        <v>2335.65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BANKNIFTY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Price↑(58033.05&gt;57542.9) &amp; EMA9↑(57620.33&gt;56533.78)</t>
        </is>
      </c>
      <c r="H39" s="17" t="n">
        <v>57620.33</v>
      </c>
      <c r="I39" s="17" t="n">
        <v>56533.78</v>
      </c>
      <c r="J39" s="17" t="inlineStr">
        <is>
          <t>2026-07-30</t>
        </is>
      </c>
      <c r="K39" s="17" t="inlineStr">
        <is>
          <t>MONTHLY</t>
        </is>
      </c>
      <c r="L39" s="17" t="n">
        <v>29</v>
      </c>
      <c r="M39" s="17" t="inlineStr">
        <is>
          <t>09:20 IST</t>
        </is>
      </c>
      <c r="N39" s="17" t="inlineStr">
        <is>
          <t>10:22 IST</t>
        </is>
      </c>
      <c r="O39" s="17" t="n">
        <v>58033.05</v>
      </c>
      <c r="P39" s="17" t="n">
        <v>57542.9</v>
      </c>
      <c r="Q39" s="17" t="inlineStr">
        <is>
          <t>58000 CE</t>
        </is>
      </c>
      <c r="R39" s="17" t="inlineStr">
        <is>
          <t>58200 CE</t>
        </is>
      </c>
      <c r="S39" s="17" t="n">
        <v>20</v>
      </c>
      <c r="T39" s="17" t="n">
        <v>30</v>
      </c>
      <c r="U39" s="17" t="n">
        <v>600</v>
      </c>
      <c r="V39" s="17" t="n">
        <v>80.86</v>
      </c>
      <c r="W39" s="17" t="n">
        <v>105.12</v>
      </c>
      <c r="X39" s="17" t="n">
        <v>48516</v>
      </c>
      <c r="Y39" s="17" t="n">
        <v>48570.83</v>
      </c>
      <c r="Z39" s="17" t="n">
        <v>71484</v>
      </c>
      <c r="AA39" s="17" t="n">
        <v>14554.8</v>
      </c>
      <c r="AB39" s="17" t="n">
        <v>14554.8</v>
      </c>
      <c r="AC39" s="17" t="n">
        <v>14556</v>
      </c>
      <c r="AD39" s="17" t="n">
        <v>30</v>
      </c>
      <c r="AE39" s="17" t="n">
        <v>40</v>
      </c>
      <c r="AF39" s="17" t="n">
        <v>6.06</v>
      </c>
      <c r="AG39" s="17" t="n">
        <v>0.1</v>
      </c>
      <c r="AH39" s="17" t="n">
        <v>1.46</v>
      </c>
      <c r="AI39" s="17" t="n">
        <v>7.22</v>
      </c>
      <c r="AJ39" s="17" t="n">
        <v>54.83</v>
      </c>
      <c r="AK39" s="17" t="n">
        <v>14501.17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2026-07-01</t>
        </is>
      </c>
      <c r="B40" s="15" t="inlineStr">
        <is>
          <t>BANKNIFTY</t>
        </is>
      </c>
      <c r="C40" s="15" t="inlineStr">
        <is>
          <t>Both Spreads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BULLISH</t>
        </is>
      </c>
      <c r="G40" s="15" t="inlineStr">
        <is>
          <t>Price↑(58033.05&gt;57542.9) &amp; EMA9↑(57620.33&gt;56533.78)</t>
        </is>
      </c>
      <c r="H40" s="15" t="n">
        <v>57620.33</v>
      </c>
      <c r="I40" s="15" t="n">
        <v>56533.78</v>
      </c>
      <c r="J40" s="15" t="inlineStr">
        <is>
          <t>2026-07-30</t>
        </is>
      </c>
      <c r="K40" s="15" t="inlineStr">
        <is>
          <t>MONTHLY</t>
        </is>
      </c>
      <c r="L40" s="15" t="n">
        <v>29</v>
      </c>
      <c r="M40" s="15" t="inlineStr">
        <is>
          <t>09:20 IST</t>
        </is>
      </c>
      <c r="N40" s="15" t="inlineStr">
        <is>
          <t>10:19 IST</t>
        </is>
      </c>
      <c r="O40" s="15" t="n">
        <v>58033.05</v>
      </c>
      <c r="P40" s="15" t="n">
        <v>57542.9</v>
      </c>
      <c r="Q40" s="15" t="inlineStr">
        <is>
          <t>58200 PE</t>
        </is>
      </c>
      <c r="R40" s="15" t="inlineStr">
        <is>
          <t>58000 PE</t>
        </is>
      </c>
      <c r="S40" s="15" t="n">
        <v>19</v>
      </c>
      <c r="T40" s="15" t="n">
        <v>30</v>
      </c>
      <c r="U40" s="15" t="n">
        <v>570</v>
      </c>
      <c r="V40" s="15" t="n">
        <v>82.59999999999999</v>
      </c>
      <c r="W40" s="15" t="n">
        <v>57.82</v>
      </c>
      <c r="X40" s="15" t="n">
        <v>47082</v>
      </c>
      <c r="Y40" s="15" t="n">
        <v>47136.61</v>
      </c>
      <c r="Z40" s="15" t="n">
        <v>66918</v>
      </c>
      <c r="AA40" s="15" t="n">
        <v>14124.6</v>
      </c>
      <c r="AB40" s="15" t="n">
        <v>14124.6</v>
      </c>
      <c r="AC40" s="15" t="n">
        <v>-14124.6</v>
      </c>
      <c r="AD40" s="15" t="n">
        <v>-30</v>
      </c>
      <c r="AE40" s="15" t="n">
        <v>40</v>
      </c>
      <c r="AF40" s="15" t="n">
        <v>5.89</v>
      </c>
      <c r="AG40" s="15" t="n">
        <v>0.09</v>
      </c>
      <c r="AH40" s="15" t="n">
        <v>1.41</v>
      </c>
      <c r="AI40" s="15" t="n">
        <v>7.22</v>
      </c>
      <c r="AJ40" s="15" t="n">
        <v>54.61</v>
      </c>
      <c r="AK40" s="15" t="n">
        <v>-14179.21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2026-07-02</t>
        </is>
      </c>
      <c r="B41" s="17" t="inlineStr">
        <is>
          <t>BANKNIFTY</t>
        </is>
      </c>
      <c r="C41" s="17" t="inlineStr">
        <is>
          <t>Both Spreads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57517.14</v>
      </c>
      <c r="I41" s="17" t="n">
        <v>56383.85</v>
      </c>
      <c r="J41" s="17" t="inlineStr">
        <is>
          <t>2026-07-30</t>
        </is>
      </c>
      <c r="K41" s="17" t="inlineStr">
        <is>
          <t>MONTHLY</t>
        </is>
      </c>
      <c r="L41" s="17" t="n">
        <v>29</v>
      </c>
      <c r="M41" s="17" t="inlineStr">
        <is>
          <t>09:20 IST</t>
        </is>
      </c>
      <c r="N41" s="17" t="inlineStr">
        <is>
          <t>11:42 IST</t>
        </is>
      </c>
      <c r="O41" s="17" t="n">
        <v>57542.9</v>
      </c>
      <c r="P41" s="17" t="n">
        <v>57727.35</v>
      </c>
      <c r="Q41" s="17" t="inlineStr">
        <is>
          <t>57400 CE</t>
        </is>
      </c>
      <c r="R41" s="17" t="inlineStr">
        <is>
          <t>57600 CE</t>
        </is>
      </c>
      <c r="S41" s="17" t="n">
        <v>19</v>
      </c>
      <c r="T41" s="17" t="n">
        <v>30</v>
      </c>
      <c r="U41" s="17" t="n">
        <v>570</v>
      </c>
      <c r="V41" s="17" t="n">
        <v>83.75</v>
      </c>
      <c r="W41" s="17" t="n">
        <v>108.88</v>
      </c>
      <c r="X41" s="17" t="n">
        <v>47737.5</v>
      </c>
      <c r="Y41" s="17" t="n">
        <v>47792.21</v>
      </c>
      <c r="Z41" s="17" t="n">
        <v>66262.5</v>
      </c>
      <c r="AA41" s="17" t="n">
        <v>14321.25</v>
      </c>
      <c r="AB41" s="17" t="n">
        <v>14321.25</v>
      </c>
      <c r="AC41" s="17" t="n">
        <v>14324.1</v>
      </c>
      <c r="AD41" s="17" t="n">
        <v>30</v>
      </c>
      <c r="AE41" s="17" t="n">
        <v>40</v>
      </c>
      <c r="AF41" s="17" t="n">
        <v>5.97</v>
      </c>
      <c r="AG41" s="17" t="n">
        <v>0.1</v>
      </c>
      <c r="AH41" s="17" t="n">
        <v>1.43</v>
      </c>
      <c r="AI41" s="17" t="n">
        <v>7.22</v>
      </c>
      <c r="AJ41" s="17" t="n">
        <v>54.71</v>
      </c>
      <c r="AK41" s="17" t="n">
        <v>14269.39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2026-07-02</t>
        </is>
      </c>
      <c r="B42" s="17" t="inlineStr">
        <is>
          <t>BANKNIFTY</t>
        </is>
      </c>
      <c r="C42" s="17" t="inlineStr">
        <is>
          <t>Both Spreads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57517.14</v>
      </c>
      <c r="I42" s="17" t="n">
        <v>56383.85</v>
      </c>
      <c r="J42" s="17" t="inlineStr">
        <is>
          <t>2026-07-30</t>
        </is>
      </c>
      <c r="K42" s="17" t="inlineStr">
        <is>
          <t>MONTHLY</t>
        </is>
      </c>
      <c r="L42" s="17" t="n">
        <v>29</v>
      </c>
      <c r="M42" s="17" t="inlineStr">
        <is>
          <t>09:20 IST</t>
        </is>
      </c>
      <c r="N42" s="17" t="inlineStr">
        <is>
          <t>12:11 IST</t>
        </is>
      </c>
      <c r="O42" s="17" t="n">
        <v>57542.9</v>
      </c>
      <c r="P42" s="17" t="n">
        <v>57727.35</v>
      </c>
      <c r="Q42" s="17" t="inlineStr">
        <is>
          <t>57600 PE</t>
        </is>
      </c>
      <c r="R42" s="17" t="inlineStr">
        <is>
          <t>57400 PE</t>
        </is>
      </c>
      <c r="S42" s="17" t="n">
        <v>15</v>
      </c>
      <c r="T42" s="17" t="n">
        <v>30</v>
      </c>
      <c r="U42" s="17" t="n">
        <v>450</v>
      </c>
      <c r="V42" s="17" t="n">
        <v>108.57</v>
      </c>
      <c r="W42" s="17" t="n">
        <v>141.14</v>
      </c>
      <c r="X42" s="17" t="n">
        <v>48856.5</v>
      </c>
      <c r="Y42" s="17" t="n">
        <v>48911.39</v>
      </c>
      <c r="Z42" s="17" t="n">
        <v>41143.5</v>
      </c>
      <c r="AA42" s="17" t="n">
        <v>14656.95</v>
      </c>
      <c r="AB42" s="17" t="n">
        <v>14656.95</v>
      </c>
      <c r="AC42" s="17" t="n">
        <v>14656.5</v>
      </c>
      <c r="AD42" s="17" t="n">
        <v>30</v>
      </c>
      <c r="AE42" s="17" t="n">
        <v>40</v>
      </c>
      <c r="AF42" s="17" t="n">
        <v>6.11</v>
      </c>
      <c r="AG42" s="17" t="n">
        <v>0.1</v>
      </c>
      <c r="AH42" s="17" t="n">
        <v>1.47</v>
      </c>
      <c r="AI42" s="17" t="n">
        <v>7.22</v>
      </c>
      <c r="AJ42" s="17" t="n">
        <v>54.89</v>
      </c>
      <c r="AK42" s="17" t="n">
        <v>14601.61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BANKNIFTY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57703.9</v>
      </c>
      <c r="I43" s="17" t="n">
        <v>56657.09</v>
      </c>
      <c r="J43" s="17" t="inlineStr">
        <is>
          <t>2026-07-30</t>
        </is>
      </c>
      <c r="K43" s="17" t="inlineStr">
        <is>
          <t>MONTHLY</t>
        </is>
      </c>
      <c r="L43" s="17" t="n">
        <v>28</v>
      </c>
      <c r="M43" s="17" t="inlineStr">
        <is>
          <t>09:20 IST</t>
        </is>
      </c>
      <c r="N43" s="17" t="inlineStr">
        <is>
          <t>11:17 IST</t>
        </is>
      </c>
      <c r="O43" s="17" t="n">
        <v>58031.65</v>
      </c>
      <c r="P43" s="17" t="n">
        <v>58033.05</v>
      </c>
      <c r="Q43" s="17" t="inlineStr">
        <is>
          <t>58000 CE</t>
        </is>
      </c>
      <c r="R43" s="17" t="inlineStr">
        <is>
          <t>58200 CE</t>
        </is>
      </c>
      <c r="S43" s="17" t="n">
        <v>17</v>
      </c>
      <c r="T43" s="17" t="n">
        <v>30</v>
      </c>
      <c r="U43" s="17" t="n">
        <v>510</v>
      </c>
      <c r="V43" s="17" t="n">
        <v>96.17</v>
      </c>
      <c r="W43" s="17" t="n">
        <v>125.02</v>
      </c>
      <c r="X43" s="17" t="n">
        <v>49046.7</v>
      </c>
      <c r="Y43" s="17" t="n">
        <v>49101.62</v>
      </c>
      <c r="Z43" s="17" t="n">
        <v>52953.3</v>
      </c>
      <c r="AA43" s="17" t="n">
        <v>14714.01</v>
      </c>
      <c r="AB43" s="17" t="n">
        <v>14714.01</v>
      </c>
      <c r="AC43" s="17" t="n">
        <v>14713.5</v>
      </c>
      <c r="AD43" s="17" t="n">
        <v>30</v>
      </c>
      <c r="AE43" s="17" t="n">
        <v>40</v>
      </c>
      <c r="AF43" s="17" t="n">
        <v>6.13</v>
      </c>
      <c r="AG43" s="17" t="n">
        <v>0.1</v>
      </c>
      <c r="AH43" s="17" t="n">
        <v>1.47</v>
      </c>
      <c r="AI43" s="17" t="n">
        <v>7.22</v>
      </c>
      <c r="AJ43" s="17" t="n">
        <v>54.92</v>
      </c>
      <c r="AK43" s="17" t="n">
        <v>14658.58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BANKNIFTY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57703.9</v>
      </c>
      <c r="I44" s="16" t="n">
        <v>56657.09</v>
      </c>
      <c r="J44" s="16" t="inlineStr">
        <is>
          <t>2026-07-30</t>
        </is>
      </c>
      <c r="K44" s="16" t="inlineStr">
        <is>
          <t>MONTHLY</t>
        </is>
      </c>
      <c r="L44" s="16" t="n">
        <v>28</v>
      </c>
      <c r="M44" s="16" t="inlineStr">
        <is>
          <t>09:20 IST</t>
        </is>
      </c>
      <c r="N44" s="16" t="inlineStr">
        <is>
          <t>14:30 IST</t>
        </is>
      </c>
      <c r="O44" s="16" t="n">
        <v>58031.65</v>
      </c>
      <c r="P44" s="16" t="n">
        <v>58033.05</v>
      </c>
      <c r="Q44" s="16" t="inlineStr">
        <is>
          <t>58200 PE</t>
        </is>
      </c>
      <c r="R44" s="16" t="inlineStr">
        <is>
          <t>58000 PE</t>
        </is>
      </c>
      <c r="S44" s="16" t="n">
        <v>15</v>
      </c>
      <c r="T44" s="16" t="n">
        <v>30</v>
      </c>
      <c r="U44" s="16" t="n">
        <v>450</v>
      </c>
      <c r="V44" s="16" t="n">
        <v>109.32</v>
      </c>
      <c r="W44" s="16" t="n">
        <v>114.17</v>
      </c>
      <c r="X44" s="16" t="n">
        <v>49194</v>
      </c>
      <c r="Y44" s="16" t="n">
        <v>49248.94</v>
      </c>
      <c r="Z44" s="16" t="n">
        <v>40806</v>
      </c>
      <c r="AA44" s="16" t="n">
        <v>14758.2</v>
      </c>
      <c r="AB44" s="16" t="n">
        <v>14758.2</v>
      </c>
      <c r="AC44" s="16" t="n">
        <v>2182.5</v>
      </c>
      <c r="AD44" s="16" t="n">
        <v>4.4</v>
      </c>
      <c r="AE44" s="16" t="n">
        <v>40</v>
      </c>
      <c r="AF44" s="16" t="n">
        <v>6.15</v>
      </c>
      <c r="AG44" s="16" t="n">
        <v>0.1</v>
      </c>
      <c r="AH44" s="16" t="n">
        <v>1.48</v>
      </c>
      <c r="AI44" s="16" t="n">
        <v>7.22</v>
      </c>
      <c r="AJ44" s="16" t="n">
        <v>54.94</v>
      </c>
      <c r="AK44" s="16" t="n">
        <v>2127.56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BANKNIFTY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Price↑(58033.05&gt;57542.9) &amp; EMA9↑(57621.96&gt;56519.64)</t>
        </is>
      </c>
      <c r="H45" s="17" t="n">
        <v>57621.96</v>
      </c>
      <c r="I45" s="17" t="n">
        <v>56519.64</v>
      </c>
      <c r="J45" s="17" t="inlineStr">
        <is>
          <t>2026-07-30</t>
        </is>
      </c>
      <c r="K45" s="17" t="inlineStr">
        <is>
          <t>MONTHLY</t>
        </is>
      </c>
      <c r="L45" s="17" t="n">
        <v>28</v>
      </c>
      <c r="M45" s="17" t="inlineStr">
        <is>
          <t>09:20 IST</t>
        </is>
      </c>
      <c r="N45" s="17" t="inlineStr">
        <is>
          <t>11:24 IST</t>
        </is>
      </c>
      <c r="O45" s="17" t="n">
        <v>58033.05</v>
      </c>
      <c r="P45" s="17" t="n">
        <v>57542.9</v>
      </c>
      <c r="Q45" s="17" t="inlineStr">
        <is>
          <t>58000 CE</t>
        </is>
      </c>
      <c r="R45" s="17" t="inlineStr">
        <is>
          <t>58200 CE</t>
        </is>
      </c>
      <c r="S45" s="17" t="n">
        <v>17</v>
      </c>
      <c r="T45" s="17" t="n">
        <v>30</v>
      </c>
      <c r="U45" s="17" t="n">
        <v>510</v>
      </c>
      <c r="V45" s="17" t="n">
        <v>91.59</v>
      </c>
      <c r="W45" s="17" t="n">
        <v>119.07</v>
      </c>
      <c r="X45" s="17" t="n">
        <v>46710.9</v>
      </c>
      <c r="Y45" s="17" t="n">
        <v>46765.45</v>
      </c>
      <c r="Z45" s="17" t="n">
        <v>55289.1</v>
      </c>
      <c r="AA45" s="17" t="n">
        <v>14013.27</v>
      </c>
      <c r="AB45" s="17" t="n">
        <v>14013.27</v>
      </c>
      <c r="AC45" s="17" t="n">
        <v>14014.8</v>
      </c>
      <c r="AD45" s="17" t="n">
        <v>30</v>
      </c>
      <c r="AE45" s="17" t="n">
        <v>40</v>
      </c>
      <c r="AF45" s="17" t="n">
        <v>5.84</v>
      </c>
      <c r="AG45" s="17" t="n">
        <v>0.09</v>
      </c>
      <c r="AH45" s="17" t="n">
        <v>1.4</v>
      </c>
      <c r="AI45" s="17" t="n">
        <v>7.22</v>
      </c>
      <c r="AJ45" s="17" t="n">
        <v>54.55</v>
      </c>
      <c r="AK45" s="17" t="n">
        <v>13960.25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2026-07-03</t>
        </is>
      </c>
      <c r="B46" s="17" t="inlineStr">
        <is>
          <t>BANKNIFTY</t>
        </is>
      </c>
      <c r="C46" s="17" t="inlineStr">
        <is>
          <t>Both Spreads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Price↑(58033.05&gt;57542.9) &amp; EMA9↑(57621.96&gt;56519.64)</t>
        </is>
      </c>
      <c r="H46" s="17" t="n">
        <v>57621.96</v>
      </c>
      <c r="I46" s="17" t="n">
        <v>56519.64</v>
      </c>
      <c r="J46" s="17" t="inlineStr">
        <is>
          <t>2026-07-30</t>
        </is>
      </c>
      <c r="K46" s="17" t="inlineStr">
        <is>
          <t>MONTHLY</t>
        </is>
      </c>
      <c r="L46" s="17" t="n">
        <v>28</v>
      </c>
      <c r="M46" s="17" t="inlineStr">
        <is>
          <t>09:20 IST</t>
        </is>
      </c>
      <c r="N46" s="17" t="inlineStr">
        <is>
          <t>12:16 IST</t>
        </is>
      </c>
      <c r="O46" s="17" t="n">
        <v>58033.05</v>
      </c>
      <c r="P46" s="17" t="n">
        <v>57542.9</v>
      </c>
      <c r="Q46" s="17" t="inlineStr">
        <is>
          <t>58200 PE</t>
        </is>
      </c>
      <c r="R46" s="17" t="inlineStr">
        <is>
          <t>58000 PE</t>
        </is>
      </c>
      <c r="S46" s="17" t="n">
        <v>15</v>
      </c>
      <c r="T46" s="17" t="n">
        <v>30</v>
      </c>
      <c r="U46" s="17" t="n">
        <v>450</v>
      </c>
      <c r="V46" s="17" t="n">
        <v>105.7</v>
      </c>
      <c r="W46" s="17" t="n">
        <v>137.41</v>
      </c>
      <c r="X46" s="17" t="n">
        <v>47565</v>
      </c>
      <c r="Y46" s="17" t="n">
        <v>47619.68</v>
      </c>
      <c r="Z46" s="17" t="n">
        <v>42435</v>
      </c>
      <c r="AA46" s="17" t="n">
        <v>14269.5</v>
      </c>
      <c r="AB46" s="17" t="n">
        <v>14269.5</v>
      </c>
      <c r="AC46" s="17" t="n">
        <v>14269.5</v>
      </c>
      <c r="AD46" s="17" t="n">
        <v>30</v>
      </c>
      <c r="AE46" s="17" t="n">
        <v>40</v>
      </c>
      <c r="AF46" s="17" t="n">
        <v>5.95</v>
      </c>
      <c r="AG46" s="17" t="n">
        <v>0.1</v>
      </c>
      <c r="AH46" s="17" t="n">
        <v>1.43</v>
      </c>
      <c r="AI46" s="17" t="n">
        <v>7.22</v>
      </c>
      <c r="AJ46" s="17" t="n">
        <v>54.68</v>
      </c>
      <c r="AK46" s="17" t="n">
        <v>14214.82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2026-07-03</t>
        </is>
      </c>
      <c r="B47" s="16" t="inlineStr">
        <is>
          <t>BANKNIFTY</t>
        </is>
      </c>
      <c r="C47" s="16" t="inlineStr">
        <is>
          <t>Both Spreads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57751.18</v>
      </c>
      <c r="I47" s="16" t="n">
        <v>56772.37</v>
      </c>
      <c r="J47" s="16" t="inlineStr">
        <is>
          <t>2026-07-30</t>
        </is>
      </c>
      <c r="K47" s="16" t="inlineStr">
        <is>
          <t>MONTHLY</t>
        </is>
      </c>
      <c r="L47" s="16" t="n">
        <v>27</v>
      </c>
      <c r="M47" s="16" t="inlineStr">
        <is>
          <t>09:20 IST</t>
        </is>
      </c>
      <c r="N47" s="16" t="inlineStr">
        <is>
          <t>13:44 IST</t>
        </is>
      </c>
      <c r="O47" s="16" t="n">
        <v>57938.5</v>
      </c>
      <c r="P47" s="16" t="n">
        <v>58031.65</v>
      </c>
      <c r="Q47" s="16" t="inlineStr">
        <is>
          <t>57800 CE</t>
        </is>
      </c>
      <c r="R47" s="16" t="inlineStr">
        <is>
          <t>58000 CE</t>
        </is>
      </c>
      <c r="S47" s="16" t="n">
        <v>15</v>
      </c>
      <c r="T47" s="16" t="n">
        <v>30</v>
      </c>
      <c r="U47" s="16" t="n">
        <v>450</v>
      </c>
      <c r="V47" s="16" t="n">
        <v>106.78</v>
      </c>
      <c r="W47" s="16" t="n">
        <v>105.54</v>
      </c>
      <c r="X47" s="16" t="n">
        <v>48051</v>
      </c>
      <c r="Y47" s="16" t="n">
        <v>48105.76</v>
      </c>
      <c r="Z47" s="16" t="n">
        <v>41949</v>
      </c>
      <c r="AA47" s="16" t="n">
        <v>14415.3</v>
      </c>
      <c r="AB47" s="16" t="n">
        <v>14415.3</v>
      </c>
      <c r="AC47" s="16" t="n">
        <v>-558</v>
      </c>
      <c r="AD47" s="16" t="n">
        <v>-1.2</v>
      </c>
      <c r="AE47" s="16" t="n">
        <v>40</v>
      </c>
      <c r="AF47" s="16" t="n">
        <v>6.01</v>
      </c>
      <c r="AG47" s="16" t="n">
        <v>0.1</v>
      </c>
      <c r="AH47" s="16" t="n">
        <v>1.44</v>
      </c>
      <c r="AI47" s="16" t="n">
        <v>7.22</v>
      </c>
      <c r="AJ47" s="16" t="n">
        <v>54.76</v>
      </c>
      <c r="AK47" s="16" t="n">
        <v>-612.76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BANKNIFTY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57751.18</v>
      </c>
      <c r="I48" s="15" t="n">
        <v>56772.37</v>
      </c>
      <c r="J48" s="15" t="inlineStr">
        <is>
          <t>2026-07-30</t>
        </is>
      </c>
      <c r="K48" s="15" t="inlineStr">
        <is>
          <t>MONTHLY</t>
        </is>
      </c>
      <c r="L48" s="15" t="n">
        <v>27</v>
      </c>
      <c r="M48" s="15" t="inlineStr">
        <is>
          <t>09:20 IST</t>
        </is>
      </c>
      <c r="N48" s="15" t="inlineStr">
        <is>
          <t>09:30 IST</t>
        </is>
      </c>
      <c r="O48" s="15" t="n">
        <v>57938.5</v>
      </c>
      <c r="P48" s="15" t="n">
        <v>58031.65</v>
      </c>
      <c r="Q48" s="15" t="inlineStr">
        <is>
          <t>58000 PE</t>
        </is>
      </c>
      <c r="R48" s="15" t="inlineStr">
        <is>
          <t>57800 PE</t>
        </is>
      </c>
      <c r="S48" s="15" t="n">
        <v>15</v>
      </c>
      <c r="T48" s="15" t="n">
        <v>30</v>
      </c>
      <c r="U48" s="15" t="n">
        <v>450</v>
      </c>
      <c r="V48" s="15" t="n">
        <v>106.22</v>
      </c>
      <c r="W48" s="15" t="n">
        <v>74.34999999999999</v>
      </c>
      <c r="X48" s="15" t="n">
        <v>47799</v>
      </c>
      <c r="Y48" s="15" t="n">
        <v>47853.72</v>
      </c>
      <c r="Z48" s="15" t="n">
        <v>42201</v>
      </c>
      <c r="AA48" s="15" t="n">
        <v>14339.7</v>
      </c>
      <c r="AB48" s="15" t="n">
        <v>14339.7</v>
      </c>
      <c r="AC48" s="15" t="n">
        <v>-14341.5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-14396.22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N1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BANKNIFTY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11:40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84.48999999999999</v>
      </c>
      <c r="V3" s="17" t="n">
        <v>109.84</v>
      </c>
      <c r="W3" s="17" t="n">
        <v>48159.3</v>
      </c>
      <c r="X3" s="17" t="n">
        <v>48214.08</v>
      </c>
      <c r="Y3" s="17" t="n">
        <v>65840.7</v>
      </c>
      <c r="Z3" s="17" t="n">
        <v>14447.79</v>
      </c>
      <c r="AA3" s="17" t="n">
        <v>14447.79</v>
      </c>
      <c r="AB3" s="17" t="n">
        <v>14449.5</v>
      </c>
      <c r="AC3" s="17" t="n">
        <v>30</v>
      </c>
      <c r="AD3" s="17" t="n">
        <v>40</v>
      </c>
      <c r="AE3" s="17" t="n">
        <v>6.02</v>
      </c>
      <c r="AF3" s="17" t="n">
        <v>0.1</v>
      </c>
      <c r="AG3" s="17" t="n">
        <v>1.44</v>
      </c>
      <c r="AH3" s="17" t="n">
        <v>7.22</v>
      </c>
      <c r="AI3" s="17" t="n">
        <v>54.78</v>
      </c>
      <c r="AJ3" s="17" t="n">
        <v>14394.72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11:27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22</v>
      </c>
      <c r="S4" s="17" t="n">
        <v>30</v>
      </c>
      <c r="T4" s="17" t="n">
        <v>660</v>
      </c>
      <c r="U4" s="17" t="n">
        <v>73.81999999999999</v>
      </c>
      <c r="V4" s="17" t="n">
        <v>95.97</v>
      </c>
      <c r="W4" s="17" t="n">
        <v>48721.2</v>
      </c>
      <c r="X4" s="17" t="n">
        <v>48776.07</v>
      </c>
      <c r="Y4" s="17" t="n">
        <v>83278.8</v>
      </c>
      <c r="Z4" s="17" t="n">
        <v>14616.36</v>
      </c>
      <c r="AA4" s="17" t="n">
        <v>14616.36</v>
      </c>
      <c r="AB4" s="17" t="n">
        <v>14619</v>
      </c>
      <c r="AC4" s="17" t="n">
        <v>30</v>
      </c>
      <c r="AD4" s="17" t="n">
        <v>40</v>
      </c>
      <c r="AE4" s="17" t="n">
        <v>6.09</v>
      </c>
      <c r="AF4" s="17" t="n">
        <v>0.1</v>
      </c>
      <c r="AG4" s="17" t="n">
        <v>1.46</v>
      </c>
      <c r="AH4" s="17" t="n">
        <v>7.22</v>
      </c>
      <c r="AI4" s="17" t="n">
        <v>54.87</v>
      </c>
      <c r="AJ4" s="17" t="n">
        <v>14564.13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2026-06-20</t>
        </is>
      </c>
      <c r="B5" s="15" t="inlineStr">
        <is>
          <t>BANKNIFTY</t>
        </is>
      </c>
      <c r="C5" s="15" t="inlineStr">
        <is>
          <t>Smart Trend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EMA9↑(56564.74&gt;55478.64)</t>
        </is>
      </c>
      <c r="G5" s="15" t="n">
        <v>56564.74</v>
      </c>
      <c r="H5" s="15" t="n">
        <v>55478.64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10:48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21</v>
      </c>
      <c r="S5" s="15" t="n">
        <v>30</v>
      </c>
      <c r="T5" s="15" t="n">
        <v>630</v>
      </c>
      <c r="U5" s="15" t="n">
        <v>77.98</v>
      </c>
      <c r="V5" s="15" t="n">
        <v>54.59</v>
      </c>
      <c r="W5" s="15" t="n">
        <v>49127.4</v>
      </c>
      <c r="X5" s="15" t="n">
        <v>49182.33</v>
      </c>
      <c r="Y5" s="15" t="n">
        <v>76872.60000000001</v>
      </c>
      <c r="Z5" s="15" t="n">
        <v>14738.22</v>
      </c>
      <c r="AA5" s="15" t="n">
        <v>14738.22</v>
      </c>
      <c r="AB5" s="15" t="n">
        <v>-14735.7</v>
      </c>
      <c r="AC5" s="15" t="n">
        <v>-30</v>
      </c>
      <c r="AD5" s="15" t="n">
        <v>40</v>
      </c>
      <c r="AE5" s="15" t="n">
        <v>6.14</v>
      </c>
      <c r="AF5" s="15" t="n">
        <v>0.1</v>
      </c>
      <c r="AG5" s="15" t="n">
        <v>1.47</v>
      </c>
      <c r="AH5" s="15" t="n">
        <v>7.22</v>
      </c>
      <c r="AI5" s="15" t="n">
        <v>54.93</v>
      </c>
      <c r="AJ5" s="15" t="n">
        <v>-14790.63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BANKNIFTY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BULLISH</t>
        </is>
      </c>
      <c r="F6" s="17" t="inlineStr">
        <is>
          <t>Price↑(57935.6&gt;57685.75) &amp; EMA9↑(57015.0&gt;55848.7)</t>
        </is>
      </c>
      <c r="G6" s="17" t="n">
        <v>57015</v>
      </c>
      <c r="H6" s="17" t="n">
        <v>55848.7</v>
      </c>
      <c r="I6" s="17" t="inlineStr">
        <is>
          <t>2026-06-25</t>
        </is>
      </c>
      <c r="J6" s="17" t="inlineStr">
        <is>
          <t>MONTHLY</t>
        </is>
      </c>
      <c r="K6" s="17" t="n">
        <v>2</v>
      </c>
      <c r="L6" s="17" t="inlineStr">
        <is>
          <t>09:20 IST</t>
        </is>
      </c>
      <c r="M6" s="17" t="inlineStr">
        <is>
          <t>10:47 IST</t>
        </is>
      </c>
      <c r="N6" s="17" t="n">
        <v>57935.6</v>
      </c>
      <c r="O6" s="17" t="n">
        <v>57685.75</v>
      </c>
      <c r="P6" s="17" t="inlineStr">
        <is>
          <t>57800 CE</t>
        </is>
      </c>
      <c r="Q6" s="17" t="inlineStr">
        <is>
          <t>58000 CE</t>
        </is>
      </c>
      <c r="R6" s="17" t="n">
        <v>35</v>
      </c>
      <c r="S6" s="17" t="n">
        <v>30</v>
      </c>
      <c r="T6" s="17" t="n">
        <v>1050</v>
      </c>
      <c r="U6" s="17" t="n">
        <v>45.59</v>
      </c>
      <c r="V6" s="17" t="n">
        <v>59.27</v>
      </c>
      <c r="W6" s="17" t="n">
        <v>47869.5</v>
      </c>
      <c r="X6" s="17" t="n">
        <v>47924.23</v>
      </c>
      <c r="Y6" s="17" t="n">
        <v>162130.5</v>
      </c>
      <c r="Z6" s="17" t="n">
        <v>14360.85</v>
      </c>
      <c r="AA6" s="17" t="n">
        <v>14360.85</v>
      </c>
      <c r="AB6" s="17" t="n">
        <v>14364</v>
      </c>
      <c r="AC6" s="17" t="n">
        <v>30</v>
      </c>
      <c r="AD6" s="17" t="n">
        <v>40</v>
      </c>
      <c r="AE6" s="17" t="n">
        <v>5.98</v>
      </c>
      <c r="AF6" s="17" t="n">
        <v>0.1</v>
      </c>
      <c r="AG6" s="17" t="n">
        <v>1.44</v>
      </c>
      <c r="AH6" s="17" t="n">
        <v>7.22</v>
      </c>
      <c r="AI6" s="17" t="n">
        <v>54.73</v>
      </c>
      <c r="AJ6" s="17" t="n">
        <v>14309.27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5" t="inlineStr">
        <is>
          <t>2026-06-24</t>
        </is>
      </c>
      <c r="B7" s="15" t="inlineStr">
        <is>
          <t>BANKNIFTY</t>
        </is>
      </c>
      <c r="C7" s="15" t="inlineStr">
        <is>
          <t>Smart Trend</t>
        </is>
      </c>
      <c r="D7" s="15" t="inlineStr">
        <is>
          <t>Bull Call Spread</t>
        </is>
      </c>
      <c r="E7" s="15" t="inlineStr">
        <is>
          <t>SIMULATED</t>
        </is>
      </c>
      <c r="F7" s="15" t="inlineStr">
        <is>
          <t>BULLISH</t>
        </is>
      </c>
      <c r="G7" s="15" t="inlineStr">
        <is>
          <t>Price↑(58150.35&gt;57183.75) &amp; EMA9↑(57268.28&gt;56132.92)</t>
        </is>
      </c>
      <c r="H7" s="15" t="n">
        <v>57268.28</v>
      </c>
      <c r="I7" s="15" t="n">
        <v>56132.92</v>
      </c>
      <c r="J7" s="15" t="inlineStr">
        <is>
          <t>2026-06-25</t>
        </is>
      </c>
      <c r="K7" s="15" t="inlineStr">
        <is>
          <t>MONTHLY</t>
        </is>
      </c>
      <c r="L7" s="15" t="n">
        <v>1</v>
      </c>
      <c r="M7" s="15" t="inlineStr">
        <is>
          <t>09:20 IST</t>
        </is>
      </c>
      <c r="N7" s="15" t="inlineStr">
        <is>
          <t>11:08 IST</t>
        </is>
      </c>
      <c r="O7" s="15" t="n">
        <v>58150.35</v>
      </c>
      <c r="P7" s="15" t="n">
        <v>57183.75</v>
      </c>
      <c r="Q7" s="15" t="inlineStr">
        <is>
          <t>58000 CE</t>
        </is>
      </c>
      <c r="R7" s="15" t="inlineStr">
        <is>
          <t>58200 CE</t>
        </is>
      </c>
      <c r="S7" s="15" t="n">
        <v>44</v>
      </c>
      <c r="T7" s="15" t="n">
        <v>30</v>
      </c>
      <c r="U7" s="15" t="n">
        <v>1320</v>
      </c>
      <c r="V7" s="15" t="n">
        <v>35.79</v>
      </c>
      <c r="W7" s="15" t="n">
        <v>25.05</v>
      </c>
      <c r="X7" s="15" t="n">
        <v>47242.8</v>
      </c>
      <c r="Y7" s="15" t="n">
        <v>47297.43</v>
      </c>
      <c r="Z7" s="15" t="n">
        <v>216757.2</v>
      </c>
      <c r="AA7" s="15" t="n">
        <v>14172.84</v>
      </c>
      <c r="AB7" s="15" t="n">
        <v>14172.84</v>
      </c>
      <c r="AC7" s="15" t="n">
        <v>-14176.8</v>
      </c>
      <c r="AD7" s="15" t="n">
        <v>-30</v>
      </c>
      <c r="AE7" s="15" t="n">
        <v>40</v>
      </c>
      <c r="AF7" s="15" t="n">
        <v>5.91</v>
      </c>
      <c r="AG7" s="15" t="n">
        <v>0.09</v>
      </c>
      <c r="AH7" s="15" t="n">
        <v>1.42</v>
      </c>
      <c r="AI7" s="15" t="n">
        <v>7.22</v>
      </c>
      <c r="AJ7" s="15" t="n">
        <v>54.63</v>
      </c>
      <c r="AK7" s="15" t="n">
        <v>-14231.43</v>
      </c>
      <c r="AL7" s="15" t="inlineStr">
        <is>
          <t>STOP LOSS</t>
        </is>
      </c>
      <c r="AM7" s="15" t="n">
        <v>50000</v>
      </c>
      <c r="AN7" s="15" t="inlineStr">
        <is>
          <t>PAPER TRADING</t>
        </is>
      </c>
    </row>
    <row r="8">
      <c r="A8" s="17" t="inlineStr">
        <is>
          <t>2026-06-25</t>
        </is>
      </c>
      <c r="B8" s="17" t="inlineStr">
        <is>
          <t>BANKNIFTY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Price↑(58177.05&gt;58150.35) &amp; EMA9↑(57449.06&gt;56267.48)</t>
        </is>
      </c>
      <c r="H8" s="17" t="n">
        <v>57449.06</v>
      </c>
      <c r="I8" s="17" t="n">
        <v>56267.48</v>
      </c>
      <c r="J8" s="17" t="inlineStr">
        <is>
          <t>2026-06-25</t>
        </is>
      </c>
      <c r="K8" s="17" t="inlineStr">
        <is>
          <t>MONTHLY</t>
        </is>
      </c>
      <c r="L8" s="17" t="n">
        <v>0</v>
      </c>
      <c r="M8" s="17" t="inlineStr">
        <is>
          <t>09:20 IST</t>
        </is>
      </c>
      <c r="N8" s="17" t="inlineStr">
        <is>
          <t>10:18 IST</t>
        </is>
      </c>
      <c r="O8" s="17" t="n">
        <v>58177.05</v>
      </c>
      <c r="P8" s="17" t="n">
        <v>58150.35</v>
      </c>
      <c r="Q8" s="17" t="inlineStr">
        <is>
          <t>58000 CE</t>
        </is>
      </c>
      <c r="R8" s="17" t="inlineStr">
        <is>
          <t>58200 CE</t>
        </is>
      </c>
      <c r="S8" s="17" t="n">
        <v>39</v>
      </c>
      <c r="T8" s="17" t="n">
        <v>30</v>
      </c>
      <c r="U8" s="17" t="n">
        <v>1170</v>
      </c>
      <c r="V8" s="17" t="n">
        <v>40.39</v>
      </c>
      <c r="W8" s="17" t="n">
        <v>52.51</v>
      </c>
      <c r="X8" s="17" t="n">
        <v>47256.3</v>
      </c>
      <c r="Y8" s="17" t="n">
        <v>47310.94</v>
      </c>
      <c r="Z8" s="17" t="n">
        <v>186743.7</v>
      </c>
      <c r="AA8" s="17" t="n">
        <v>14176.89</v>
      </c>
      <c r="AB8" s="17" t="n">
        <v>14176.89</v>
      </c>
      <c r="AC8" s="17" t="n">
        <v>14180.4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14125.76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7" t="inlineStr">
        <is>
          <t>2026-06-26</t>
        </is>
      </c>
      <c r="B9" s="17" t="inlineStr">
        <is>
          <t>BANKNIFTY</t>
        </is>
      </c>
      <c r="C9" s="17" t="inlineStr">
        <is>
          <t>Smart Trend</t>
        </is>
      </c>
      <c r="D9" s="17" t="inlineStr">
        <is>
          <t>Bull Call Spread</t>
        </is>
      </c>
      <c r="E9" s="17" t="inlineStr">
        <is>
          <t>SIMULATED</t>
        </is>
      </c>
      <c r="F9" s="17" t="inlineStr">
        <is>
          <t>BULLISH</t>
        </is>
      </c>
      <c r="G9" s="17" t="inlineStr">
        <is>
          <t>Price↑(58150.35&gt;57183.75) &amp; EMA9↑(57267.06&gt;56076.53)</t>
        </is>
      </c>
      <c r="H9" s="17" t="n">
        <v>57267.06</v>
      </c>
      <c r="I9" s="17" t="n">
        <v>56076.53</v>
      </c>
      <c r="J9" s="17" t="inlineStr">
        <is>
          <t>2026-06-25</t>
        </is>
      </c>
      <c r="K9" s="17" t="inlineStr">
        <is>
          <t>MONTHLY</t>
        </is>
      </c>
      <c r="L9" s="17" t="n">
        <v>0</v>
      </c>
      <c r="M9" s="17" t="inlineStr">
        <is>
          <t>09:20 IST</t>
        </is>
      </c>
      <c r="N9" s="17" t="inlineStr">
        <is>
          <t>09:40 IST</t>
        </is>
      </c>
      <c r="O9" s="17" t="n">
        <v>58150.35</v>
      </c>
      <c r="P9" s="17" t="n">
        <v>57183.75</v>
      </c>
      <c r="Q9" s="17" t="inlineStr">
        <is>
          <t>58000 CE</t>
        </is>
      </c>
      <c r="R9" s="17" t="inlineStr">
        <is>
          <t>58200 CE</t>
        </is>
      </c>
      <c r="S9" s="17" t="n">
        <v>37</v>
      </c>
      <c r="T9" s="17" t="n">
        <v>30</v>
      </c>
      <c r="U9" s="17" t="n">
        <v>1110</v>
      </c>
      <c r="V9" s="17" t="n">
        <v>43.2</v>
      </c>
      <c r="W9" s="17" t="n">
        <v>56.16</v>
      </c>
      <c r="X9" s="17" t="n">
        <v>47952</v>
      </c>
      <c r="Y9" s="17" t="n">
        <v>48006.75</v>
      </c>
      <c r="Z9" s="17" t="n">
        <v>174048</v>
      </c>
      <c r="AA9" s="17" t="n">
        <v>14385.6</v>
      </c>
      <c r="AB9" s="17" t="n">
        <v>14385.6</v>
      </c>
      <c r="AC9" s="17" t="n">
        <v>14385.6</v>
      </c>
      <c r="AD9" s="17" t="n">
        <v>30</v>
      </c>
      <c r="AE9" s="17" t="n">
        <v>40</v>
      </c>
      <c r="AF9" s="17" t="n">
        <v>5.99</v>
      </c>
      <c r="AG9" s="17" t="n">
        <v>0.1</v>
      </c>
      <c r="AH9" s="17" t="n">
        <v>1.44</v>
      </c>
      <c r="AI9" s="17" t="n">
        <v>7.22</v>
      </c>
      <c r="AJ9" s="17" t="n">
        <v>54.75</v>
      </c>
      <c r="AK9" s="17" t="n">
        <v>14330.85</v>
      </c>
      <c r="AL9" s="17" t="inlineStr">
        <is>
          <t>PROFIT</t>
        </is>
      </c>
      <c r="AM9" s="17" t="n">
        <v>50000</v>
      </c>
      <c r="AN9" s="17" t="inlineStr">
        <is>
          <t>PAPER TRADING</t>
        </is>
      </c>
    </row>
    <row r="10">
      <c r="A10" s="17" t="inlineStr">
        <is>
          <t>2026-06-26</t>
        </is>
      </c>
      <c r="B10" s="17" t="inlineStr">
        <is>
          <t>BANKNIFTY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Price↑(58177.05&gt;58150.35) &amp; EMA9↑(57449.52&gt;56225.95)</t>
        </is>
      </c>
      <c r="H10" s="17" t="n">
        <v>57449.52</v>
      </c>
      <c r="I10" s="17" t="n">
        <v>56225.95</v>
      </c>
      <c r="J10" s="17" t="inlineStr">
        <is>
          <t>2026-07-30</t>
        </is>
      </c>
      <c r="K10" s="17" t="inlineStr">
        <is>
          <t>MONTHLY</t>
        </is>
      </c>
      <c r="L10" s="17" t="n">
        <v>34</v>
      </c>
      <c r="M10" s="17" t="inlineStr">
        <is>
          <t>09:20 IST</t>
        </is>
      </c>
      <c r="N10" s="17" t="inlineStr">
        <is>
          <t>11:06 IST</t>
        </is>
      </c>
      <c r="O10" s="17" t="n">
        <v>58177.05</v>
      </c>
      <c r="P10" s="17" t="n">
        <v>58150.35</v>
      </c>
      <c r="Q10" s="17" t="inlineStr">
        <is>
          <t>58000 CE</t>
        </is>
      </c>
      <c r="R10" s="17" t="inlineStr">
        <is>
          <t>58200 CE</t>
        </is>
      </c>
      <c r="S10" s="17" t="n">
        <v>18</v>
      </c>
      <c r="T10" s="17" t="n">
        <v>30</v>
      </c>
      <c r="U10" s="17" t="n">
        <v>540</v>
      </c>
      <c r="V10" s="17" t="n">
        <v>89</v>
      </c>
      <c r="W10" s="17" t="n">
        <v>115.7</v>
      </c>
      <c r="X10" s="17" t="n">
        <v>48060</v>
      </c>
      <c r="Y10" s="17" t="n">
        <v>48114.76</v>
      </c>
      <c r="Z10" s="17" t="n">
        <v>59940</v>
      </c>
      <c r="AA10" s="17" t="n">
        <v>14418</v>
      </c>
      <c r="AB10" s="17" t="n">
        <v>14418</v>
      </c>
      <c r="AC10" s="17" t="n">
        <v>14418</v>
      </c>
      <c r="AD10" s="17" t="n">
        <v>30</v>
      </c>
      <c r="AE10" s="17" t="n">
        <v>40</v>
      </c>
      <c r="AF10" s="17" t="n">
        <v>6.01</v>
      </c>
      <c r="AG10" s="17" t="n">
        <v>0.1</v>
      </c>
      <c r="AH10" s="17" t="n">
        <v>1.44</v>
      </c>
      <c r="AI10" s="17" t="n">
        <v>7.22</v>
      </c>
      <c r="AJ10" s="17" t="n">
        <v>54.76</v>
      </c>
      <c r="AK10" s="17" t="n">
        <v>14363.24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6" t="inlineStr">
        <is>
          <t>2026-06-27</t>
        </is>
      </c>
      <c r="B11" s="16" t="inlineStr">
        <is>
          <t>BANKNIFTY</t>
        </is>
      </c>
      <c r="C11" s="16" t="inlineStr">
        <is>
          <t>Smart Trend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Price↑(58177.05&gt;58150.35) &amp; EMA9↑(57449.52&gt;56225.95)</t>
        </is>
      </c>
      <c r="H11" s="16" t="n">
        <v>57449.52</v>
      </c>
      <c r="I11" s="16" t="n">
        <v>56225.95</v>
      </c>
      <c r="J11" s="16" t="inlineStr">
        <is>
          <t>2026-07-30</t>
        </is>
      </c>
      <c r="K11" s="16" t="inlineStr">
        <is>
          <t>MONTHLY</t>
        </is>
      </c>
      <c r="L11" s="16" t="n">
        <v>34</v>
      </c>
      <c r="M11" s="16" t="inlineStr">
        <is>
          <t>09:20 IST</t>
        </is>
      </c>
      <c r="N11" s="16" t="inlineStr">
        <is>
          <t>14:05 IST</t>
        </is>
      </c>
      <c r="O11" s="16" t="n">
        <v>58177.05</v>
      </c>
      <c r="P11" s="16" t="n">
        <v>58150.35</v>
      </c>
      <c r="Q11" s="16" t="inlineStr">
        <is>
          <t>58000 CE</t>
        </is>
      </c>
      <c r="R11" s="16" t="inlineStr">
        <is>
          <t>58200 CE</t>
        </is>
      </c>
      <c r="S11" s="16" t="n">
        <v>20</v>
      </c>
      <c r="T11" s="16" t="n">
        <v>30</v>
      </c>
      <c r="U11" s="16" t="n">
        <v>600</v>
      </c>
      <c r="V11" s="16" t="n">
        <v>81.48</v>
      </c>
      <c r="W11" s="16" t="n">
        <v>80.39</v>
      </c>
      <c r="X11" s="16" t="n">
        <v>48888</v>
      </c>
      <c r="Y11" s="16" t="n">
        <v>48942.89</v>
      </c>
      <c r="Z11" s="16" t="n">
        <v>71112</v>
      </c>
      <c r="AA11" s="16" t="n">
        <v>14666.4</v>
      </c>
      <c r="AB11" s="16" t="n">
        <v>14666.4</v>
      </c>
      <c r="AC11" s="16" t="n">
        <v>-654</v>
      </c>
      <c r="AD11" s="16" t="n">
        <v>-1.3</v>
      </c>
      <c r="AE11" s="16" t="n">
        <v>40</v>
      </c>
      <c r="AF11" s="16" t="n">
        <v>6.11</v>
      </c>
      <c r="AG11" s="16" t="n">
        <v>0.1</v>
      </c>
      <c r="AH11" s="16" t="n">
        <v>1.47</v>
      </c>
      <c r="AI11" s="16" t="n">
        <v>7.22</v>
      </c>
      <c r="AJ11" s="16" t="n">
        <v>54.89</v>
      </c>
      <c r="AK11" s="16" t="n">
        <v>-708.89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5" t="inlineStr">
        <is>
          <t>2026-06-30</t>
        </is>
      </c>
      <c r="B12" s="15" t="inlineStr">
        <is>
          <t>BANKNIFTY</t>
        </is>
      </c>
      <c r="C12" s="15" t="inlineStr">
        <is>
          <t>Smart Trend</t>
        </is>
      </c>
      <c r="D12" s="15" t="inlineStr">
        <is>
          <t>Bull Call Spread</t>
        </is>
      </c>
      <c r="E12" s="15" t="inlineStr">
        <is>
          <t>SIMULATED</t>
        </is>
      </c>
      <c r="F12" s="15" t="inlineStr">
        <is>
          <t>BULLISH</t>
        </is>
      </c>
      <c r="G12" s="15" t="inlineStr">
        <is>
          <t>Price↑(58177.05&gt;58150.35) &amp; EMA9↑(57451.61&gt;56186.66)</t>
        </is>
      </c>
      <c r="H12" s="15" t="n">
        <v>57451.61</v>
      </c>
      <c r="I12" s="15" t="n">
        <v>56186.66</v>
      </c>
      <c r="J12" s="15" t="inlineStr">
        <is>
          <t>2026-07-30</t>
        </is>
      </c>
      <c r="K12" s="15" t="inlineStr">
        <is>
          <t>MONTHLY</t>
        </is>
      </c>
      <c r="L12" s="15" t="n">
        <v>31</v>
      </c>
      <c r="M12" s="15" t="inlineStr">
        <is>
          <t>09:20 IST</t>
        </is>
      </c>
      <c r="N12" s="15" t="inlineStr">
        <is>
          <t>09:59 IST</t>
        </is>
      </c>
      <c r="O12" s="15" t="n">
        <v>58177.05</v>
      </c>
      <c r="P12" s="15" t="n">
        <v>58150.35</v>
      </c>
      <c r="Q12" s="15" t="inlineStr">
        <is>
          <t>58000 CE</t>
        </is>
      </c>
      <c r="R12" s="15" t="inlineStr">
        <is>
          <t>58200 CE</t>
        </is>
      </c>
      <c r="S12" s="15" t="n">
        <v>18</v>
      </c>
      <c r="T12" s="15" t="n">
        <v>30</v>
      </c>
      <c r="U12" s="15" t="n">
        <v>540</v>
      </c>
      <c r="V12" s="15" t="n">
        <v>87.42</v>
      </c>
      <c r="W12" s="15" t="n">
        <v>61.19</v>
      </c>
      <c r="X12" s="15" t="n">
        <v>47206.8</v>
      </c>
      <c r="Y12" s="15" t="n">
        <v>47261.43</v>
      </c>
      <c r="Z12" s="15" t="n">
        <v>60793.2</v>
      </c>
      <c r="AA12" s="15" t="n">
        <v>14162.04</v>
      </c>
      <c r="AB12" s="15" t="n">
        <v>14162.04</v>
      </c>
      <c r="AC12" s="15" t="n">
        <v>-14164.2</v>
      </c>
      <c r="AD12" s="15" t="n">
        <v>-30</v>
      </c>
      <c r="AE12" s="15" t="n">
        <v>40</v>
      </c>
      <c r="AF12" s="15" t="n">
        <v>5.9</v>
      </c>
      <c r="AG12" s="15" t="n">
        <v>0.09</v>
      </c>
      <c r="AH12" s="15" t="n">
        <v>1.42</v>
      </c>
      <c r="AI12" s="15" t="n">
        <v>7.22</v>
      </c>
      <c r="AJ12" s="15" t="n">
        <v>54.63</v>
      </c>
      <c r="AK12" s="15" t="n">
        <v>-14218.83</v>
      </c>
      <c r="AL12" s="15" t="inlineStr">
        <is>
          <t>STOP LOSS</t>
        </is>
      </c>
      <c r="AM12" s="15" t="n">
        <v>50000</v>
      </c>
      <c r="AN12" s="15" t="inlineStr">
        <is>
          <t>PAPER TRADING</t>
        </is>
      </c>
    </row>
    <row r="13">
      <c r="A13" s="17" t="inlineStr">
        <is>
          <t>2026-07-01</t>
        </is>
      </c>
      <c r="B13" s="17" t="inlineStr">
        <is>
          <t>BANKNIFTY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Price↑(58033.05&gt;57542.9) &amp; EMA9↑(57620.33&gt;56533.78)</t>
        </is>
      </c>
      <c r="H13" s="17" t="n">
        <v>57620.33</v>
      </c>
      <c r="I13" s="17" t="n">
        <v>56533.78</v>
      </c>
      <c r="J13" s="17" t="inlineStr">
        <is>
          <t>2026-07-30</t>
        </is>
      </c>
      <c r="K13" s="17" t="inlineStr">
        <is>
          <t>MONTHLY</t>
        </is>
      </c>
      <c r="L13" s="17" t="n">
        <v>29</v>
      </c>
      <c r="M13" s="17" t="inlineStr">
        <is>
          <t>09:20 IST</t>
        </is>
      </c>
      <c r="N13" s="17" t="inlineStr">
        <is>
          <t>11:33 IST</t>
        </is>
      </c>
      <c r="O13" s="17" t="n">
        <v>58033.05</v>
      </c>
      <c r="P13" s="17" t="n">
        <v>57542.9</v>
      </c>
      <c r="Q13" s="17" t="inlineStr">
        <is>
          <t>58000 CE</t>
        </is>
      </c>
      <c r="R13" s="17" t="inlineStr">
        <is>
          <t>58200 CE</t>
        </is>
      </c>
      <c r="S13" s="17" t="n">
        <v>19</v>
      </c>
      <c r="T13" s="17" t="n">
        <v>30</v>
      </c>
      <c r="U13" s="17" t="n">
        <v>570</v>
      </c>
      <c r="V13" s="17" t="n">
        <v>86.3</v>
      </c>
      <c r="W13" s="17" t="n">
        <v>112.19</v>
      </c>
      <c r="X13" s="17" t="n">
        <v>49191</v>
      </c>
      <c r="Y13" s="17" t="n">
        <v>49245.94</v>
      </c>
      <c r="Z13" s="17" t="n">
        <v>64809</v>
      </c>
      <c r="AA13" s="17" t="n">
        <v>14757.3</v>
      </c>
      <c r="AB13" s="17" t="n">
        <v>14757.3</v>
      </c>
      <c r="AC13" s="17" t="n">
        <v>14757.3</v>
      </c>
      <c r="AD13" s="17" t="n">
        <v>30</v>
      </c>
      <c r="AE13" s="17" t="n">
        <v>40</v>
      </c>
      <c r="AF13" s="17" t="n">
        <v>6.15</v>
      </c>
      <c r="AG13" s="17" t="n">
        <v>0.1</v>
      </c>
      <c r="AH13" s="17" t="n">
        <v>1.48</v>
      </c>
      <c r="AI13" s="17" t="n">
        <v>7.22</v>
      </c>
      <c r="AJ13" s="17" t="n">
        <v>54.94</v>
      </c>
      <c r="AK13" s="17" t="n">
        <v>14702.36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BANKNIFTY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Price↑(58033.05&gt;57542.9) &amp; EMA9↑(57621.96&gt;56519.64)</t>
        </is>
      </c>
      <c r="H14" s="17" t="n">
        <v>57621.96</v>
      </c>
      <c r="I14" s="17" t="n">
        <v>56519.64</v>
      </c>
      <c r="J14" s="17" t="inlineStr">
        <is>
          <t>2026-07-30</t>
        </is>
      </c>
      <c r="K14" s="17" t="inlineStr">
        <is>
          <t>MONTHLY</t>
        </is>
      </c>
      <c r="L14" s="17" t="n">
        <v>28</v>
      </c>
      <c r="M14" s="17" t="inlineStr">
        <is>
          <t>09:20 IST</t>
        </is>
      </c>
      <c r="N14" s="17" t="inlineStr">
        <is>
          <t>10:02 IST</t>
        </is>
      </c>
      <c r="O14" s="17" t="n">
        <v>58033.05</v>
      </c>
      <c r="P14" s="17" t="n">
        <v>57542.9</v>
      </c>
      <c r="Q14" s="17" t="inlineStr">
        <is>
          <t>58000 CE</t>
        </is>
      </c>
      <c r="R14" s="17" t="inlineStr">
        <is>
          <t>58200 CE</t>
        </is>
      </c>
      <c r="S14" s="17" t="n">
        <v>15</v>
      </c>
      <c r="T14" s="17" t="n">
        <v>30</v>
      </c>
      <c r="U14" s="17" t="n">
        <v>450</v>
      </c>
      <c r="V14" s="17" t="n">
        <v>108.44</v>
      </c>
      <c r="W14" s="17" t="n">
        <v>140.97</v>
      </c>
      <c r="X14" s="17" t="n">
        <v>48798</v>
      </c>
      <c r="Y14" s="17" t="n">
        <v>48852.88</v>
      </c>
      <c r="Z14" s="17" t="n">
        <v>41202</v>
      </c>
      <c r="AA14" s="17" t="n">
        <v>14639.4</v>
      </c>
      <c r="AB14" s="17" t="n">
        <v>14639.4</v>
      </c>
      <c r="AC14" s="17" t="n">
        <v>14638.5</v>
      </c>
      <c r="AD14" s="17" t="n">
        <v>30</v>
      </c>
      <c r="AE14" s="17" t="n">
        <v>40</v>
      </c>
      <c r="AF14" s="17" t="n">
        <v>6.1</v>
      </c>
      <c r="AG14" s="17" t="n">
        <v>0.1</v>
      </c>
      <c r="AH14" s="17" t="n">
        <v>1.46</v>
      </c>
      <c r="AI14" s="17" t="n">
        <v>7.22</v>
      </c>
      <c r="AJ14" s="17" t="n">
        <v>54.88</v>
      </c>
      <c r="AK14" s="17" t="n">
        <v>14583.62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45" customWidth="1" min="4" max="4"/>
    <col width="10" customWidth="1" min="5" max="5"/>
    <col width="10" customWidth="1" min="6" max="6"/>
    <col width="25" customWidth="1" min="7" max="7"/>
  </cols>
  <sheetData>
    <row r="1" ht="28" customHeight="1">
      <c r="A1" s="1" t="inlineStr">
        <is>
          <t>Skipped Days — Smart Strategy Conflicting Signals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Trend</t>
        </is>
      </c>
      <c r="D2" s="2" t="inlineStr">
        <is>
          <t>Reason</t>
        </is>
      </c>
      <c r="E2" s="2" t="inlineStr">
        <is>
          <t>EMA9</t>
        </is>
      </c>
      <c r="F2" s="2" t="inlineStr">
        <is>
          <t>EMA21</t>
        </is>
      </c>
      <c r="G2" s="2" t="inlineStr">
        <is>
          <t>Action</t>
        </is>
      </c>
    </row>
    <row r="3">
      <c r="A3" s="18" t="inlineStr">
        <is>
          <t>2026-06-16</t>
        </is>
      </c>
      <c r="B3" s="18" t="inlineStr">
        <is>
          <t>NIFTY</t>
        </is>
      </c>
      <c r="C3" s="18" t="inlineStr">
        <is>
          <t>SKIP</t>
        </is>
      </c>
      <c r="D3" s="18" t="inlineStr">
        <is>
          <t>Conflicting — Price:BULLISH EMA:BEARISH</t>
        </is>
      </c>
      <c r="E3" s="18" t="n">
        <v>23385.72</v>
      </c>
      <c r="F3" s="18" t="n">
        <v>23538</v>
      </c>
      <c r="G3" s="18" t="inlineStr">
        <is>
          <t>NO TRADE — Conflicting signals</t>
        </is>
      </c>
    </row>
    <row r="4">
      <c r="A4" s="18" t="inlineStr">
        <is>
          <t>2026-06-19</t>
        </is>
      </c>
      <c r="B4" s="18" t="inlineStr">
        <is>
          <t>NIFTY</t>
        </is>
      </c>
      <c r="C4" s="18" t="inlineStr">
        <is>
          <t>SKIP</t>
        </is>
      </c>
      <c r="D4" s="18" t="inlineStr">
        <is>
          <t>Conflicting — Price:BEARISH EMA:BULLISH</t>
        </is>
      </c>
      <c r="E4" s="18" t="n">
        <v>23824.67</v>
      </c>
      <c r="F4" s="18" t="n">
        <v>23712.22</v>
      </c>
      <c r="G4" s="18" t="inlineStr">
        <is>
          <t>NO TRADE — Conflicting signals</t>
        </is>
      </c>
    </row>
    <row r="5">
      <c r="A5" s="18" t="inlineStr">
        <is>
          <t>2026-06-19</t>
        </is>
      </c>
      <c r="B5" s="18" t="inlineStr">
        <is>
          <t>BANKNIFTY</t>
        </is>
      </c>
      <c r="C5" s="18" t="inlineStr">
        <is>
          <t>SKIP</t>
        </is>
      </c>
      <c r="D5" s="18" t="inlineStr">
        <is>
          <t>Conflicting — Price:BEARISH EMA:BULLISH</t>
        </is>
      </c>
      <c r="E5" s="18" t="n">
        <v>56788.95</v>
      </c>
      <c r="F5" s="18" t="n">
        <v>55679.28</v>
      </c>
      <c r="G5" s="18" t="inlineStr">
        <is>
          <t>NO TRADE — Conflicting signals</t>
        </is>
      </c>
    </row>
    <row r="6">
      <c r="A6" s="18" t="inlineStr">
        <is>
          <t>2026-06-23</t>
        </is>
      </c>
      <c r="B6" s="18" t="inlineStr">
        <is>
          <t>NIFTY</t>
        </is>
      </c>
      <c r="C6" s="18" t="inlineStr">
        <is>
          <t>SKIP</t>
        </is>
      </c>
      <c r="D6" s="18" t="inlineStr">
        <is>
          <t>Conflicting — Price:BEARISH EMA:BULLISH</t>
        </is>
      </c>
      <c r="E6" s="18" t="n">
        <v>23824.22</v>
      </c>
      <c r="F6" s="18" t="n">
        <v>23714.31</v>
      </c>
      <c r="G6" s="18" t="inlineStr">
        <is>
          <t>NO TRADE — Conflicting signals</t>
        </is>
      </c>
    </row>
    <row r="7">
      <c r="A7" s="18" t="inlineStr">
        <is>
          <t>2026-06-23</t>
        </is>
      </c>
      <c r="B7" s="18" t="inlineStr">
        <is>
          <t>BANKNIFTY</t>
        </is>
      </c>
      <c r="C7" s="18" t="inlineStr">
        <is>
          <t>SKIP</t>
        </is>
      </c>
      <c r="D7" s="18" t="inlineStr">
        <is>
          <t>Conflicting — Price:BEARISH EMA:BULLISH</t>
        </is>
      </c>
      <c r="E7" s="18" t="n">
        <v>56787.29</v>
      </c>
      <c r="F7" s="18" t="n">
        <v>55649.38</v>
      </c>
      <c r="G7" s="18" t="inlineStr">
        <is>
          <t>NO TRADE — Conflicting signals</t>
        </is>
      </c>
    </row>
    <row r="8">
      <c r="A8" s="18" t="inlineStr">
        <is>
          <t>2026-06-23</t>
        </is>
      </c>
      <c r="B8" s="18" t="inlineStr">
        <is>
          <t>NIFTY</t>
        </is>
      </c>
      <c r="C8" s="18" t="inlineStr">
        <is>
          <t>SKIP</t>
        </is>
      </c>
      <c r="D8" s="18" t="inlineStr">
        <is>
          <t>Conflicting — Price:BEARISH EMA:BULLISH</t>
        </is>
      </c>
      <c r="E8" s="18" t="n">
        <v>23824.22</v>
      </c>
      <c r="F8" s="18" t="n">
        <v>23714.31</v>
      </c>
      <c r="G8" s="18" t="inlineStr">
        <is>
          <t>NO TRADE — Conflicting signals</t>
        </is>
      </c>
    </row>
    <row r="9">
      <c r="A9" s="18" t="inlineStr">
        <is>
          <t>2026-06-23</t>
        </is>
      </c>
      <c r="B9" s="18" t="inlineStr">
        <is>
          <t>BANKNIFTY</t>
        </is>
      </c>
      <c r="C9" s="18" t="inlineStr">
        <is>
          <t>SKIP</t>
        </is>
      </c>
      <c r="D9" s="18" t="inlineStr">
        <is>
          <t>Conflicting — Price:BEARISH EMA:BULLISH</t>
        </is>
      </c>
      <c r="E9" s="18" t="n">
        <v>56787.29</v>
      </c>
      <c r="F9" s="18" t="n">
        <v>55649.38</v>
      </c>
      <c r="G9" s="18" t="inlineStr">
        <is>
          <t>NO TRADE — Conflicting signals</t>
        </is>
      </c>
    </row>
    <row r="10">
      <c r="A10" s="18" t="inlineStr">
        <is>
          <t>2026-06-23</t>
        </is>
      </c>
      <c r="B10" s="18" t="inlineStr">
        <is>
          <t>NIFTY</t>
        </is>
      </c>
      <c r="C10" s="18" t="inlineStr">
        <is>
          <t>SKIP</t>
        </is>
      </c>
      <c r="D10" s="18" t="inlineStr">
        <is>
          <t>Conflicting — Price:BEARISH EMA:BULLISH</t>
        </is>
      </c>
      <c r="E10" s="18" t="n">
        <v>23868.63</v>
      </c>
      <c r="F10" s="18" t="n">
        <v>23767.86</v>
      </c>
      <c r="G10" s="18" t="inlineStr">
        <is>
          <t>NO TRADE — Conflicting signals</t>
        </is>
      </c>
    </row>
    <row r="11">
      <c r="A11" s="18" t="inlineStr">
        <is>
          <t>2026-06-23</t>
        </is>
      </c>
      <c r="B11" s="18" t="inlineStr">
        <is>
          <t>BANKNIFTY</t>
        </is>
      </c>
      <c r="C11" s="18" t="inlineStr">
        <is>
          <t>SKIP</t>
        </is>
      </c>
      <c r="D11" s="18" t="inlineStr">
        <is>
          <t>Conflicting — Price:BEARISH EMA:BULLISH</t>
        </is>
      </c>
      <c r="E11" s="18" t="n">
        <v>57048.75</v>
      </c>
      <c r="F11" s="18" t="n">
        <v>55970.07</v>
      </c>
      <c r="G11" s="18" t="inlineStr">
        <is>
          <t>NO TRADE — Conflicting signals</t>
        </is>
      </c>
    </row>
    <row r="12">
      <c r="A12" s="18" t="inlineStr">
        <is>
          <t>2026-06-25</t>
        </is>
      </c>
      <c r="B12" s="18" t="inlineStr">
        <is>
          <t>NIFTY</t>
        </is>
      </c>
      <c r="C12" s="18" t="inlineStr">
        <is>
          <t>SKIP</t>
        </is>
      </c>
      <c r="D12" s="18" t="inlineStr">
        <is>
          <t>Conflicting — Price:BEARISH EMA:BULLISH</t>
        </is>
      </c>
      <c r="E12" s="18" t="n">
        <v>23868.74</v>
      </c>
      <c r="F12" s="18" t="n">
        <v>23768.91</v>
      </c>
      <c r="G12" s="18" t="inlineStr">
        <is>
          <t>NO TRADE — Conflicting signals</t>
        </is>
      </c>
    </row>
    <row r="13">
      <c r="A13" s="18" t="inlineStr">
        <is>
          <t>2026-06-25</t>
        </is>
      </c>
      <c r="B13" s="18" t="inlineStr">
        <is>
          <t>BANKNIFTY</t>
        </is>
      </c>
      <c r="C13" s="18" t="inlineStr">
        <is>
          <t>SKIP</t>
        </is>
      </c>
      <c r="D13" s="18" t="inlineStr">
        <is>
          <t>Conflicting — Price:BEARISH EMA:BULLISH</t>
        </is>
      </c>
      <c r="E13" s="18" t="n">
        <v>57047.77</v>
      </c>
      <c r="F13" s="18" t="n">
        <v>55931.18</v>
      </c>
      <c r="G13" s="18" t="inlineStr">
        <is>
          <t>NO TRADE — Conflicting signals</t>
        </is>
      </c>
    </row>
    <row r="14">
      <c r="A14" s="18" t="inlineStr">
        <is>
          <t>2026-06-29</t>
        </is>
      </c>
      <c r="B14" s="18" t="inlineStr">
        <is>
          <t>NIFTY</t>
        </is>
      </c>
      <c r="C14" s="18" t="inlineStr">
        <is>
          <t>SKIP</t>
        </is>
      </c>
      <c r="D14" s="18" t="inlineStr">
        <is>
          <t>Conflicting — Price:BEARISH EMA:BULLISH</t>
        </is>
      </c>
      <c r="E14" s="18" t="n">
        <v>23934.65</v>
      </c>
      <c r="F14" s="18" t="n">
        <v>23794.94</v>
      </c>
      <c r="G14" s="18" t="inlineStr">
        <is>
          <t>NO TRADE — Conflicting signals</t>
        </is>
      </c>
    </row>
    <row r="15">
      <c r="A15" s="18" t="inlineStr">
        <is>
          <t>2026-06-29</t>
        </is>
      </c>
      <c r="B15" s="18" t="inlineStr">
        <is>
          <t>BANKNIFTY</t>
        </is>
      </c>
      <c r="C15" s="18" t="inlineStr">
        <is>
          <t>SKIP</t>
        </is>
      </c>
      <c r="D15" s="18" t="inlineStr">
        <is>
          <t>Conflicting — Price:BEARISH EMA:BULLISH</t>
        </is>
      </c>
      <c r="E15" s="18" t="n">
        <v>57506.76</v>
      </c>
      <c r="F15" s="18" t="n">
        <v>56326.72</v>
      </c>
      <c r="G15" s="18" t="inlineStr">
        <is>
          <t>NO TRADE — Conflicting signals</t>
        </is>
      </c>
    </row>
    <row r="16">
      <c r="A16" s="18" t="inlineStr">
        <is>
          <t>2026-06-30</t>
        </is>
      </c>
      <c r="B16" s="18" t="inlineStr">
        <is>
          <t>NIFTY</t>
        </is>
      </c>
      <c r="C16" s="18" t="inlineStr">
        <is>
          <t>SKIP</t>
        </is>
      </c>
      <c r="D16" s="18" t="inlineStr">
        <is>
          <t>Conflicting — Price:BEARISH EMA:BULLISH</t>
        </is>
      </c>
      <c r="E16" s="18" t="n">
        <v>23921.32</v>
      </c>
      <c r="F16" s="18" t="n">
        <v>23787.88</v>
      </c>
      <c r="G16" s="18" t="inlineStr">
        <is>
          <t>NO TRADE — Conflicting signals</t>
        </is>
      </c>
    </row>
    <row r="17">
      <c r="A17" s="18" t="inlineStr">
        <is>
          <t>2026-06-30</t>
        </is>
      </c>
      <c r="B17" s="18" t="inlineStr">
        <is>
          <t>BANKNIFTY</t>
        </is>
      </c>
      <c r="C17" s="18" t="inlineStr">
        <is>
          <t>SKIP</t>
        </is>
      </c>
      <c r="D17" s="18" t="inlineStr">
        <is>
          <t>Conflicting — Price:BEARISH EMA:BULLISH</t>
        </is>
      </c>
      <c r="E17" s="18" t="n">
        <v>57515.81</v>
      </c>
      <c r="F17" s="18" t="n">
        <v>56405.26</v>
      </c>
      <c r="G17" s="18" t="inlineStr">
        <is>
          <t>NO TRADE — Conflicting signals</t>
        </is>
      </c>
    </row>
    <row r="18">
      <c r="A18" s="18" t="inlineStr">
        <is>
          <t>2026-07-01</t>
        </is>
      </c>
      <c r="B18" s="18" t="inlineStr">
        <is>
          <t>NIFTY</t>
        </is>
      </c>
      <c r="C18" s="18" t="inlineStr">
        <is>
          <t>SKIP</t>
        </is>
      </c>
      <c r="D18" s="18" t="inlineStr">
        <is>
          <t>Conflicting — Price:BEARISH EMA:BULLISH</t>
        </is>
      </c>
      <c r="E18" s="18" t="n">
        <v>23935.21</v>
      </c>
      <c r="F18" s="18" t="n">
        <v>23780.09</v>
      </c>
      <c r="G18" s="18" t="inlineStr">
        <is>
          <t>NO TRADE — Conflicting signals</t>
        </is>
      </c>
    </row>
    <row r="19">
      <c r="A19" s="18" t="inlineStr">
        <is>
          <t>2026-07-01</t>
        </is>
      </c>
      <c r="B19" s="18" t="inlineStr">
        <is>
          <t>BANKNIFTY</t>
        </is>
      </c>
      <c r="C19" s="18" t="inlineStr">
        <is>
          <t>SKIP</t>
        </is>
      </c>
      <c r="D19" s="18" t="inlineStr">
        <is>
          <t>Conflicting — Price:BEARISH EMA:BULLISH</t>
        </is>
      </c>
      <c r="E19" s="18" t="n">
        <v>57509.03</v>
      </c>
      <c r="F19" s="18" t="n">
        <v>56291.5</v>
      </c>
      <c r="G19" s="18" t="inlineStr">
        <is>
          <t>NO TRADE — Conflicting signals</t>
        </is>
      </c>
    </row>
    <row r="20">
      <c r="A20" s="18" t="inlineStr">
        <is>
          <t>2026-07-02</t>
        </is>
      </c>
      <c r="B20" s="18" t="inlineStr">
        <is>
          <t>NIFTY</t>
        </is>
      </c>
      <c r="C20" s="18" t="inlineStr">
        <is>
          <t>SKIP</t>
        </is>
      </c>
      <c r="D20" s="18" t="inlineStr">
        <is>
          <t>Conflicting — Price:BEARISH EMA:BULLISH</t>
        </is>
      </c>
      <c r="E20" s="18" t="n">
        <v>23921.87</v>
      </c>
      <c r="F20" s="18" t="n">
        <v>23777.05</v>
      </c>
      <c r="G20" s="18" t="inlineStr">
        <is>
          <t>NO TRADE — Conflicting signals</t>
        </is>
      </c>
    </row>
    <row r="21">
      <c r="A21" s="18" t="inlineStr">
        <is>
          <t>2026-07-02</t>
        </is>
      </c>
      <c r="B21" s="18" t="inlineStr">
        <is>
          <t>BANKNIFTY</t>
        </is>
      </c>
      <c r="C21" s="18" t="inlineStr">
        <is>
          <t>SKIP</t>
        </is>
      </c>
      <c r="D21" s="18" t="inlineStr">
        <is>
          <t>Conflicting — Price:BEARISH EMA:BULLISH</t>
        </is>
      </c>
      <c r="E21" s="18" t="n">
        <v>57517.14</v>
      </c>
      <c r="F21" s="18" t="n">
        <v>56383.85</v>
      </c>
      <c r="G21" s="18" t="inlineStr">
        <is>
          <t>NO TRADE — Conflicting signals</t>
        </is>
      </c>
    </row>
    <row r="22">
      <c r="A22" s="18" t="inlineStr">
        <is>
          <t>2026-07-02</t>
        </is>
      </c>
      <c r="B22" s="18" t="inlineStr">
        <is>
          <t>BANKNIFTY</t>
        </is>
      </c>
      <c r="C22" s="18" t="inlineStr">
        <is>
          <t>SKIP</t>
        </is>
      </c>
      <c r="D22" s="18" t="inlineStr">
        <is>
          <t>Conflicting — Price:BEARISH EMA:BULLISH</t>
        </is>
      </c>
      <c r="E22" s="18" t="n">
        <v>57703.9</v>
      </c>
      <c r="F22" s="18" t="n">
        <v>56657.09</v>
      </c>
      <c r="G22" s="18" t="inlineStr">
        <is>
          <t>NO TRADE — Conflicting signals</t>
        </is>
      </c>
    </row>
    <row r="23">
      <c r="A23" s="18" t="inlineStr">
        <is>
          <t>2026-07-03</t>
        </is>
      </c>
      <c r="B23" s="18" t="inlineStr">
        <is>
          <t>BANKNIFTY</t>
        </is>
      </c>
      <c r="C23" s="18" t="inlineStr">
        <is>
          <t>SKIP</t>
        </is>
      </c>
      <c r="D23" s="18" t="inlineStr">
        <is>
          <t>Conflicting — Price:BEARISH EMA:BULLISH</t>
        </is>
      </c>
      <c r="E23" s="18" t="n">
        <v>57751.18</v>
      </c>
      <c r="F23" s="18" t="n">
        <v>56772.37</v>
      </c>
      <c r="G23" s="18" t="inlineStr">
        <is>
          <t>NO TRADE — Conflicting signals</t>
        </is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2026-06-15T19:07:33Z</dcterms:created>
  <dcterms:modified xsi:type="dcterms:W3CDTF">2026-07-03T11:56:46Z</dcterms:modified>
</cp:coreProperties>
</file>